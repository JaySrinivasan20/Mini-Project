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Customer Data" sheetId="1" r:id="rId1"/>
    <sheet name="Pivots" sheetId="3" r:id="rId2"/>
    <sheet name="Customer Details" sheetId="4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<sst xmlns="http://schemas.openxmlformats.org/spreadsheetml/2006/main" count="9068" uniqueCount="77">
  <si>
    <t>OrderID</t>
  </si>
  <si>
    <t>CustomerID</t>
  </si>
  <si>
    <t>OrderDate</t>
  </si>
  <si>
    <t>ProductID</t>
  </si>
  <si>
    <t>Quantity</t>
  </si>
  <si>
    <t>Discount</t>
  </si>
  <si>
    <t>PaymentMethod</t>
  </si>
  <si>
    <t>Status</t>
  </si>
  <si>
    <t>Age</t>
  </si>
  <si>
    <t>City</t>
  </si>
  <si>
    <t>SignupDate</t>
  </si>
  <si>
    <t>CustomerSegment</t>
  </si>
  <si>
    <t>ProductName</t>
  </si>
  <si>
    <t>Category</t>
  </si>
  <si>
    <t>UnitPrice</t>
  </si>
  <si>
    <t>Sales</t>
  </si>
  <si>
    <t>OrderValue</t>
  </si>
  <si>
    <t>Customer Status</t>
  </si>
  <si>
    <t>Amount</t>
  </si>
  <si>
    <t>Discount Statis</t>
  </si>
  <si>
    <t>Gateway</t>
  </si>
  <si>
    <t>Completed</t>
  </si>
  <si>
    <t>Qom</t>
  </si>
  <si>
    <t>Regular</t>
  </si>
  <si>
    <t>USB-C Cable</t>
  </si>
  <si>
    <t>Accessories</t>
  </si>
  <si>
    <t>Active Customer</t>
  </si>
  <si>
    <t>Wallet</t>
  </si>
  <si>
    <t>Kerman</t>
  </si>
  <si>
    <t>Backpack</t>
  </si>
  <si>
    <t>Inactive Customer</t>
  </si>
  <si>
    <t>CardToCard</t>
  </si>
  <si>
    <t>Tehran</t>
  </si>
  <si>
    <t>Mechanical Keyboard</t>
  </si>
  <si>
    <t>Electronics</t>
  </si>
  <si>
    <t>Shiraz</t>
  </si>
  <si>
    <t>Office Chair</t>
  </si>
  <si>
    <t>Home Office</t>
  </si>
  <si>
    <t>Karaj</t>
  </si>
  <si>
    <t>Phone Case</t>
  </si>
  <si>
    <t>Returned</t>
  </si>
  <si>
    <t>New</t>
  </si>
  <si>
    <t>Desk Lamp</t>
  </si>
  <si>
    <t>Isfahan</t>
  </si>
  <si>
    <t>HDMI Cable</t>
  </si>
  <si>
    <t>Mashhad</t>
  </si>
  <si>
    <t>Power Bank</t>
  </si>
  <si>
    <t>Cancelled</t>
  </si>
  <si>
    <t>Tabriz</t>
  </si>
  <si>
    <t>VIP</t>
  </si>
  <si>
    <t>Wireless Mouse</t>
  </si>
  <si>
    <t>Laptop Stand</t>
  </si>
  <si>
    <t>Rasht</t>
  </si>
  <si>
    <t>Notebook</t>
  </si>
  <si>
    <t>Stationery</t>
  </si>
  <si>
    <t>Ahvaz</t>
  </si>
  <si>
    <t>Cash</t>
  </si>
  <si>
    <t>Webcam</t>
  </si>
  <si>
    <t>Fitness Band</t>
  </si>
  <si>
    <t>Wearables</t>
  </si>
  <si>
    <t>Tablet</t>
  </si>
  <si>
    <t>Headphones</t>
  </si>
  <si>
    <t>Gaming Controller</t>
  </si>
  <si>
    <t>Gaming</t>
  </si>
  <si>
    <t>Microphone</t>
  </si>
  <si>
    <t>Smart Watch</t>
  </si>
  <si>
    <t>Bluetooth Speaker</t>
  </si>
  <si>
    <t>Monitor</t>
  </si>
  <si>
    <t>Customer Count by City</t>
  </si>
  <si>
    <t>Customer count by Category</t>
  </si>
  <si>
    <t>Count of CustomerID</t>
  </si>
  <si>
    <t>Grand Total</t>
  </si>
  <si>
    <t>(blank)</t>
  </si>
  <si>
    <t>Average of Quantity</t>
  </si>
  <si>
    <t>(Multiple Items)</t>
  </si>
  <si>
    <t>Product Name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</si>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</sst>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_ "/>
    <numFmt numFmtId="181" formatCode="0.00_ "/>
    <numFmt numFmtId="182" formatCode="dd/mm/yyyy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180" fontId="0" fillId="0" borderId="1" xfId="0" applyNumberFormat="1" applyBorder="1">
      <alignment vertical="center"/>
    </xf>
    <xf numFmtId="181" fontId="0" fillId="0" borderId="1" xfId="0" applyNumberFormat="1" applyBorder="1">
      <alignment vertical="center"/>
    </xf>
    <xf numFmtId="182" fontId="0" fillId="0" borderId="1" xfId="0" applyNumberFormat="1" applyBorder="1">
      <alignment vertical="center"/>
    </xf>
    <xf numFmtId="0" fontId="0" fillId="0" borderId="1" xfId="0" applyNumberFormat="1" applyBorder="1">
      <alignment vertical="center"/>
    </xf>
    <xf numFmtId="0" fontId="0" fillId="0" borderId="0" xfId="0" applyNumberFormat="1">
      <alignment vertical="center"/>
    </xf>
    <xf numFmtId="18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4"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top/>
      </border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top/>
      </border>
    </dxf>
    <dxf>
      <numFmt numFmtId="183" formatCode="0.000_ "/>
    </dxf>
    <dxf>
      <numFmt numFmtId="181" formatCode="0.00_ "/>
    </dxf>
    <dxf>
      <numFmt numFmtId="184" formatCode="0.0_ "/>
    </dxf>
    <dxf>
      <numFmt numFmtId="180" formatCode="0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top/>
      </border>
    </dxf>
    <dxf>
      <numFmt numFmtId="185" formatCode="0.0000000_ "/>
    </dxf>
    <dxf>
      <numFmt numFmtId="186" formatCode="0.000000_ "/>
    </dxf>
    <dxf>
      <numFmt numFmtId="187" formatCode="0.00000_ "/>
    </dxf>
    <dxf>
      <numFmt numFmtId="188" formatCode="0.0000_ "/>
    </dxf>
    <dxf>
      <numFmt numFmtId="189" formatCode="0.000_ "/>
    </dxf>
    <dxf>
      <numFmt numFmtId="181" formatCode="0.00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top/>
      </border>
    </dxf>
    <dxf>
      <border>
        <top/>
      </border>
    </dxf>
    <dxf>
      <numFmt numFmtId="182" formatCode="dd/mm/yyyy"/>
    </dxf>
    <dxf>
      <numFmt numFmtId="182" formatCode="dd/mm/yyyy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rgb="FFFFC7CE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firstRowStripe" dxfId="38"/>
      <tableStyleElement type="firstColumnStripe" dxfId="37"/>
    </tableStyle>
    <tableStyle name="PivotStylePreset2_Accent1" table="0" count="10" xr9:uid="{267968C8-6FFD-4C36-ACC1-9EA1FD1885CA}">
      <tableStyleElement type="headerRow" dxfId="53"/>
      <tableStyleElement type="totalRow" dxfId="52"/>
      <tableStyleElement type="firstRowStripe" dxfId="51"/>
      <tableStyleElement type="firstColumnStripe" dxfId="50"/>
      <tableStyleElement type="firstSubtotalRow" dxfId="49"/>
      <tableStyleElement type="secondSubtotalRow" dxfId="48"/>
      <tableStyleElement type="firstRowSubheading" dxfId="47"/>
      <tableStyleElement type="secondRowSubheading" dxfId="46"/>
      <tableStyleElement type="pageFieldLabels" dxfId="45"/>
      <tableStyleElement type="pageFieldValues" dxfId="4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[Customer_data.xlsx]Pivots!PivotTable1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Pivots!$A$4:$A$15</c:f>
              <c:strCache>
                <c:ptCount val="11"/>
                <c:pt idx="0">
                  <c:v>Ahvaz</c:v>
                </c:pt>
                <c:pt idx="1">
                  <c:v>Isfahan</c:v>
                </c:pt>
                <c:pt idx="2">
                  <c:v>Karaj</c:v>
                </c:pt>
                <c:pt idx="3">
                  <c:v>Kerman</c:v>
                </c:pt>
                <c:pt idx="4">
                  <c:v>Mashhad</c:v>
                </c:pt>
                <c:pt idx="5">
                  <c:v>Qom</c:v>
                </c:pt>
                <c:pt idx="6">
                  <c:v>Rasht</c:v>
                </c:pt>
                <c:pt idx="7">
                  <c:v>Shiraz</c:v>
                </c:pt>
                <c:pt idx="8">
                  <c:v>Tabriz</c:v>
                </c:pt>
                <c:pt idx="9">
                  <c:v>Tehran</c:v>
                </c:pt>
                <c:pt idx="10">
                  <c:v>(blank)</c:v>
                </c:pt>
              </c:strCache>
            </c:strRef>
          </c:cat>
          <c:val>
            <c:numRef>
              <c:f>Pivots!$B$4:$B$15</c:f>
              <c:numCache>
                <c:formatCode>General</c:formatCode>
                <c:ptCount val="11"/>
                <c:pt idx="0">
                  <c:v>54</c:v>
                </c:pt>
                <c:pt idx="1">
                  <c:v>108</c:v>
                </c:pt>
                <c:pt idx="2">
                  <c:v>101</c:v>
                </c:pt>
                <c:pt idx="3">
                  <c:v>57</c:v>
                </c:pt>
                <c:pt idx="4">
                  <c:v>125</c:v>
                </c:pt>
                <c:pt idx="5">
                  <c:v>47</c:v>
                </c:pt>
                <c:pt idx="6">
                  <c:v>61</c:v>
                </c:pt>
                <c:pt idx="7">
                  <c:v>78</c:v>
                </c:pt>
                <c:pt idx="8">
                  <c:v>96</c:v>
                </c:pt>
                <c:pt idx="9">
                  <c:v>273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783391104"/>
        <c:axId val="953104958"/>
      </c:barChart>
      <c:catAx>
        <c:axId val="7833911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3104958"/>
        <c:crosses val="autoZero"/>
        <c:auto val="1"/>
        <c:lblAlgn val="ctr"/>
        <c:lblOffset val="100"/>
        <c:noMultiLvlLbl val="0"/>
      </c:catAx>
      <c:valAx>
        <c:axId val="9531049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339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b6003a-8bfd-4a66-9f1a-bc2e97647e33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[Customer_data.xlsx]Pivots!PivotTable4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Pivots!$J$3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Pivots!$I$4:$I$6</c:f>
              <c:strCache>
                <c:ptCount val="2"/>
                <c:pt idx="0">
                  <c:v>Active Customer</c:v>
                </c:pt>
                <c:pt idx="1">
                  <c:v>Inactive Customer</c:v>
                </c:pt>
              </c:strCache>
            </c:strRef>
          </c:cat>
          <c:val>
            <c:numRef>
              <c:f>Pivots!$J$4:$J$6</c:f>
              <c:numCache>
                <c:formatCode>General</c:formatCode>
                <c:ptCount val="2"/>
                <c:pt idx="0">
                  <c:v>585</c:v>
                </c:pt>
                <c:pt idx="1">
                  <c:v>415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dfe6f2a-fbce-48a2-bd3d-cbd54494e8f3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36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[Customer_data.xlsx]Pivots!PivotTable5</c:name>
    <c:fmtId val="0"/>
  </c:pivotSource>
  <c:chart>
    <c:autoTitleDeleted val="1"/>
    <c:plotArea>
      <c:layout/>
      <c:doughnutChart>
        <c:varyColors val="1"/>
        <c:ser>
          <c:idx val="0"/>
          <c:order val="0"/>
          <c:tx>
            <c:strRef>
              <c:f>Pivots!$J$10</c:f>
              <c:strCache>
                <c:ptCount val="1"/>
                <c:pt idx="0">
                  <c:v>Total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Pivots!$I$11:$I$14</c:f>
              <c:strCache>
                <c:ptCount val="3"/>
                <c:pt idx="0">
                  <c:v>New</c:v>
                </c:pt>
                <c:pt idx="1">
                  <c:v>Regular</c:v>
                </c:pt>
                <c:pt idx="2">
                  <c:v>VIP</c:v>
                </c:pt>
              </c:strCache>
            </c:strRef>
          </c:cat>
          <c:val>
            <c:numRef>
              <c:f>Pivots!$J$11:$J$14</c:f>
              <c:numCache>
                <c:formatCode>0_ </c:formatCode>
                <c:ptCount val="3"/>
                <c:pt idx="0">
                  <c:v>379</c:v>
                </c:pt>
                <c:pt idx="1">
                  <c:v>529</c:v>
                </c:pt>
                <c:pt idx="2">
                  <c:v>92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ce9f758-a6a4-43a3-936d-56754beae565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3600000" scaled="0"/>
    </a:gra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[Customer_data.xlsx]Pivots!PivotTable6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Pivots!$I$20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Pivots!$I$21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Pivots!$I$21</c:f>
              <c:numCache>
                <c:formatCode>0.00_ </c:formatCode>
                <c:ptCount val="1"/>
                <c:pt idx="0">
                  <c:v>1.87185354691076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73853714"/>
        <c:axId val="398775620"/>
      </c:barChart>
      <c:catAx>
        <c:axId val="6738537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775620"/>
        <c:crosses val="autoZero"/>
        <c:auto val="1"/>
        <c:lblAlgn val="ctr"/>
        <c:lblOffset val="100"/>
        <c:noMultiLvlLbl val="0"/>
      </c:catAx>
      <c:valAx>
        <c:axId val="3987756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38537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9f9a74-d71f-4ba4-8d05-95201e11dff1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36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[Customer_data.xlsx]Pivots!PivotTable2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Pivots!$F$3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Pivots!$E$4:$E$11</c:f>
              <c:strCache>
                <c:ptCount val="7"/>
                <c:pt idx="0">
                  <c:v>Accessories</c:v>
                </c:pt>
                <c:pt idx="1">
                  <c:v>Electronics</c:v>
                </c:pt>
                <c:pt idx="2">
                  <c:v>Gaming</c:v>
                </c:pt>
                <c:pt idx="3">
                  <c:v>Home Office</c:v>
                </c:pt>
                <c:pt idx="4">
                  <c:v>Stationery</c:v>
                </c:pt>
                <c:pt idx="5">
                  <c:v>Wearables</c:v>
                </c:pt>
                <c:pt idx="6">
                  <c:v>(blank)</c:v>
                </c:pt>
              </c:strCache>
            </c:strRef>
          </c:cat>
          <c:val>
            <c:numRef>
              <c:f>Pivots!$F$4:$F$11</c:f>
              <c:numCache>
                <c:formatCode>General</c:formatCode>
                <c:ptCount val="7"/>
                <c:pt idx="0">
                  <c:v>379</c:v>
                </c:pt>
                <c:pt idx="1">
                  <c:v>370</c:v>
                </c:pt>
                <c:pt idx="2">
                  <c:v>31</c:v>
                </c:pt>
                <c:pt idx="3">
                  <c:v>67</c:v>
                </c:pt>
                <c:pt idx="4">
                  <c:v>87</c:v>
                </c:pt>
                <c:pt idx="5">
                  <c:v>66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94999906"/>
        <c:axId val="976722779"/>
      </c:lineChart>
      <c:catAx>
        <c:axId val="7949999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6722779"/>
        <c:crosses val="autoZero"/>
        <c:auto val="1"/>
        <c:lblAlgn val="ctr"/>
        <c:lblOffset val="100"/>
        <c:noMultiLvlLbl val="0"/>
      </c:catAx>
      <c:valAx>
        <c:axId val="9767227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49999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de95a9-4338-4bcd-90f9-12c13e9b55bc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36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34925</xdr:colOff>
      <xdr:row>17</xdr:row>
      <xdr:rowOff>15875</xdr:rowOff>
    </xdr:from>
    <xdr:to>
      <xdr:col>4</xdr:col>
      <xdr:colOff>22860</xdr:colOff>
      <xdr:row>31</xdr:row>
      <xdr:rowOff>187325</xdr:rowOff>
    </xdr:to>
    <xdr:graphicFrame>
      <xdr:nvGraphicFramePr>
        <xdr:cNvPr id="2" name="Chart 1"/>
        <xdr:cNvGraphicFramePr/>
      </xdr:nvGraphicFramePr>
      <xdr:xfrm>
        <a:off x="34925" y="3454400"/>
        <a:ext cx="4121785" cy="2838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441325</xdr:colOff>
      <xdr:row>0</xdr:row>
      <xdr:rowOff>25400</xdr:rowOff>
    </xdr:from>
    <xdr:to>
      <xdr:col>13</xdr:col>
      <xdr:colOff>0</xdr:colOff>
      <xdr:row>10</xdr:row>
      <xdr:rowOff>187325</xdr:rowOff>
    </xdr:to>
    <xdr:graphicFrame>
      <xdr:nvGraphicFramePr>
        <xdr:cNvPr id="6" name="Chart 5"/>
        <xdr:cNvGraphicFramePr/>
      </xdr:nvGraphicFramePr>
      <xdr:xfrm>
        <a:off x="11871325" y="25400"/>
        <a:ext cx="3149600" cy="2200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231775</xdr:colOff>
      <xdr:row>6</xdr:row>
      <xdr:rowOff>187325</xdr:rowOff>
    </xdr:from>
    <xdr:to>
      <xdr:col>16</xdr:col>
      <xdr:colOff>133350</xdr:colOff>
      <xdr:row>19</xdr:row>
      <xdr:rowOff>6985</xdr:rowOff>
    </xdr:to>
    <xdr:graphicFrame>
      <xdr:nvGraphicFramePr>
        <xdr:cNvPr id="7" name="Chart 6"/>
        <xdr:cNvGraphicFramePr/>
      </xdr:nvGraphicFramePr>
      <xdr:xfrm>
        <a:off x="15252700" y="1397000"/>
        <a:ext cx="2759075" cy="2429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393700</xdr:colOff>
      <xdr:row>14</xdr:row>
      <xdr:rowOff>174625</xdr:rowOff>
    </xdr:from>
    <xdr:to>
      <xdr:col>13</xdr:col>
      <xdr:colOff>29210</xdr:colOff>
      <xdr:row>29</xdr:row>
      <xdr:rowOff>3175</xdr:rowOff>
    </xdr:to>
    <xdr:graphicFrame>
      <xdr:nvGraphicFramePr>
        <xdr:cNvPr id="9" name="Chart 8"/>
        <xdr:cNvGraphicFramePr/>
      </xdr:nvGraphicFramePr>
      <xdr:xfrm>
        <a:off x="11823700" y="2974975"/>
        <a:ext cx="3226435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120650</xdr:colOff>
      <xdr:row>17</xdr:row>
      <xdr:rowOff>6350</xdr:rowOff>
    </xdr:from>
    <xdr:to>
      <xdr:col>7</xdr:col>
      <xdr:colOff>813435</xdr:colOff>
      <xdr:row>31</xdr:row>
      <xdr:rowOff>186690</xdr:rowOff>
    </xdr:to>
    <xdr:graphicFrame>
      <xdr:nvGraphicFramePr>
        <xdr:cNvPr id="10" name="Chart 9"/>
        <xdr:cNvGraphicFramePr/>
      </xdr:nvGraphicFramePr>
      <xdr:xfrm>
        <a:off x="4254500" y="3444875"/>
        <a:ext cx="4426585" cy="2847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6.6966782407" refreshedBy="lenovo" recordCount="1001">
  <cacheSource type="worksheet">
    <worksheetSource ref="A1:Q1048576" sheet="Customer Data"/>
  </cacheSource>
  <cacheFields count="17">
    <cacheField name="OrderID" numFmtId="0">
      <sharedItems containsString="0" containsBlank="1" containsNumber="1" containsInteger="1" minValue="0" maxValue="501012" count="1001">
        <n v="500001"/>
        <n v="500002"/>
        <n v="500003"/>
        <n v="500004"/>
        <n v="500005"/>
        <n v="500006"/>
        <n v="500007"/>
        <n v="500008"/>
        <n v="500009"/>
        <n v="500010"/>
        <n v="500011"/>
        <n v="500012"/>
        <n v="500013"/>
        <n v="500014"/>
        <n v="500015"/>
        <n v="500016"/>
        <n v="500017"/>
        <n v="500018"/>
        <n v="500019"/>
        <n v="500020"/>
        <n v="500021"/>
        <n v="500022"/>
        <n v="500023"/>
        <n v="500024"/>
        <n v="500025"/>
        <n v="500026"/>
        <n v="500027"/>
        <n v="500028"/>
        <n v="500029"/>
        <n v="500030"/>
        <n v="500031"/>
        <n v="500032"/>
        <n v="500033"/>
        <n v="500034"/>
        <n v="500035"/>
        <n v="500037"/>
        <n v="500038"/>
        <n v="500039"/>
        <n v="500040"/>
        <n v="500041"/>
        <n v="500042"/>
        <n v="500043"/>
        <n v="500044"/>
        <n v="500045"/>
        <n v="500046"/>
        <n v="500047"/>
        <n v="500048"/>
        <n v="500049"/>
        <n v="500050"/>
        <n v="500051"/>
        <n v="500052"/>
        <n v="500053"/>
        <n v="500054"/>
        <n v="500055"/>
        <n v="500056"/>
        <n v="500057"/>
        <n v="500058"/>
        <n v="500059"/>
        <n v="500060"/>
        <n v="500061"/>
        <n v="500062"/>
        <n v="500063"/>
        <n v="500064"/>
        <n v="500065"/>
        <n v="500066"/>
        <n v="500067"/>
        <n v="500068"/>
        <n v="500069"/>
        <n v="500070"/>
        <n v="500071"/>
        <n v="500072"/>
        <n v="500073"/>
        <n v="500074"/>
        <n v="500075"/>
        <n v="500076"/>
        <n v="500077"/>
        <n v="500078"/>
        <n v="500079"/>
        <n v="500080"/>
        <n v="500081"/>
        <n v="500082"/>
        <n v="500083"/>
        <n v="500084"/>
        <n v="500085"/>
        <n v="500086"/>
        <n v="500087"/>
        <n v="500088"/>
        <n v="500089"/>
        <n v="500090"/>
        <n v="500091"/>
        <n v="500092"/>
        <n v="500094"/>
        <n v="500095"/>
        <n v="500096"/>
        <n v="500097"/>
        <n v="500098"/>
        <n v="500099"/>
        <n v="500100"/>
        <n v="500101"/>
        <n v="500102"/>
        <n v="500103"/>
        <n v="500104"/>
        <n v="500105"/>
        <n v="500106"/>
        <n v="500107"/>
        <n v="500108"/>
        <n v="500109"/>
        <n v="500110"/>
        <n v="500111"/>
        <n v="500112"/>
        <n v="500113"/>
        <n v="500114"/>
        <n v="500115"/>
        <n v="500116"/>
        <n v="500117"/>
        <n v="500118"/>
        <n v="500119"/>
        <n v="500120"/>
        <n v="500121"/>
        <n v="500122"/>
        <n v="500123"/>
        <n v="500124"/>
        <n v="500125"/>
        <n v="500126"/>
        <n v="500127"/>
        <n v="500128"/>
        <n v="500129"/>
        <n v="500130"/>
        <n v="500131"/>
        <n v="500132"/>
        <n v="500133"/>
        <n v="500134"/>
        <n v="500135"/>
        <n v="500136"/>
        <n v="500137"/>
        <n v="500138"/>
        <n v="500139"/>
        <n v="500140"/>
        <n v="500141"/>
        <n v="500142"/>
        <n v="500143"/>
        <n v="500145"/>
        <n v="500146"/>
        <n v="500147"/>
        <n v="500148"/>
        <n v="500149"/>
        <n v="500150"/>
        <n v="500151"/>
        <n v="500152"/>
        <n v="500153"/>
        <n v="500154"/>
        <n v="500155"/>
        <n v="500156"/>
        <n v="500157"/>
        <n v="500158"/>
        <n v="500159"/>
        <n v="500160"/>
        <n v="500161"/>
        <n v="500162"/>
        <n v="500163"/>
        <n v="500164"/>
        <n v="500165"/>
        <n v="500166"/>
        <n v="500167"/>
        <n v="500168"/>
        <n v="500169"/>
        <n v="500170"/>
        <n v="500171"/>
        <n v="500172"/>
        <n v="500173"/>
        <n v="500174"/>
        <n v="500175"/>
        <n v="500176"/>
        <n v="500177"/>
        <n v="500178"/>
        <n v="500179"/>
        <n v="500180"/>
        <n v="500181"/>
        <n v="500182"/>
        <n v="500183"/>
        <n v="500184"/>
        <n v="500185"/>
        <n v="500186"/>
        <n v="500187"/>
        <n v="500188"/>
        <n v="500189"/>
        <n v="500190"/>
        <n v="500191"/>
        <n v="500192"/>
        <n v="500193"/>
        <n v="500194"/>
        <n v="500195"/>
        <n v="500196"/>
        <n v="500197"/>
        <n v="500198"/>
        <n v="500199"/>
        <n v="500200"/>
        <n v="500201"/>
        <n v="500202"/>
        <n v="500203"/>
        <n v="500204"/>
        <n v="500205"/>
        <n v="500206"/>
        <n v="500207"/>
        <n v="500208"/>
        <n v="500209"/>
        <n v="500211"/>
        <n v="500212"/>
        <n v="500213"/>
        <n v="500214"/>
        <n v="500215"/>
        <n v="500216"/>
        <n v="500217"/>
        <n v="500218"/>
        <n v="500220"/>
        <n v="500221"/>
        <n v="500222"/>
        <n v="500223"/>
        <n v="500224"/>
        <n v="500225"/>
        <n v="500226"/>
        <n v="500227"/>
        <n v="500228"/>
        <n v="500229"/>
        <n v="500230"/>
        <n v="500231"/>
        <n v="500232"/>
        <n v="500233"/>
        <n v="500234"/>
        <n v="500235"/>
        <n v="500236"/>
        <n v="500237"/>
        <n v="500238"/>
        <n v="500239"/>
        <n v="500240"/>
        <n v="500241"/>
        <n v="500242"/>
        <n v="500243"/>
        <n v="500244"/>
        <n v="500245"/>
        <n v="500246"/>
        <n v="500247"/>
        <n v="500248"/>
        <n v="500249"/>
        <n v="500250"/>
        <n v="500251"/>
        <n v="500252"/>
        <n v="500253"/>
        <n v="500254"/>
        <n v="500255"/>
        <n v="500256"/>
        <n v="500257"/>
        <n v="500258"/>
        <n v="500259"/>
        <n v="500260"/>
        <n v="500261"/>
        <n v="500262"/>
        <n v="500263"/>
        <n v="500264"/>
        <n v="500265"/>
        <n v="500266"/>
        <n v="500267"/>
        <n v="500268"/>
        <n v="500269"/>
        <n v="500270"/>
        <n v="500271"/>
        <n v="500272"/>
        <n v="500273"/>
        <n v="500274"/>
        <n v="500275"/>
        <n v="500276"/>
        <n v="500277"/>
        <n v="500278"/>
        <n v="500279"/>
        <n v="500280"/>
        <n v="500281"/>
        <n v="500282"/>
        <n v="500283"/>
        <n v="500284"/>
        <n v="500285"/>
        <n v="500286"/>
        <n v="500287"/>
        <n v="500288"/>
        <n v="500289"/>
        <n v="500290"/>
        <n v="500291"/>
        <n v="500292"/>
        <n v="500293"/>
        <n v="500294"/>
        <n v="500295"/>
        <n v="500296"/>
        <n v="500297"/>
        <n v="500298"/>
        <n v="500299"/>
        <n v="500300"/>
        <n v="500301"/>
        <n v="500302"/>
        <n v="500303"/>
        <n v="500304"/>
        <n v="500305"/>
        <n v="500306"/>
        <n v="500307"/>
        <n v="500308"/>
        <n v="500309"/>
        <n v="500310"/>
        <n v="500311"/>
        <n v="500312"/>
        <n v="500313"/>
        <n v="500314"/>
        <n v="500315"/>
        <n v="500316"/>
        <n v="500317"/>
        <n v="500318"/>
        <n v="500319"/>
        <n v="500320"/>
        <n v="500321"/>
        <n v="500322"/>
        <n v="500323"/>
        <n v="500324"/>
        <n v="500325"/>
        <n v="500326"/>
        <n v="500327"/>
        <n v="500328"/>
        <n v="500329"/>
        <n v="500330"/>
        <n v="500331"/>
        <n v="500332"/>
        <n v="500333"/>
        <n v="500334"/>
        <n v="500335"/>
        <n v="500336"/>
        <n v="500337"/>
        <n v="500338"/>
        <n v="500339"/>
        <n v="500340"/>
        <n v="500341"/>
        <n v="500342"/>
        <n v="500343"/>
        <n v="500344"/>
        <n v="500345"/>
        <n v="500346"/>
        <n v="500347"/>
        <n v="500348"/>
        <n v="500349"/>
        <n v="500350"/>
        <n v="500351"/>
        <n v="500352"/>
        <n v="500353"/>
        <n v="500354"/>
        <n v="500355"/>
        <n v="500356"/>
        <n v="500357"/>
        <n v="500358"/>
        <n v="500359"/>
        <n v="500360"/>
        <n v="500361"/>
        <n v="500362"/>
        <n v="500363"/>
        <n v="500364"/>
        <n v="500365"/>
        <n v="500366"/>
        <n v="500367"/>
        <n v="500368"/>
        <n v="500369"/>
        <n v="500370"/>
        <n v="500371"/>
        <n v="500372"/>
        <n v="500373"/>
        <n v="500374"/>
        <n v="500375"/>
        <n v="500376"/>
        <n v="500377"/>
        <n v="500378"/>
        <n v="500379"/>
        <n v="500380"/>
        <n v="500381"/>
        <n v="500382"/>
        <n v="500383"/>
        <n v="500384"/>
        <n v="500385"/>
        <n v="500386"/>
        <n v="500387"/>
        <n v="500388"/>
        <n v="500389"/>
        <n v="500390"/>
        <n v="500391"/>
        <n v="500392"/>
        <n v="500393"/>
        <n v="500394"/>
        <n v="500395"/>
        <n v="500396"/>
        <n v="500397"/>
        <n v="500398"/>
        <n v="500399"/>
        <n v="500400"/>
        <n v="500401"/>
        <n v="500402"/>
        <n v="500403"/>
        <n v="500404"/>
        <n v="500406"/>
        <n v="500407"/>
        <n v="500408"/>
        <n v="500409"/>
        <n v="500411"/>
        <n v="500412"/>
        <n v="500413"/>
        <n v="500414"/>
        <n v="500415"/>
        <n v="500416"/>
        <n v="500417"/>
        <n v="500418"/>
        <n v="500419"/>
        <n v="500420"/>
        <n v="500421"/>
        <n v="500422"/>
        <n v="500423"/>
        <n v="500424"/>
        <n v="500425"/>
        <n v="500426"/>
        <n v="500427"/>
        <n v="500428"/>
        <n v="500429"/>
        <n v="500430"/>
        <n v="500431"/>
        <n v="500432"/>
        <n v="500433"/>
        <n v="500435"/>
        <n v="500436"/>
        <n v="500437"/>
        <n v="500438"/>
        <n v="500439"/>
        <n v="500440"/>
        <n v="500441"/>
        <n v="500442"/>
        <n v="500443"/>
        <n v="500444"/>
        <n v="500445"/>
        <n v="500446"/>
        <n v="500447"/>
        <n v="500448"/>
        <n v="500449"/>
        <n v="500450"/>
        <n v="500451"/>
        <n v="500452"/>
        <n v="500453"/>
        <n v="500454"/>
        <n v="500455"/>
        <n v="500456"/>
        <n v="500457"/>
        <n v="500458"/>
        <n v="500459"/>
        <n v="500460"/>
        <n v="500461"/>
        <n v="500462"/>
        <n v="500463"/>
        <n v="500464"/>
        <n v="500465"/>
        <n v="500466"/>
        <n v="500467"/>
        <n v="500468"/>
        <n v="500469"/>
        <n v="500470"/>
        <n v="500471"/>
        <n v="500472"/>
        <n v="500473"/>
        <n v="500474"/>
        <n v="500475"/>
        <n v="500476"/>
        <n v="500477"/>
        <n v="500478"/>
        <n v="500479"/>
        <n v="500480"/>
        <n v="500481"/>
        <n v="500482"/>
        <n v="500483"/>
        <n v="500484"/>
        <n v="500485"/>
        <n v="500486"/>
        <n v="500487"/>
        <n v="500488"/>
        <n v="500489"/>
        <n v="500490"/>
        <n v="500491"/>
        <n v="500492"/>
        <n v="500493"/>
        <n v="500494"/>
        <n v="500495"/>
        <n v="500496"/>
        <n v="500497"/>
        <n v="500498"/>
        <n v="500499"/>
        <n v="500500"/>
        <n v="500501"/>
        <n v="500502"/>
        <n v="500503"/>
        <n v="500505"/>
        <n v="500506"/>
        <n v="500507"/>
        <n v="500508"/>
        <n v="500509"/>
        <n v="500510"/>
        <n v="500511"/>
        <n v="500512"/>
        <n v="500513"/>
        <n v="500514"/>
        <n v="500515"/>
        <n v="500516"/>
        <n v="500517"/>
        <n v="500518"/>
        <n v="500519"/>
        <n v="500520"/>
        <n v="500521"/>
        <n v="500522"/>
        <n v="500523"/>
        <n v="500524"/>
        <n v="500525"/>
        <n v="500526"/>
        <n v="500527"/>
        <n v="500528"/>
        <n v="500529"/>
        <n v="500530"/>
        <n v="500531"/>
        <n v="500532"/>
        <n v="500533"/>
        <n v="500534"/>
        <n v="500535"/>
        <n v="500536"/>
        <n v="500537"/>
        <n v="500538"/>
        <n v="500539"/>
        <n v="500540"/>
        <n v="500541"/>
        <n v="500542"/>
        <n v="500543"/>
        <n v="500544"/>
        <n v="500545"/>
        <n v="500546"/>
        <n v="500547"/>
        <n v="500548"/>
        <n v="500549"/>
        <n v="500550"/>
        <n v="500551"/>
        <n v="500552"/>
        <n v="500553"/>
        <n v="500554"/>
        <n v="500555"/>
        <n v="500556"/>
        <n v="500557"/>
        <n v="500558"/>
        <n v="500559"/>
        <n v="500560"/>
        <n v="500561"/>
        <n v="500562"/>
        <n v="500563"/>
        <n v="500564"/>
        <n v="500565"/>
        <n v="500566"/>
        <n v="500567"/>
        <n v="500568"/>
        <n v="500569"/>
        <n v="500570"/>
        <n v="500571"/>
        <n v="500572"/>
        <n v="500573"/>
        <n v="500574"/>
        <n v="500575"/>
        <n v="500576"/>
        <n v="500577"/>
        <n v="500578"/>
        <n v="500579"/>
        <n v="500580"/>
        <n v="500581"/>
        <n v="500582"/>
        <n v="500583"/>
        <n v="500584"/>
        <n v="500585"/>
        <n v="500586"/>
        <n v="500587"/>
        <n v="500588"/>
        <n v="500589"/>
        <n v="500590"/>
        <n v="500591"/>
        <n v="500592"/>
        <n v="500593"/>
        <n v="500594"/>
        <n v="500595"/>
        <n v="500596"/>
        <n v="500597"/>
        <n v="500598"/>
        <n v="500599"/>
        <n v="500600"/>
        <n v="500601"/>
        <n v="500602"/>
        <n v="500603"/>
        <n v="500604"/>
        <n v="500605"/>
        <n v="500606"/>
        <n v="500607"/>
        <n v="500608"/>
        <n v="500609"/>
        <n v="500610"/>
        <n v="500611"/>
        <n v="500612"/>
        <n v="500613"/>
        <n v="500614"/>
        <n v="500615"/>
        <n v="500616"/>
        <n v="500617"/>
        <n v="500618"/>
        <n v="500619"/>
        <n v="500620"/>
        <n v="500621"/>
        <n v="500622"/>
        <n v="500623"/>
        <n v="500624"/>
        <n v="500625"/>
        <n v="500626"/>
        <n v="500627"/>
        <n v="500628"/>
        <n v="500629"/>
        <n v="500630"/>
        <n v="500631"/>
        <n v="500632"/>
        <n v="500633"/>
        <n v="500634"/>
        <n v="500635"/>
        <n v="500636"/>
        <n v="500637"/>
        <n v="500638"/>
        <n v="500639"/>
        <n v="500640"/>
        <n v="500641"/>
        <n v="500642"/>
        <n v="500643"/>
        <n v="500644"/>
        <n v="500645"/>
        <n v="500646"/>
        <n v="500647"/>
        <n v="500648"/>
        <n v="500649"/>
        <n v="500650"/>
        <n v="500651"/>
        <n v="500652"/>
        <n v="500653"/>
        <n v="500654"/>
        <n v="500655"/>
        <n v="500656"/>
        <n v="500657"/>
        <n v="500658"/>
        <n v="500659"/>
        <n v="500660"/>
        <n v="500661"/>
        <n v="500662"/>
        <n v="500663"/>
        <n v="500664"/>
        <n v="500665"/>
        <n v="500666"/>
        <n v="500667"/>
        <n v="500668"/>
        <n v="500669"/>
        <n v="500670"/>
        <n v="500671"/>
        <n v="500672"/>
        <n v="500673"/>
        <n v="500674"/>
        <n v="500675"/>
        <n v="500676"/>
        <n v="500677"/>
        <n v="500678"/>
        <n v="500679"/>
        <n v="500680"/>
        <n v="500681"/>
        <n v="500682"/>
        <n v="500683"/>
        <n v="500684"/>
        <n v="500685"/>
        <n v="500686"/>
        <n v="500687"/>
        <n v="500688"/>
        <n v="500689"/>
        <n v="500690"/>
        <n v="500691"/>
        <n v="500692"/>
        <n v="500693"/>
        <n v="500694"/>
        <n v="500695"/>
        <n v="500696"/>
        <n v="500697"/>
        <n v="500698"/>
        <n v="500699"/>
        <n v="500700"/>
        <n v="500701"/>
        <n v="500702"/>
        <n v="500703"/>
        <n v="500704"/>
        <n v="500705"/>
        <n v="500706"/>
        <n v="500707"/>
        <n v="500708"/>
        <n v="500709"/>
        <n v="500710"/>
        <n v="500711"/>
        <n v="500712"/>
        <n v="500713"/>
        <n v="500714"/>
        <n v="500715"/>
        <n v="500716"/>
        <n v="500717"/>
        <n v="500718"/>
        <n v="500719"/>
        <n v="500720"/>
        <n v="500721"/>
        <n v="500722"/>
        <n v="500723"/>
        <n v="500724"/>
        <n v="500725"/>
        <n v="500726"/>
        <n v="500727"/>
        <n v="500728"/>
        <n v="500729"/>
        <n v="500730"/>
        <n v="500731"/>
        <n v="500732"/>
        <n v="500733"/>
        <n v="500734"/>
        <n v="500735"/>
        <n v="500736"/>
        <n v="500737"/>
        <n v="500738"/>
        <n v="500739"/>
        <n v="500740"/>
        <n v="500741"/>
        <n v="500742"/>
        <n v="500743"/>
        <n v="500744"/>
        <n v="500745"/>
        <n v="500746"/>
        <n v="500747"/>
        <n v="500748"/>
        <n v="500749"/>
        <n v="500750"/>
        <n v="500751"/>
        <n v="500752"/>
        <n v="500753"/>
        <n v="500754"/>
        <n v="500755"/>
        <n v="500756"/>
        <n v="500757"/>
        <n v="500758"/>
        <n v="500759"/>
        <n v="500760"/>
        <n v="500761"/>
        <n v="500762"/>
        <n v="500763"/>
        <n v="500764"/>
        <n v="500765"/>
        <n v="500766"/>
        <n v="500767"/>
        <n v="500768"/>
        <n v="500769"/>
        <n v="500770"/>
        <n v="500771"/>
        <n v="500772"/>
        <n v="500773"/>
        <n v="500774"/>
        <n v="500775"/>
        <n v="500776"/>
        <n v="500777"/>
        <n v="500778"/>
        <n v="500779"/>
        <n v="500780"/>
        <n v="500781"/>
        <n v="500782"/>
        <n v="500783"/>
        <n v="500784"/>
        <n v="500785"/>
        <n v="500786"/>
        <n v="500787"/>
        <n v="500788"/>
        <n v="500789"/>
        <n v="500790"/>
        <n v="500791"/>
        <n v="500792"/>
        <n v="500793"/>
        <n v="500794"/>
        <n v="500795"/>
        <n v="500796"/>
        <n v="500797"/>
        <n v="500798"/>
        <n v="500799"/>
        <n v="500800"/>
        <n v="500801"/>
        <n v="500802"/>
        <n v="500803"/>
        <n v="500804"/>
        <n v="500805"/>
        <n v="500806"/>
        <n v="500807"/>
        <n v="500808"/>
        <n v="500809"/>
        <n v="500810"/>
        <n v="500811"/>
        <n v="500812"/>
        <n v="500813"/>
        <n v="500814"/>
        <n v="500815"/>
        <n v="500816"/>
        <n v="500817"/>
        <n v="500818"/>
        <n v="500819"/>
        <n v="500820"/>
        <n v="500821"/>
        <n v="500822"/>
        <n v="500823"/>
        <n v="500824"/>
        <n v="500825"/>
        <n v="500826"/>
        <n v="500827"/>
        <n v="500828"/>
        <n v="500829"/>
        <n v="500830"/>
        <n v="500831"/>
        <n v="500832"/>
        <n v="500833"/>
        <n v="500834"/>
        <n v="500835"/>
        <n v="500836"/>
        <n v="500837"/>
        <n v="500838"/>
        <n v="500839"/>
        <n v="500840"/>
        <n v="500841"/>
        <n v="500842"/>
        <n v="500843"/>
        <n v="500844"/>
        <n v="500845"/>
        <n v="500846"/>
        <n v="500847"/>
        <n v="500848"/>
        <n v="500849"/>
        <n v="500850"/>
        <n v="500851"/>
        <n v="500852"/>
        <n v="500853"/>
        <n v="500854"/>
        <n v="500855"/>
        <n v="500856"/>
        <n v="500857"/>
        <n v="500858"/>
        <n v="500859"/>
        <n v="500860"/>
        <n v="500861"/>
        <n v="500862"/>
        <n v="500863"/>
        <n v="500864"/>
        <n v="500865"/>
        <n v="500866"/>
        <n v="500867"/>
        <n v="500868"/>
        <n v="500869"/>
        <n v="500870"/>
        <n v="500871"/>
        <n v="500872"/>
        <n v="500873"/>
        <n v="500874"/>
        <n v="500875"/>
        <n v="500876"/>
        <n v="500877"/>
        <n v="500878"/>
        <n v="500879"/>
        <n v="500880"/>
        <n v="500881"/>
        <n v="500882"/>
        <n v="500883"/>
        <n v="500884"/>
        <n v="500886"/>
        <n v="500887"/>
        <n v="500888"/>
        <n v="500889"/>
        <n v="500890"/>
        <n v="500891"/>
        <n v="500892"/>
        <n v="500893"/>
        <n v="500894"/>
        <n v="500895"/>
        <n v="500896"/>
        <n v="500897"/>
        <n v="500898"/>
        <n v="500899"/>
        <n v="500900"/>
        <n v="500901"/>
        <n v="500902"/>
        <n v="500903"/>
        <n v="500904"/>
        <n v="500905"/>
        <n v="500906"/>
        <n v="500907"/>
        <n v="500908"/>
        <n v="500909"/>
        <n v="500911"/>
        <n v="500912"/>
        <n v="500913"/>
        <n v="500914"/>
        <n v="500915"/>
        <n v="500916"/>
        <n v="500917"/>
        <n v="500918"/>
        <n v="500919"/>
        <n v="500920"/>
        <n v="500921"/>
        <n v="500922"/>
        <n v="500923"/>
        <n v="500924"/>
        <n v="500925"/>
        <n v="500926"/>
        <n v="500927"/>
        <n v="500928"/>
        <n v="500929"/>
        <n v="500930"/>
        <n v="500931"/>
        <n v="500932"/>
        <n v="500933"/>
        <n v="500934"/>
        <n v="500935"/>
        <n v="500936"/>
        <n v="500937"/>
        <n v="500938"/>
        <n v="500939"/>
        <n v="500940"/>
        <n v="500941"/>
        <n v="500942"/>
        <n v="500943"/>
        <n v="500944"/>
        <n v="500945"/>
        <n v="500946"/>
        <n v="500947"/>
        <n v="500948"/>
        <n v="500949"/>
        <n v="500950"/>
        <n v="500951"/>
        <n v="500952"/>
        <n v="500953"/>
        <n v="500954"/>
        <n v="500955"/>
        <n v="500956"/>
        <n v="500957"/>
        <n v="500958"/>
        <n v="500959"/>
        <n v="500960"/>
        <n v="500961"/>
        <n v="500962"/>
        <n v="500963"/>
        <n v="500964"/>
        <n v="500965"/>
        <n v="500966"/>
        <n v="500967"/>
        <n v="500968"/>
        <n v="500969"/>
        <n v="500970"/>
        <n v="500972"/>
        <n v="500973"/>
        <n v="500974"/>
        <n v="500975"/>
        <n v="500976"/>
        <n v="500977"/>
        <n v="500978"/>
        <n v="500979"/>
        <n v="500980"/>
        <n v="500981"/>
        <n v="500982"/>
        <n v="500983"/>
        <n v="500984"/>
        <n v="500985"/>
        <n v="500986"/>
        <n v="500987"/>
        <n v="500988"/>
        <n v="500989"/>
        <n v="500990"/>
        <n v="500991"/>
        <n v="500992"/>
        <n v="500993"/>
        <n v="500994"/>
        <n v="500995"/>
        <n v="500996"/>
        <n v="500997"/>
        <n v="500998"/>
        <n v="500999"/>
        <n v="501000"/>
        <n v="501001"/>
        <n v="501002"/>
        <n v="501003"/>
        <n v="501004"/>
        <n v="501005"/>
        <n v="501006"/>
        <n v="501007"/>
        <n v="501008"/>
        <n v="501009"/>
        <n v="501010"/>
        <n v="501011"/>
        <n v="501012"/>
        <m/>
      </sharedItems>
    </cacheField>
    <cacheField name="CustomerID" numFmtId="0">
      <sharedItems containsString="0" containsBlank="1" containsNumber="1" containsInteger="1" minValue="0" maxValue="110000" count="954">
        <n v="103695"/>
        <n v="107935"/>
        <n v="105141"/>
        <n v="108780"/>
        <n v="101187"/>
        <n v="105545"/>
        <n v="106418"/>
        <n v="108755"/>
        <n v="105133"/>
        <n v="103111"/>
        <n v="102192"/>
        <n v="102921"/>
        <n v="101803"/>
        <n v="108853"/>
        <n v="102106"/>
        <n v="104175"/>
        <n v="101158"/>
        <n v="109942"/>
        <n v="104270"/>
        <n v="109355"/>
        <n v="105138"/>
        <n v="105368"/>
        <n v="108138"/>
        <n v="107845"/>
        <n v="109039"/>
        <n v="107998"/>
        <n v="108982"/>
        <n v="103563"/>
        <n v="100210"/>
        <n v="104615"/>
        <n v="101683"/>
        <n v="109032"/>
        <n v="107365"/>
        <n v="105082"/>
        <n v="106013"/>
        <n v="107822"/>
        <n v="101279"/>
        <n v="107601"/>
        <n v="104265"/>
        <n v="104458"/>
        <n v="104499"/>
        <n v="109584"/>
        <n v="104936"/>
        <n v="100241"/>
        <n v="107541"/>
        <n v="109317"/>
        <n v="109778"/>
        <n v="102735"/>
        <n v="103894"/>
        <n v="102673"/>
        <n v="108100"/>
        <n v="106454"/>
        <n v="106300"/>
        <n v="109861"/>
        <n v="108499"/>
        <n v="101360"/>
        <n v="104257"/>
        <n v="109227"/>
        <n v="104648"/>
        <n v="103566"/>
        <n v="103020"/>
        <n v="106946"/>
        <n v="107003"/>
        <n v="104518"/>
        <n v="102799"/>
        <n v="100378"/>
        <n v="104093"/>
        <n v="103550"/>
        <n v="105158"/>
        <n v="100053"/>
        <n v="108212"/>
        <n v="102545"/>
        <n v="106487"/>
        <n v="104951"/>
        <n v="105369"/>
        <n v="108987"/>
        <n v="100771"/>
        <n v="103388"/>
        <n v="100685"/>
        <n v="103580"/>
        <n v="104496"/>
        <n v="100243"/>
        <n v="106025"/>
        <n v="102251"/>
        <n v="100613"/>
        <n v="109509"/>
        <n v="105172"/>
        <n v="102165"/>
        <n v="103486"/>
        <n v="107995"/>
        <n v="106590"/>
        <n v="102948"/>
        <n v="101255"/>
        <n v="100083"/>
        <n v="102041"/>
        <n v="109236"/>
        <n v="100300"/>
        <n v="100163"/>
        <n v="100303"/>
        <n v="107340"/>
        <n v="108874"/>
        <n v="104487"/>
        <n v="109797"/>
        <n v="103568"/>
        <n v="109290"/>
        <n v="104967"/>
        <n v="103549"/>
        <n v="108820"/>
        <n v="100737"/>
        <n v="101140"/>
        <n v="107642"/>
        <n v="109188"/>
        <n v="102851"/>
        <n v="106117"/>
        <n v="101946"/>
        <n v="101651"/>
        <n v="104593"/>
        <n v="109488"/>
        <n v="100808"/>
        <n v="108989"/>
        <n v="100247"/>
        <n v="109971"/>
        <n v="105041"/>
        <n v="108080"/>
        <n v="106290"/>
        <n v="108436"/>
        <n v="106102"/>
        <n v="101553"/>
        <n v="100253"/>
        <n v="108318"/>
        <n v="100871"/>
        <n v="107244"/>
        <n v="101858"/>
        <n v="106607"/>
        <n v="103340"/>
        <n v="108835"/>
        <n v="107286"/>
        <n v="104773"/>
        <n v="100252"/>
        <n v="103103"/>
        <n v="107442"/>
        <n v="104242"/>
        <n v="103890"/>
        <n v="105747"/>
        <n v="104546"/>
        <n v="104785"/>
        <n v="101032"/>
        <n v="108727"/>
        <n v="102971"/>
        <n v="103997"/>
        <n v="103396"/>
        <n v="109573"/>
        <n v="109579"/>
        <n v="109132"/>
        <n v="105558"/>
        <n v="103309"/>
        <n v="101330"/>
        <n v="105525"/>
        <n v="107488"/>
        <n v="106784"/>
        <n v="109289"/>
        <n v="109697"/>
        <n v="100360"/>
        <n v="104134"/>
        <n v="105228"/>
        <n v="105936"/>
        <n v="104045"/>
        <n v="106613"/>
        <n v="106216"/>
        <n v="105281"/>
        <n v="101073"/>
        <n v="102785"/>
        <n v="101517"/>
        <n v="103489"/>
        <n v="105531"/>
        <n v="103745"/>
        <n v="104872"/>
        <n v="102886"/>
        <n v="106987"/>
        <n v="105068"/>
        <n v="107190"/>
        <n v="100617"/>
        <n v="108226"/>
        <n v="107802"/>
        <n v="107506"/>
        <n v="100026"/>
        <n v="109461"/>
        <n v="106441"/>
        <n v="105983"/>
        <n v="100659"/>
        <n v="107716"/>
        <n v="109561"/>
        <n v="109142"/>
        <n v="105852"/>
        <n v="104768"/>
        <n v="104200"/>
        <n v="101186"/>
        <n v="103758"/>
        <n v="108390"/>
        <n v="109364"/>
        <n v="101183"/>
        <n v="101856"/>
        <n v="103338"/>
        <n v="104657"/>
        <n v="105761"/>
        <n v="102102"/>
        <n v="101342"/>
        <n v="102133"/>
        <n v="101884"/>
        <n v="108279"/>
        <n v="101096"/>
        <n v="103404"/>
        <n v="105098"/>
        <n v="100444"/>
        <n v="102621"/>
        <n v="101921"/>
        <n v="103652"/>
        <n v="105062"/>
        <n v="107826"/>
        <n v="109447"/>
        <n v="108616"/>
        <n v="105005"/>
        <n v="104694"/>
        <n v="103813"/>
        <n v="105008"/>
        <n v="101359"/>
        <n v="106814"/>
        <n v="101208"/>
        <n v="102833"/>
        <n v="108171"/>
        <n v="107568"/>
        <n v="103653"/>
        <n v="109458"/>
        <n v="104794"/>
        <n v="101714"/>
        <n v="109391"/>
        <n v="103669"/>
        <n v="103959"/>
        <n v="101327"/>
        <n v="102218"/>
        <n v="101098"/>
        <n v="104925"/>
        <n v="105894"/>
        <n v="105319"/>
        <n v="102797"/>
        <n v="100061"/>
        <n v="102612"/>
        <n v="109592"/>
        <n v="103944"/>
        <n v="102347"/>
        <n v="106912"/>
        <n v="104801"/>
        <n v="102947"/>
        <n v="102880"/>
        <n v="105309"/>
        <n v="109946"/>
        <n v="108067"/>
        <n v="105435"/>
        <n v="100715"/>
        <n v="106864"/>
        <n v="101823"/>
        <n v="108672"/>
        <n v="105282"/>
        <n v="101406"/>
        <n v="102743"/>
        <n v="104179"/>
        <n v="109408"/>
        <n v="106341"/>
        <n v="100708"/>
        <n v="105080"/>
        <n v="103290"/>
        <n v="107941"/>
        <n v="100054"/>
        <n v="108968"/>
        <n v="100055"/>
        <n v="105484"/>
        <n v="100679"/>
        <n v="103840"/>
        <n v="106045"/>
        <n v="103336"/>
        <n v="109103"/>
        <n v="104232"/>
        <n v="108916"/>
        <n v="103658"/>
        <n v="106736"/>
        <n v="100751"/>
        <n v="103423"/>
        <n v="106060"/>
        <n v="103443"/>
        <n v="103283"/>
        <n v="104666"/>
        <n v="105361"/>
        <n v="104588"/>
        <n v="108012"/>
        <n v="105715"/>
        <n v="109107"/>
        <n v="102046"/>
        <n v="108731"/>
        <n v="103662"/>
        <n v="108051"/>
        <n v="101765"/>
        <n v="108993"/>
        <n v="105595"/>
        <n v="105876"/>
        <n v="108721"/>
        <n v="105592"/>
        <n v="108058"/>
        <n v="102656"/>
        <n v="104566"/>
        <n v="102235"/>
        <n v="107750"/>
        <n v="109037"/>
        <n v="101855"/>
        <n v="109297"/>
        <n v="100255"/>
        <n v="107926"/>
        <n v="109135"/>
        <n v="107966"/>
        <n v="109495"/>
        <n v="108817"/>
        <n v="107264"/>
        <n v="101849"/>
        <n v="103374"/>
        <n v="101940"/>
        <n v="100839"/>
        <n v="104740"/>
        <n v="100349"/>
        <n v="101761"/>
        <n v="100244"/>
        <n v="107739"/>
        <n v="102935"/>
        <n v="108337"/>
        <n v="102696"/>
        <n v="105902"/>
        <n v="102582"/>
        <n v="105800"/>
        <n v="108857"/>
        <n v="103814"/>
        <n v="101735"/>
        <n v="102611"/>
        <n v="101181"/>
        <n v="107258"/>
        <n v="104047"/>
        <n v="104799"/>
        <n v="107797"/>
        <n v="105650"/>
        <n v="104724"/>
        <n v="101331"/>
        <n v="106659"/>
        <n v="103902"/>
        <n v="106525"/>
        <n v="100344"/>
        <n v="101528"/>
        <n v="109099"/>
        <n v="107411"/>
        <n v="106065"/>
        <n v="101206"/>
        <n v="105716"/>
        <n v="107128"/>
        <n v="107852"/>
        <n v="109235"/>
        <n v="108526"/>
        <n v="103438"/>
        <n v="101265"/>
        <n v="101541"/>
        <n v="109882"/>
        <n v="104149"/>
        <n v="109715"/>
        <n v="109765"/>
        <n v="104869"/>
        <n v="105814"/>
        <n v="101504"/>
        <n v="102142"/>
        <n v="106383"/>
        <n v="108676"/>
        <n v="105268"/>
        <n v="102029"/>
        <n v="103889"/>
        <n v="105944"/>
        <n v="107310"/>
        <n v="100983"/>
        <n v="102390"/>
        <n v="101853"/>
        <n v="107782"/>
        <n v="102773"/>
        <n v="106497"/>
        <n v="101287"/>
        <n v="101164"/>
        <n v="101132"/>
        <n v="104273"/>
        <n v="100203"/>
        <n v="105180"/>
        <n v="104784"/>
        <n v="104685"/>
        <n v="107934"/>
        <n v="107909"/>
        <n v="106115"/>
        <n v="105713"/>
        <n v="102244"/>
        <n v="104983"/>
        <n v="105862"/>
        <n v="109326"/>
        <n v="102918"/>
        <n v="107013"/>
        <n v="101954"/>
        <n v="100941"/>
        <n v="109947"/>
        <n v="102554"/>
        <n v="106330"/>
        <n v="102594"/>
        <n v="103310"/>
        <n v="107678"/>
        <n v="102713"/>
        <n v="100654"/>
        <n v="104143"/>
        <n v="107669"/>
        <n v="107733"/>
        <n v="105963"/>
        <n v="107631"/>
        <n v="108038"/>
        <n v="104561"/>
        <n v="108208"/>
        <n v="106836"/>
        <n v="105284"/>
        <n v="101081"/>
        <n v="107967"/>
        <n v="100480"/>
        <n v="108017"/>
        <n v="105601"/>
        <n v="105627"/>
        <n v="109569"/>
        <n v="101832"/>
        <n v="104268"/>
        <n v="107349"/>
        <n v="109044"/>
        <n v="108339"/>
        <n v="106895"/>
        <n v="105315"/>
        <n v="109076"/>
        <n v="107082"/>
        <n v="105554"/>
        <n v="104889"/>
        <n v="103298"/>
        <n v="100065"/>
        <n v="107171"/>
        <n v="107812"/>
        <n v="100529"/>
        <n v="103318"/>
        <n v="109641"/>
        <n v="108216"/>
        <n v="100286"/>
        <n v="104100"/>
        <n v="108687"/>
        <n v="106538"/>
        <n v="101368"/>
        <n v="104279"/>
        <n v="100804"/>
        <n v="102415"/>
        <n v="104056"/>
        <n v="108735"/>
        <n v="101816"/>
        <n v="105247"/>
        <n v="106556"/>
        <n v="107719"/>
        <n v="106064"/>
        <n v="101307"/>
        <n v="108365"/>
        <n v="109469"/>
        <n v="108502"/>
        <n v="101862"/>
        <n v="102924"/>
        <n v="100586"/>
        <n v="107727"/>
        <n v="109407"/>
        <n v="106249"/>
        <n v="103206"/>
        <n v="104577"/>
        <n v="103581"/>
        <n v="100929"/>
        <n v="101529"/>
        <n v="105350"/>
        <n v="109959"/>
        <n v="101752"/>
        <n v="109538"/>
        <n v="101637"/>
        <n v="107089"/>
        <n v="109219"/>
        <n v="102917"/>
        <n v="105130"/>
        <n v="105403"/>
        <n v="108728"/>
        <n v="103213"/>
        <n v="100890"/>
        <n v="106523"/>
        <n v="104203"/>
        <n v="102015"/>
        <n v="103303"/>
        <n v="108958"/>
        <n v="100434"/>
        <n v="106348"/>
        <n v="102567"/>
        <n v="106202"/>
        <n v="103168"/>
        <n v="104029"/>
        <n v="104078"/>
        <n v="107099"/>
        <n v="107569"/>
        <n v="103975"/>
        <n v="105438"/>
        <n v="106973"/>
        <n v="104619"/>
        <n v="104970"/>
        <n v="106679"/>
        <n v="104171"/>
        <n v="107168"/>
        <n v="106335"/>
        <n v="101001"/>
        <n v="100176"/>
        <n v="109707"/>
        <n v="105313"/>
        <n v="107806"/>
        <n v="105675"/>
        <n v="102606"/>
        <n v="101119"/>
        <n v="108498"/>
        <n v="101171"/>
        <n v="104021"/>
        <n v="103850"/>
        <n v="101733"/>
        <n v="109221"/>
        <n v="105249"/>
        <n v="106097"/>
        <n v="103797"/>
        <n v="108840"/>
        <n v="109740"/>
        <n v="102950"/>
        <n v="105389"/>
        <n v="103629"/>
        <n v="100262"/>
        <n v="106681"/>
        <n v="108368"/>
        <n v="104659"/>
        <n v="109567"/>
        <n v="107523"/>
        <n v="109705"/>
        <n v="100301"/>
        <n v="102113"/>
        <n v="102776"/>
        <n v="105433"/>
        <n v="109330"/>
        <n v="104064"/>
        <n v="102281"/>
        <n v="104411"/>
        <n v="104617"/>
        <n v="103212"/>
        <n v="107133"/>
        <n v="100278"/>
        <n v="103072"/>
        <n v="102012"/>
        <n v="100712"/>
        <n v="100882"/>
        <n v="108578"/>
        <n v="104859"/>
        <n v="109752"/>
        <n v="101827"/>
        <n v="109470"/>
        <n v="105016"/>
        <n v="101088"/>
        <n v="102002"/>
        <n v="104866"/>
        <n v="106817"/>
        <n v="108231"/>
        <n v="109192"/>
        <n v="108901"/>
        <n v="105833"/>
        <n v="101039"/>
        <n v="109948"/>
        <n v="101577"/>
        <n v="100938"/>
        <n v="108181"/>
        <n v="105508"/>
        <n v="104162"/>
        <n v="104468"/>
        <n v="106815"/>
        <n v="109956"/>
        <n v="106768"/>
        <n v="105698"/>
        <n v="102132"/>
        <n v="103395"/>
        <n v="102926"/>
        <n v="107321"/>
        <n v="107197"/>
        <n v="100379"/>
        <n v="100119"/>
        <n v="109492"/>
        <n v="104897"/>
        <n v="109238"/>
        <n v="101347"/>
        <n v="103709"/>
        <n v="105113"/>
        <n v="104882"/>
        <n v="102572"/>
        <n v="105537"/>
        <n v="104253"/>
        <n v="103529"/>
        <n v="107456"/>
        <n v="102293"/>
        <n v="102856"/>
        <n v="104702"/>
        <n v="102817"/>
        <n v="104661"/>
        <n v="104669"/>
        <n v="104927"/>
        <n v="105337"/>
        <n v="105267"/>
        <n v="104835"/>
        <n v="103752"/>
        <n v="103416"/>
        <n v="105285"/>
        <n v="102863"/>
        <n v="103271"/>
        <n v="107341"/>
        <n v="107731"/>
        <n v="107658"/>
        <n v="108662"/>
        <n v="102068"/>
        <n v="104214"/>
        <n v="104671"/>
        <n v="103904"/>
        <n v="100319"/>
        <n v="107619"/>
        <n v="101259"/>
        <n v="108794"/>
        <n v="106328"/>
        <n v="108683"/>
        <n v="106655"/>
        <n v="103815"/>
        <n v="106302"/>
        <n v="106204"/>
        <n v="103661"/>
        <n v="102451"/>
        <n v="107071"/>
        <n v="101778"/>
        <n v="105221"/>
        <n v="101491"/>
        <n v="102290"/>
        <n v="108842"/>
        <n v="109024"/>
        <n v="108210"/>
        <n v="108759"/>
        <n v="107659"/>
        <n v="107484"/>
        <n v="107865"/>
        <n v="106640"/>
        <n v="104432"/>
        <n v="107186"/>
        <n v="101332"/>
        <n v="103966"/>
        <n v="104205"/>
        <n v="105781"/>
        <n v="107256"/>
        <n v="109885"/>
        <n v="104797"/>
        <n v="108093"/>
        <n v="109827"/>
        <n v="102544"/>
        <n v="106295"/>
        <n v="101241"/>
        <n v="101614"/>
        <n v="105153"/>
        <n v="100783"/>
        <n v="105384"/>
        <n v="102149"/>
        <n v="106862"/>
        <n v="105408"/>
        <n v="107987"/>
        <n v="109669"/>
        <n v="108349"/>
        <n v="105206"/>
        <n v="107636"/>
        <n v="109403"/>
        <n v="102423"/>
        <n v="108412"/>
        <n v="109928"/>
        <n v="103359"/>
        <n v="109387"/>
        <n v="104057"/>
        <n v="106518"/>
        <n v="100596"/>
        <n v="100158"/>
        <n v="107879"/>
        <n v="102501"/>
        <n v="107893"/>
        <n v="104857"/>
        <n v="100984"/>
        <n v="102977"/>
        <n v="101924"/>
        <n v="106128"/>
        <n v="101042"/>
        <n v="105706"/>
        <n v="108190"/>
        <n v="109828"/>
        <n v="106846"/>
        <n v="104373"/>
        <n v="105160"/>
        <n v="100295"/>
        <n v="108974"/>
        <n v="100502"/>
        <n v="109763"/>
        <n v="101582"/>
        <n v="109191"/>
        <n v="102512"/>
        <n v="100424"/>
        <n v="106701"/>
        <n v="106778"/>
        <n v="103277"/>
        <n v="108431"/>
        <n v="100049"/>
        <n v="101910"/>
        <n v="100631"/>
        <n v="105615"/>
        <n v="103022"/>
        <n v="105201"/>
        <n v="105988"/>
        <n v="105651"/>
        <n v="101466"/>
        <n v="106860"/>
        <n v="100206"/>
        <n v="104231"/>
        <n v="104735"/>
        <n v="105474"/>
        <n v="106376"/>
        <n v="108424"/>
        <n v="105512"/>
        <n v="107390"/>
        <n v="107897"/>
        <n v="104286"/>
        <n v="102356"/>
        <n v="106840"/>
        <n v="103422"/>
        <n v="101427"/>
        <n v="105887"/>
        <n v="102660"/>
        <n v="103878"/>
        <n v="104760"/>
        <n v="107763"/>
        <n v="106411"/>
        <n v="100124"/>
        <n v="101086"/>
        <n v="107701"/>
        <n v="109229"/>
        <n v="108134"/>
        <n v="101782"/>
        <n v="107008"/>
        <n v="100989"/>
        <n v="105497"/>
        <n v="103017"/>
        <n v="102445"/>
        <n v="103437"/>
        <n v="101461"/>
        <n v="109365"/>
        <n v="108923"/>
        <n v="109005"/>
        <n v="109997"/>
        <n v="108633"/>
        <n v="101650"/>
        <n v="104690"/>
        <n v="103822"/>
        <n v="100095"/>
        <n v="102289"/>
        <n v="107030"/>
        <n v="102051"/>
        <n v="105984"/>
        <n v="107032"/>
        <n v="100028"/>
        <n v="109359"/>
        <n v="104706"/>
        <n v="103984"/>
        <n v="100138"/>
        <n v="108408"/>
        <n v="108933"/>
        <n v="108745"/>
        <n v="105827"/>
        <n v="106881"/>
        <n v="108306"/>
        <n v="107791"/>
        <n v="104933"/>
        <n v="100897"/>
        <n v="104036"/>
        <n v="107912"/>
        <n v="109685"/>
        <n v="101498"/>
        <n v="108542"/>
        <n v="109559"/>
        <n v="100489"/>
        <n v="102846"/>
        <n v="100806"/>
        <n v="107575"/>
        <n v="104715"/>
        <n v="103925"/>
        <n v="101896"/>
        <n v="103382"/>
        <n v="100189"/>
        <n v="105929"/>
        <n v="107630"/>
        <n v="107221"/>
        <n v="108910"/>
        <n v="104620"/>
        <n v="102684"/>
        <n v="105045"/>
        <n v="106725"/>
        <n v="107274"/>
        <n v="106121"/>
        <n v="101674"/>
        <n v="103246"/>
        <n v="101254"/>
        <n v="102732"/>
        <n v="103931"/>
        <n v="108703"/>
        <n v="103720"/>
        <n v="106315"/>
        <n v="102793"/>
        <n v="108319"/>
        <n v="109255"/>
        <n v="108344"/>
        <n v="102178"/>
        <n v="107818"/>
        <n v="104721"/>
        <n v="101220"/>
        <n v="103764"/>
        <n v="107070"/>
        <n v="109980"/>
        <n v="100769"/>
        <n v="106324"/>
        <n v="109244"/>
        <n v="103357"/>
        <n v="108872"/>
        <n v="105521"/>
        <n v="102138"/>
        <n v="108327"/>
        <n v="101106"/>
        <n v="101695"/>
        <n v="102038"/>
        <n v="103664"/>
        <n v="100927"/>
        <n v="103165"/>
        <n v="103823"/>
        <n v="101673"/>
        <n v="101524"/>
        <n v="102801"/>
        <n v="105707"/>
        <n v="104442"/>
        <n v="103090"/>
        <n v="100842"/>
        <n v="105179"/>
        <n v="102675"/>
        <n v="107940"/>
        <n v="101407"/>
        <n v="101998"/>
        <n v="108373"/>
        <n v="103033"/>
        <n v="104868"/>
        <n v="104644"/>
        <n v="101846"/>
        <n v="104019"/>
        <n v="108366"/>
        <n v="105382"/>
        <n v="109241"/>
        <n v="109649"/>
        <n v="104122"/>
        <n v="102703"/>
        <n v="102127"/>
        <n v="106176"/>
        <n v="106951"/>
        <n v="107765"/>
        <n v="102040"/>
        <n v="106633"/>
        <n v="106811"/>
        <n v="104932"/>
        <n v="106858"/>
        <n v="104910"/>
        <n v="107999"/>
        <n v="103050"/>
        <n v="106150"/>
        <n v="103207"/>
        <n v="105057"/>
        <n v="102519"/>
        <n v="102437"/>
        <n v="106393"/>
        <n v="102808"/>
        <n v="109761"/>
        <n v="108151"/>
        <n v="102428"/>
        <n v="103367"/>
        <n v="104469"/>
        <n v="105801"/>
        <n v="103584"/>
        <n v="103536"/>
        <n v="104959"/>
        <n v="100376"/>
        <n v="105861"/>
        <n v="100763"/>
        <n v="104325"/>
        <n v="105444"/>
        <n v="107648"/>
        <n v="106732"/>
        <n v="104596"/>
        <n v="109251"/>
        <n v="109494"/>
        <n v="105870"/>
        <n v="103601"/>
        <n v="104509"/>
        <n v="103751"/>
        <n v="100219"/>
        <n v="103311"/>
        <n v="106716"/>
        <n v="107164"/>
        <n v="107451"/>
        <n v="105613"/>
        <n v="102231"/>
        <n v="108470"/>
        <n v="107684"/>
        <n v="102008"/>
        <n v="106776"/>
        <n v="102328"/>
        <n v="100546"/>
        <n v="100555"/>
        <n v="102657"/>
        <n v="102213"/>
        <n v="110000"/>
        <n v="109524"/>
        <n v="100080"/>
        <n v="109203"/>
        <n v="109543"/>
        <n v="108174"/>
        <n v="101194"/>
        <n v="107276"/>
        <n v="107567"/>
        <n v="105566"/>
        <n v="101019"/>
        <n v="102539"/>
        <n v="105171"/>
        <n v="101636"/>
        <n v="109720"/>
        <n v="100572"/>
        <n v="105358"/>
        <n v="105616"/>
        <n v="104658"/>
        <n v="108805"/>
        <n v="101159"/>
        <n v="101525"/>
        <n v="100651"/>
        <n v="102399"/>
        <m/>
      </sharedItems>
    </cacheField>
    <cacheField name="OrderDate" numFmtId="0">
      <sharedItems containsString="0" containsBlank="1" containsNonDate="0" containsDate="1" minDate="2024-01-03T00:00:00" maxDate="2026-06-29T00:00:00" count="607">
        <d v="2025-08-28T00:00:00"/>
        <d v="2024-05-31T00:00:00"/>
        <d v="2025-08-10T00:00:00"/>
        <d v="2024-10-11T00:00:00"/>
        <d v="2024-02-19T00:00:00"/>
        <d v="2024-07-16T00:00:00"/>
        <d v="2025-10-15T00:00:00"/>
        <d v="2024-12-03T00:00:00"/>
        <d v="2025-04-15T00:00:00"/>
        <d v="2024-04-28T00:00:00"/>
        <d v="2024-03-21T00:00:00"/>
        <d v="2024-07-25T00:00:00"/>
        <d v="2025-02-12T00:00:00"/>
        <d v="2026-01-01T00:00:00"/>
        <d v="2025-10-21T00:00:00"/>
        <d v="2024-05-18T00:00:00"/>
        <d v="2024-03-02T00:00:00"/>
        <d v="2024-07-13T00:00:00"/>
        <d v="2026-01-06T00:00:00"/>
        <d v="2025-03-21T00:00:00"/>
        <d v="2025-11-28T00:00:00"/>
        <d v="2024-11-15T00:00:00"/>
        <d v="2025-05-25T00:00:00"/>
        <d v="2025-05-28T00:00:00"/>
        <d v="2025-06-25T00:00:00"/>
        <d v="2025-02-10T00:00:00"/>
        <d v="2025-01-05T00:00:00"/>
        <d v="2026-05-29T00:00:00"/>
        <d v="2024-08-23T00:00:00"/>
        <d v="2025-09-18T00:00:00"/>
        <d v="2026-04-21T00:00:00"/>
        <d v="2025-05-04T00:00:00"/>
        <d v="2025-02-26T00:00:00"/>
        <d v="2024-04-14T00:00:00"/>
        <d v="2026-03-10T00:00:00"/>
        <d v="2026-06-06T00:00:00"/>
        <d v="2024-06-23T00:00:00"/>
        <d v="2026-03-21T00:00:00"/>
        <d v="2024-11-16T00:00:00"/>
        <d v="2025-06-19T00:00:00"/>
        <d v="2024-07-12T00:00:00"/>
        <d v="2024-08-02T00:00:00"/>
        <d v="2025-06-18T00:00:00"/>
        <d v="2025-02-22T00:00:00"/>
        <d v="2026-05-16T00:00:00"/>
        <d v="2024-08-16T00:00:00"/>
        <d v="2026-01-28T00:00:00"/>
        <d v="2025-02-01T00:00:00"/>
        <d v="2024-04-26T00:00:00"/>
        <d v="2025-10-14T00:00:00"/>
        <d v="2025-12-15T00:00:00"/>
        <d v="2024-02-04T00:00:00"/>
        <d v="2024-12-20T00:00:00"/>
        <d v="2025-03-02T00:00:00"/>
        <d v="2025-06-15T00:00:00"/>
        <d v="2025-07-16T00:00:00"/>
        <d v="2025-12-18T00:00:00"/>
        <d v="2024-08-24T00:00:00"/>
        <d v="2024-04-06T00:00:00"/>
        <d v="2024-06-10T00:00:00"/>
        <d v="2026-04-11T00:00:00"/>
        <d v="2025-04-17T00:00:00"/>
        <d v="2024-07-08T00:00:00"/>
        <d v="2025-11-09T00:00:00"/>
        <d v="2025-05-22T00:00:00"/>
        <d v="2024-11-13T00:00:00"/>
        <d v="2024-01-16T00:00:00"/>
        <d v="2025-11-07T00:00:00"/>
        <d v="2025-09-12T00:00:00"/>
        <d v="2024-08-14T00:00:00"/>
        <d v="2024-08-17T00:00:00"/>
        <d v="2024-08-22T00:00:00"/>
        <d v="2025-08-02T00:00:00"/>
        <d v="2024-09-11T00:00:00"/>
        <d v="2024-09-25T00:00:00"/>
        <d v="2024-11-21T00:00:00"/>
        <d v="2026-06-05T00:00:00"/>
        <d v="2024-11-22T00:00:00"/>
        <d v="2025-09-13T00:00:00"/>
        <d v="2026-02-03T00:00:00"/>
        <d v="2026-06-19T00:00:00"/>
        <d v="2025-02-23T00:00:00"/>
        <d v="2024-10-12T00:00:00"/>
        <d v="2025-11-04T00:00:00"/>
        <d v="2025-07-20T00:00:00"/>
        <d v="2024-11-09T00:00:00"/>
        <d v="2024-06-26T00:00:00"/>
        <d v="2025-08-22T00:00:00"/>
        <d v="2024-08-05T00:00:00"/>
        <d v="2024-10-29T00:00:00"/>
        <d v="2024-02-29T00:00:00"/>
        <d v="2024-07-09T00:00:00"/>
        <d v="2024-06-17T00:00:00"/>
        <d v="2025-09-27T00:00:00"/>
        <d v="2025-08-23T00:00:00"/>
        <d v="2025-04-10T00:00:00"/>
        <d v="2024-11-30T00:00:00"/>
        <d v="2026-02-10T00:00:00"/>
        <d v="2025-06-04T00:00:00"/>
        <d v="2025-07-22T00:00:00"/>
        <d v="2025-11-19T00:00:00"/>
        <d v="2025-09-16T00:00:00"/>
        <d v="2025-03-10T00:00:00"/>
        <d v="2024-05-11T00:00:00"/>
        <d v="2025-11-30T00:00:00"/>
        <d v="2025-07-18T00:00:00"/>
        <d v="2026-06-04T00:00:00"/>
        <d v="2025-03-16T00:00:00"/>
        <d v="2025-09-17T00:00:00"/>
        <d v="2026-01-19T00:00:00"/>
        <d v="2026-01-07T00:00:00"/>
        <d v="2026-06-08T00:00:00"/>
        <d v="2026-06-07T00:00:00"/>
        <d v="2026-05-22T00:00:00"/>
        <d v="2025-06-14T00:00:00"/>
        <d v="2025-12-19T00:00:00"/>
        <d v="2024-03-06T00:00:00"/>
        <d v="2024-08-08T00:00:00"/>
        <d v="2024-03-20T00:00:00"/>
        <d v="2025-03-12T00:00:00"/>
        <d v="2026-05-17T00:00:00"/>
        <d v="2025-07-14T00:00:00"/>
        <d v="2025-02-02T00:00:00"/>
        <d v="2025-11-16T00:00:00"/>
        <d v="2025-04-20T00:00:00"/>
        <d v="2025-01-30T00:00:00"/>
        <d v="2025-06-27T00:00:00"/>
        <d v="2025-03-18T00:00:00"/>
        <d v="2025-07-08T00:00:00"/>
        <d v="2025-11-24T00:00:00"/>
        <d v="2025-02-03T00:00:00"/>
        <d v="2024-12-24T00:00:00"/>
        <d v="2026-03-01T00:00:00"/>
        <d v="2024-12-31T00:00:00"/>
        <d v="2026-01-02T00:00:00"/>
        <d v="2025-06-17T00:00:00"/>
        <d v="2024-01-11T00:00:00"/>
        <d v="2025-02-15T00:00:00"/>
        <d v="2024-06-30T00:00:00"/>
        <d v="2024-05-10T00:00:00"/>
        <d v="2024-07-21T00:00:00"/>
        <d v="2025-09-07T00:00:00"/>
        <d v="2025-06-26T00:00:00"/>
        <d v="2025-04-08T00:00:00"/>
        <d v="2025-03-03T00:00:00"/>
        <d v="2024-12-02T00:00:00"/>
        <d v="2026-02-06T00:00:00"/>
        <d v="2026-04-06T00:00:00"/>
        <d v="2025-10-22T00:00:00"/>
        <d v="2024-09-06T00:00:00"/>
        <d v="2026-03-13T00:00:00"/>
        <d v="2025-12-08T00:00:00"/>
        <d v="2024-04-17T00:00:00"/>
        <d v="2024-10-22T00:00:00"/>
        <d v="2024-10-10T00:00:00"/>
        <d v="2025-09-22T00:00:00"/>
        <d v="2025-03-28T00:00:00"/>
        <d v="2024-08-18T00:00:00"/>
        <d v="2024-07-18T00:00:00"/>
        <d v="2025-07-29T00:00:00"/>
        <d v="2025-03-15T00:00:00"/>
        <d v="2024-08-13T00:00:00"/>
        <d v="2026-06-29T00:00:00"/>
        <d v="2024-06-01T00:00:00"/>
        <d v="2025-04-01T00:00:00"/>
        <d v="2024-11-20T00:00:00"/>
        <d v="2024-07-07T00:00:00"/>
        <d v="2026-01-26T00:00:00"/>
        <d v="2026-05-08T00:00:00"/>
        <d v="2024-10-27T00:00:00"/>
        <d v="2024-01-24T00:00:00"/>
        <d v="2025-03-04T00:00:00"/>
        <d v="2024-05-12T00:00:00"/>
        <d v="2025-08-03T00:00:00"/>
        <d v="2026-04-01T00:00:00"/>
        <d v="2024-03-17T00:00:00"/>
        <d v="2025-11-02T00:00:00"/>
        <d v="2026-03-24T00:00:00"/>
        <d v="2025-06-20T00:00:00"/>
        <d v="2025-04-07T00:00:00"/>
        <d v="2024-01-23T00:00:00"/>
        <d v="2025-01-17T00:00:00"/>
        <d v="2025-10-04T00:00:00"/>
        <d v="2026-03-19T00:00:00"/>
        <d v="2025-01-06T00:00:00"/>
        <d v="2024-04-23T00:00:00"/>
        <d v="2026-04-10T00:00:00"/>
        <d v="2026-03-09T00:00:00"/>
        <d v="2024-06-07T00:00:00"/>
        <d v="2025-03-01T00:00:00"/>
        <d v="2024-10-28T00:00:00"/>
        <d v="2026-03-05T00:00:00"/>
        <d v="2025-04-16T00:00:00"/>
        <d v="2025-06-24T00:00:00"/>
        <d v="2025-08-09T00:00:00"/>
        <d v="2025-11-10T00:00:00"/>
        <d v="2026-06-12T00:00:00"/>
        <d v="2025-05-13T00:00:00"/>
        <d v="2024-11-12T00:00:00"/>
        <d v="2025-01-09T00:00:00"/>
        <d v="2024-12-13T00:00:00"/>
        <d v="2025-01-24T00:00:00"/>
        <d v="2024-01-27T00:00:00"/>
        <d v="2024-08-01T00:00:00"/>
        <d v="2026-06-15T00:00:00"/>
        <d v="2026-03-31T00:00:00"/>
        <d v="2024-02-11T00:00:00"/>
        <d v="2025-11-15T00:00:00"/>
        <d v="2024-01-03T00:00:00"/>
        <d v="2026-05-11T00:00:00"/>
        <d v="2025-11-12T00:00:00"/>
        <d v="2024-10-14T00:00:00"/>
        <d v="2025-05-09T00:00:00"/>
        <d v="2025-09-24T00:00:00"/>
        <d v="2025-04-29T00:00:00"/>
        <d v="2024-09-20T00:00:00"/>
        <d v="2025-12-25T00:00:00"/>
        <d v="2025-12-23T00:00:00"/>
        <d v="2024-04-24T00:00:00"/>
        <d v="2025-01-19T00:00:00"/>
        <d v="2024-02-03T00:00:00"/>
        <d v="2025-06-30T00:00:00"/>
        <d v="2024-07-28T00:00:00"/>
        <d v="2026-04-03T00:00:00"/>
        <d v="2024-12-12T00:00:00"/>
        <d v="2024-06-28T00:00:00"/>
        <d v="2024-03-16T00:00:00"/>
        <d v="2025-05-18T00:00:00"/>
        <d v="2026-02-09T00:00:00"/>
        <d v="2024-07-11T00:00:00"/>
        <d v="2025-10-18T00:00:00"/>
        <d v="2024-02-02T00:00:00"/>
        <d v="2024-11-01T00:00:00"/>
        <d v="2025-12-14T00:00:00"/>
        <d v="2026-04-19T00:00:00"/>
        <d v="2024-02-22T00:00:00"/>
        <d v="2024-08-26T00:00:00"/>
        <d v="2026-03-25T00:00:00"/>
        <d v="2024-10-23T00:00:00"/>
        <d v="2024-08-03T00:00:00"/>
        <d v="2024-04-08T00:00:00"/>
        <d v="2025-10-11T00:00:00"/>
        <d v="2024-12-22T00:00:00"/>
        <d v="2025-01-27T00:00:00"/>
        <d v="2025-12-07T00:00:00"/>
        <d v="2024-04-22T00:00:00"/>
        <d v="2024-06-14T00:00:00"/>
        <d v="2026-06-01T00:00:00"/>
        <d v="2025-11-29T00:00:00"/>
        <d v="2025-03-25T00:00:00"/>
        <d v="2025-04-05T00:00:00"/>
        <d v="2025-06-08T00:00:00"/>
        <d v="2024-03-30T00:00:00"/>
        <d v="2024-03-15T00:00:00"/>
        <d v="2026-03-20T00:00:00"/>
        <d v="2024-12-14T00:00:00"/>
        <d v="2025-09-20T00:00:00"/>
        <d v="2026-03-22T00:00:00"/>
        <d v="2024-09-24T00:00:00"/>
        <d v="2024-10-17T00:00:00"/>
        <d v="2025-03-07T00:00:00"/>
        <d v="2024-03-05T00:00:00"/>
        <d v="2024-03-01T00:00:00"/>
        <d v="2025-08-27T00:00:00"/>
        <d v="2025-09-28T00:00:00"/>
        <d v="2024-04-04T00:00:00"/>
        <d v="2025-11-17T00:00:00"/>
        <d v="2024-10-25T00:00:00"/>
        <d v="2024-10-15T00:00:00"/>
        <d v="2025-09-23T00:00:00"/>
        <d v="2025-02-20T00:00:00"/>
        <d v="2024-08-29T00:00:00"/>
        <d v="2024-12-27T00:00:00"/>
        <d v="2024-11-25T00:00:00"/>
        <d v="2025-02-27T00:00:00"/>
        <d v="2025-01-28T00:00:00"/>
        <d v="2024-03-29T00:00:00"/>
        <d v="2024-09-07T00:00:00"/>
        <d v="2024-04-21T00:00:00"/>
        <d v="2024-06-04T00:00:00"/>
        <d v="2025-10-30T00:00:00"/>
        <d v="2024-09-09T00:00:00"/>
        <d v="2026-06-16T00:00:00"/>
        <d v="2024-12-30T00:00:00"/>
        <d v="2024-06-22T00:00:00"/>
        <d v="2025-03-06T00:00:00"/>
        <d v="2025-02-06T00:00:00"/>
        <d v="2024-01-18T00:00:00"/>
        <d v="2024-04-20T00:00:00"/>
        <d v="2024-05-01T00:00:00"/>
        <d v="2024-10-31T00:00:00"/>
        <d v="2025-05-16T00:00:00"/>
        <d v="2025-10-28T00:00:00"/>
        <d v="2024-07-14T00:00:00"/>
        <d v="2024-01-29T00:00:00"/>
        <d v="2025-07-15T00:00:00"/>
        <d v="2024-07-04T00:00:00"/>
        <d v="2026-04-07T00:00:00"/>
        <d v="2024-03-31T00:00:00"/>
        <d v="2024-03-08T00:00:00"/>
        <d v="2024-09-05T00:00:00"/>
        <d v="2024-06-02T00:00:00"/>
        <d v="2025-11-27T00:00:00"/>
        <d v="2024-01-19T00:00:00"/>
        <d v="2024-07-23T00:00:00"/>
        <d v="2025-02-07T00:00:00"/>
        <d v="2025-04-04T00:00:00"/>
        <d v="2026-03-29T00:00:00"/>
        <d v="2024-06-16T00:00:00"/>
        <d v="2026-01-11T00:00:00"/>
        <d v="2026-05-20T00:00:00"/>
        <d v="2024-01-09T00:00:00"/>
        <d v="2024-08-25T00:00:00"/>
        <d v="2026-05-02T00:00:00"/>
        <d v="2025-05-15T00:00:00"/>
        <d v="2026-01-09T00:00:00"/>
        <d v="2025-11-21T00:00:00"/>
        <d v="2025-02-17T00:00:00"/>
        <d v="2025-02-24T00:00:00"/>
        <d v="2025-11-11T00:00:00"/>
        <d v="2025-05-21T00:00:00"/>
        <d v="2025-12-09T00:00:00"/>
        <d v="2026-05-06T00:00:00"/>
        <d v="2025-04-24T00:00:00"/>
        <d v="2026-05-10T00:00:00"/>
        <d v="2026-01-15T00:00:00"/>
        <d v="2026-06-27T00:00:00"/>
        <d v="2025-09-26T00:00:00"/>
        <d v="2024-03-22T00:00:00"/>
        <d v="2024-10-26T00:00:00"/>
        <d v="2026-01-17T00:00:00"/>
        <d v="2024-01-10T00:00:00"/>
        <d v="2026-04-08T00:00:00"/>
        <d v="2025-06-03T00:00:00"/>
        <d v="2025-08-21T00:00:00"/>
        <d v="2025-08-29T00:00:00"/>
        <d v="2025-04-23T00:00:00"/>
        <d v="2024-03-11T00:00:00"/>
        <d v="2026-06-09T00:00:00"/>
        <d v="2025-11-03T00:00:00"/>
        <d v="2024-08-21T00:00:00"/>
        <d v="2026-05-13T00:00:00"/>
        <d v="2024-02-24T00:00:00"/>
        <d v="2024-06-05T00:00:00"/>
        <d v="2025-10-12T00:00:00"/>
        <d v="2026-01-30T00:00:00"/>
        <d v="2025-01-20T00:00:00"/>
        <d v="2025-10-25T00:00:00"/>
        <d v="2025-04-02T00:00:00"/>
        <d v="2025-05-27T00:00:00"/>
        <d v="2024-11-28T00:00:00"/>
        <d v="2025-09-06T00:00:00"/>
        <d v="2024-01-31T00:00:00"/>
        <d v="2025-02-28T00:00:00"/>
        <d v="2025-01-04T00:00:00"/>
        <d v="2025-10-06T00:00:00"/>
        <d v="2024-07-20T00:00:00"/>
        <d v="2024-10-03T00:00:00"/>
        <d v="2025-02-19T00:00:00"/>
        <d v="2025-08-14T00:00:00"/>
        <d v="2024-10-13T00:00:00"/>
        <d v="2025-04-26T00:00:00"/>
        <d v="2025-10-16T00:00:00"/>
        <d v="2025-01-12T00:00:00"/>
        <d v="2026-01-24T00:00:00"/>
        <d v="2024-07-05T00:00:00"/>
        <d v="2025-07-28T00:00:00"/>
        <d v="2025-05-11T00:00:00"/>
        <d v="2026-03-16T00:00:00"/>
        <d v="2024-01-26T00:00:00"/>
        <d v="2026-01-29T00:00:00"/>
        <d v="2025-11-01T00:00:00"/>
        <d v="2024-11-23T00:00:00"/>
        <d v="2024-09-22T00:00:00"/>
        <d v="2024-01-13T00:00:00"/>
        <d v="2024-05-19T00:00:00"/>
        <d v="2026-01-21T00:00:00"/>
        <d v="2025-01-02T00:00:00"/>
        <d v="2025-10-07T00:00:00"/>
        <d v="2026-02-14T00:00:00"/>
        <d v="2025-11-14T00:00:00"/>
        <d v="2024-05-16T00:00:00"/>
        <d v="2024-08-07T00:00:00"/>
        <d v="2024-12-23T00:00:00"/>
        <d v="2025-03-20T00:00:00"/>
        <d v="2025-09-19T00:00:00"/>
        <d v="2024-02-15T00:00:00"/>
        <d v="2026-06-24T00:00:00"/>
        <d v="2025-12-29T00:00:00"/>
        <d v="2024-10-16T00:00:00"/>
        <d v="2024-12-08T00:00:00"/>
        <d v="2026-05-15T00:00:00"/>
        <d v="2024-12-05T00:00:00"/>
        <d v="2024-02-21T00:00:00"/>
        <d v="2025-10-02T00:00:00"/>
        <d v="2024-11-17T00:00:00"/>
        <d v="2025-07-17T00:00:00"/>
        <d v="2025-07-06T00:00:00"/>
        <d v="2026-05-25T00:00:00"/>
        <d v="2025-05-01T00:00:00"/>
        <d v="2024-10-04T00:00:00"/>
        <d v="2025-04-06T00:00:00"/>
        <d v="2024-04-13T00:00:00"/>
        <d v="2025-05-23T00:00:00"/>
        <d v="2024-06-15T00:00:00"/>
        <d v="2024-09-03T00:00:00"/>
        <d v="2026-03-02T00:00:00"/>
        <d v="2025-03-30T00:00:00"/>
        <d v="2025-11-05T00:00:00"/>
        <d v="2026-01-05T00:00:00"/>
        <d v="2026-01-22T00:00:00"/>
        <d v="2024-09-19T00:00:00"/>
        <d v="2025-09-03T00:00:00"/>
        <d v="2025-04-09T00:00:00"/>
        <d v="2025-06-10T00:00:00"/>
        <d v="2025-08-08T00:00:00"/>
        <d v="2024-05-25T00:00:00"/>
        <d v="2025-07-05T00:00:00"/>
        <d v="2026-01-23T00:00:00"/>
        <d v="2025-03-11T00:00:00"/>
        <d v="2024-01-28T00:00:00"/>
        <d v="2025-09-15T00:00:00"/>
        <d v="2025-07-10T00:00:00"/>
        <d v="2024-03-04T00:00:00"/>
        <d v="2025-09-05T00:00:00"/>
        <d v="2024-03-12T00:00:00"/>
        <d v="2025-03-23T00:00:00"/>
        <d v="2025-06-21T00:00:00"/>
        <d v="2024-11-29T00:00:00"/>
        <d v="2024-07-03T00:00:00"/>
        <d v="2025-02-11T00:00:00"/>
        <d v="2025-05-26T00:00:00"/>
        <d v="2025-11-06T00:00:00"/>
        <d v="2025-07-31T00:00:00"/>
        <d v="2026-02-15T00:00:00"/>
        <d v="2025-10-27T00:00:00"/>
        <d v="2025-12-13T00:00:00"/>
        <d v="2026-02-27T00:00:00"/>
        <d v="2024-12-11T00:00:00"/>
        <d v="2024-06-06T00:00:00"/>
        <d v="2025-04-27T00:00:00"/>
        <d v="2024-11-19T00:00:00"/>
        <d v="2025-06-23T00:00:00"/>
        <d v="2024-05-23T00:00:00"/>
        <d v="2025-07-26T00:00:00"/>
        <d v="2025-07-24T00:00:00"/>
        <d v="2024-08-04T00:00:00"/>
        <d v="2026-02-08T00:00:00"/>
        <d v="2024-11-18T00:00:00"/>
        <d v="2025-12-11T00:00:00"/>
        <d v="2026-02-20T00:00:00"/>
        <d v="2026-05-23T00:00:00"/>
        <d v="2024-05-20T00:00:00"/>
        <d v="2024-02-01T00:00:00"/>
        <d v="2024-02-23T00:00:00"/>
        <d v="2025-01-26T00:00:00"/>
        <d v="2025-11-08T00:00:00"/>
        <d v="2024-01-04T00:00:00"/>
        <d v="2025-11-25T00:00:00"/>
        <d v="2026-03-28T00:00:00"/>
        <d v="2025-02-18T00:00:00"/>
        <d v="2026-01-20T00:00:00"/>
        <d v="2025-08-04T00:00:00"/>
        <d v="2026-02-25T00:00:00"/>
        <d v="2025-12-27T00:00:00"/>
        <d v="2026-03-15T00:00:00"/>
        <d v="2025-02-14T00:00:00"/>
        <d v="2024-12-04T00:00:00"/>
        <d v="2024-09-21T00:00:00"/>
        <d v="2025-08-20T00:00:00"/>
        <d v="2024-10-30T00:00:00"/>
        <d v="2025-10-26T00:00:00"/>
        <d v="2024-12-15T00:00:00"/>
        <d v="2024-12-07T00:00:00"/>
        <d v="2025-08-26T00:00:00"/>
        <d v="2025-08-31T00:00:00"/>
        <d v="2025-08-06T00:00:00"/>
        <d v="2025-10-19T00:00:00"/>
        <d v="2025-09-30T00:00:00"/>
        <d v="2026-06-10T00:00:00"/>
        <d v="2025-01-03T00:00:00"/>
        <d v="2024-02-12T00:00:00"/>
        <d v="2025-12-05T00:00:00"/>
        <d v="2024-04-02T00:00:00"/>
        <d v="2025-07-27T00:00:00"/>
        <d v="2026-03-08T00:00:00"/>
        <d v="2024-12-19T00:00:00"/>
        <d v="2024-01-25T00:00:00"/>
        <d v="2024-03-28T00:00:00"/>
        <d v="2024-01-05T00:00:00"/>
        <d v="2024-08-19T00:00:00"/>
        <d v="2026-06-14T00:00:00"/>
        <d v="2024-06-12T00:00:00"/>
        <d v="2025-05-06T00:00:00"/>
        <d v="2024-04-10T00:00:00"/>
        <d v="2024-02-18T00:00:00"/>
        <d v="2025-02-25T00:00:00"/>
        <d v="2025-11-26T00:00:00"/>
        <d v="2024-09-10T00:00:00"/>
        <d v="2024-01-15T00:00:00"/>
        <d v="2026-04-16T00:00:00"/>
        <d v="2024-07-02T00:00:00"/>
        <d v="2024-01-14T00:00:00"/>
        <d v="2024-03-24T00:00:00"/>
        <d v="2024-05-27T00:00:00"/>
        <d v="2024-04-07T00:00:00"/>
        <d v="2025-04-03T00:00:00"/>
        <d v="2024-12-09T00:00:00"/>
        <d v="2025-11-23T00:00:00"/>
        <d v="2025-01-07T00:00:00"/>
        <d v="2024-03-23T00:00:00"/>
        <d v="2024-01-17T00:00:00"/>
        <d v="2024-12-10T00:00:00"/>
        <d v="2024-02-17T00:00:00"/>
        <d v="2026-06-17T00:00:00"/>
        <d v="2024-02-09T00:00:00"/>
        <d v="2024-02-16T00:00:00"/>
        <d v="2026-01-25T00:00:00"/>
        <d v="2024-01-07T00:00:00"/>
        <d v="2024-08-11T00:00:00"/>
        <d v="2026-04-05T00:00:00"/>
        <d v="2026-06-11T00:00:00"/>
        <d v="2025-04-25T00:00:00"/>
        <d v="2025-09-21T00:00:00"/>
        <d v="2025-08-19T00:00:00"/>
        <d v="2025-06-01T00:00:00"/>
        <d v="2025-08-24T00:00:00"/>
        <d v="2025-01-18T00:00:00"/>
        <d v="2025-11-22T00:00:00"/>
        <d v="2024-04-15T00:00:00"/>
        <d v="2025-10-31T00:00:00"/>
        <d v="2024-05-04T00:00:00"/>
        <d v="2025-12-10T00:00:00"/>
        <d v="2026-01-31T00:00:00"/>
        <d v="2026-02-22T00:00:00"/>
        <d v="2026-01-10T00:00:00"/>
        <d v="2024-08-10T00:00:00"/>
        <d v="2025-01-25T00:00:00"/>
        <d v="2024-04-01T00:00:00"/>
        <d v="2026-01-03T00:00:00"/>
        <d v="2026-02-01T00:00:00"/>
        <d v="2026-04-09T00:00:00"/>
        <d v="2025-01-23T00:00:00"/>
        <d v="2024-05-28T00:00:00"/>
        <d v="2024-03-07T00:00:00"/>
        <d v="2026-06-20T00:00:00"/>
        <d v="2024-11-06T00:00:00"/>
        <d v="2025-07-09T00:00:00"/>
        <d v="2024-06-29T00:00:00"/>
        <d v="2024-12-06T00:00:00"/>
        <d v="2024-09-04T00:00:00"/>
        <d v="2025-07-04T00:00:00"/>
        <d v="2025-12-06T00:00:00"/>
        <d v="2024-08-15T00:00:00"/>
        <d v="2025-09-04T00:00:00"/>
        <d v="2024-09-12T00:00:00"/>
        <d v="2026-04-22T00:00:00"/>
        <d v="2025-04-14T00:00:00"/>
        <d v="2026-04-24T00:00:00"/>
        <d v="2024-10-07T00:00:00"/>
        <d v="2025-05-29T00:00:00"/>
        <d v="2025-05-30T00:00:00"/>
        <d v="2024-09-30T00:00:00"/>
        <d v="2026-03-04T00:00:00"/>
        <d v="2025-09-29T00:00:00"/>
        <d v="2026-03-18T00:00:00"/>
        <d v="2025-08-15T00:00:00"/>
        <d v="2024-02-13T00:00:00"/>
        <d v="2024-04-30T00:00:00"/>
        <d v="2024-10-21T00:00:00"/>
        <d v="2026-04-13T00:00:00"/>
        <d v="2025-07-11T00:00:00"/>
        <d v="2025-07-02T00:00:00"/>
        <d v="2024-11-04T00:00:00"/>
        <d v="2025-03-09T00:00:00"/>
        <d v="2024-04-25T00:00:00"/>
        <d v="2026-06-03T00:00:00"/>
        <d v="2026-03-30T00:00:00"/>
        <d v="2025-12-17T00:00:00"/>
        <d v="2025-08-01T00:00:00"/>
        <d v="2024-02-26T00:00:00"/>
        <d v="2024-05-07T00:00:00"/>
        <d v="2024-03-13T00:00:00"/>
        <d v="2025-12-04T00:00:00"/>
        <d v="2025-05-31T00:00:00"/>
        <d v="2024-09-17T00:00:00"/>
        <d v="2024-05-09T00:00:00"/>
        <d v="2024-05-06T00:00:00"/>
        <d v="2025-08-07T00:00:00"/>
        <d v="2024-09-15T00:00:00"/>
        <d v="2024-07-15T00:00:00"/>
        <d v="2026-01-18T00:00:00"/>
        <d v="2024-07-10T00:00:00"/>
        <d v="2025-09-01T00:00:00"/>
        <d v="2025-09-14T00:00:00"/>
        <d v="2025-03-14T00:00:00"/>
        <d v="2024-05-26T00:00:00"/>
        <d v="2024-05-08T00:00:00"/>
        <d v="2024-12-01T00:00:00"/>
        <d v="2025-12-26T00:00:00"/>
        <d v="2024-05-24T00:00:00"/>
        <d v="2024-04-18T00:00:00"/>
        <d v="2025-11-20T00:00:00"/>
        <d v="2024-08-31T00:00:00"/>
        <d v="2026-06-22T00:00:00"/>
        <d v="2024-12-25T00:00:00"/>
        <m/>
      </sharedItems>
    </cacheField>
    <cacheField name="ProductID" numFmtId="0">
      <sharedItems containsString="0" containsBlank="1" containsNumber="1" containsInteger="1" minValue="0" maxValue="2020" count="21">
        <n v="2003"/>
        <n v="2014"/>
        <n v="2002"/>
        <n v="2012"/>
        <n v="2008"/>
        <n v="2011"/>
        <n v="2017"/>
        <n v="2004"/>
        <n v="2001"/>
        <n v="2005"/>
        <n v="2013"/>
        <n v="2006"/>
        <n v="2010"/>
        <n v="2019"/>
        <n v="2007"/>
        <n v="2020"/>
        <n v="2018"/>
        <n v="2009"/>
        <n v="2015"/>
        <n v="2016"/>
        <m/>
      </sharedItems>
    </cacheField>
    <cacheField name="Quantity" numFmtId="0">
      <sharedItems containsString="0" containsBlank="1" containsNumber="1" containsInteger="1" minValue="-1" maxValue="5" count="7">
        <n v="4"/>
        <n v="1"/>
        <n v="2"/>
        <n v="3"/>
        <n v="5"/>
        <n v="-1"/>
        <m/>
      </sharedItems>
    </cacheField>
    <cacheField name="Discount" numFmtId="0">
      <sharedItems containsString="0" containsBlank="1" containsNumber="1" containsInteger="1" minValue="0" maxValue="30" count="7">
        <n v="10"/>
        <n v="20"/>
        <n v="0"/>
        <n v="5"/>
        <n v="30"/>
        <n v="15"/>
        <m/>
      </sharedItems>
    </cacheField>
    <cacheField name="PaymentMethod" numFmtId="0">
      <sharedItems containsBlank="1" count="5">
        <s v="Gateway"/>
        <s v="Wallet"/>
        <s v="CardToCard"/>
        <s v="Cash"/>
        <m/>
      </sharedItems>
    </cacheField>
    <cacheField name="Status" numFmtId="0">
      <sharedItems containsBlank="1" count="4">
        <s v="Completed"/>
        <s v="Returned"/>
        <s v="Cancelled"/>
        <m/>
      </sharedItems>
    </cacheField>
    <cacheField name="Age" numFmtId="0">
      <sharedItems containsString="0" containsBlank="1" containsNumber="1" containsInteger="1" minValue="0" maxValue="65" count="49">
        <n v="36"/>
        <n v="49"/>
        <n v="45"/>
        <n v="24"/>
        <n v="28"/>
        <n v="23"/>
        <n v="41"/>
        <n v="40"/>
        <n v="43"/>
        <n v="37"/>
        <n v="33"/>
        <n v="39"/>
        <n v="44"/>
        <n v="31"/>
        <n v="58"/>
        <n v="48"/>
        <n v="42"/>
        <n v="61"/>
        <n v="26"/>
        <n v="65"/>
        <n v="34"/>
        <n v="38"/>
        <n v="55"/>
        <n v="19"/>
        <n v="32"/>
        <n v="18"/>
        <n v="46"/>
        <n v="29"/>
        <n v="27"/>
        <n v="52"/>
        <n v="50"/>
        <n v="35"/>
        <n v="21"/>
        <n v="30"/>
        <n v="53"/>
        <n v="64"/>
        <n v="20"/>
        <n v="51"/>
        <n v="22"/>
        <n v="56"/>
        <n v="57"/>
        <n v="63"/>
        <n v="25"/>
        <n v="47"/>
        <n v="54"/>
        <n v="60"/>
        <n v="59"/>
        <n v="62"/>
        <m/>
      </sharedItems>
    </cacheField>
    <cacheField name="City" numFmtId="0">
      <sharedItems containsBlank="1" count="11">
        <s v="Qom"/>
        <s v="Kerman"/>
        <s v="Tehran"/>
        <s v="Shiraz"/>
        <s v="Karaj"/>
        <s v="Isfahan"/>
        <s v="Mashhad"/>
        <s v="Tabriz"/>
        <s v="Rasht"/>
        <s v="Ahvaz"/>
        <m/>
      </sharedItems>
    </cacheField>
    <cacheField name="SignupDate" numFmtId="0">
      <sharedItems containsString="0" containsBlank="1" containsNonDate="0" containsDate="1" minDate="2023-01-02T00:00:00" maxDate="2025-12-29T00:00:00" count="638">
        <d v="2024-03-05T00:00:00"/>
        <d v="2025-06-04T00:00:00"/>
        <d v="2025-10-19T00:00:00"/>
        <d v="2023-12-07T00:00:00"/>
        <d v="2023-12-02T00:00:00"/>
        <d v="2024-08-07T00:00:00"/>
        <d v="2023-03-09T00:00:00"/>
        <d v="2025-11-20T00:00:00"/>
        <d v="2025-05-04T00:00:00"/>
        <d v="2024-06-20T00:00:00"/>
        <d v="2024-01-19T00:00:00"/>
        <d v="2024-10-31T00:00:00"/>
        <d v="2025-08-14T00:00:00"/>
        <d v="2025-12-10T00:00:00"/>
        <d v="2023-05-20T00:00:00"/>
        <d v="2024-09-29T00:00:00"/>
        <d v="2025-09-13T00:00:00"/>
        <d v="2023-10-20T00:00:00"/>
        <d v="2024-05-03T00:00:00"/>
        <d v="2023-05-27T00:00:00"/>
        <d v="2025-09-04T00:00:00"/>
        <d v="2025-08-30T00:00:00"/>
        <d v="2024-04-23T00:00:00"/>
        <d v="2025-01-01T00:00:00"/>
        <d v="2024-12-18T00:00:00"/>
        <d v="2024-05-08T00:00:00"/>
        <d v="2023-04-11T00:00:00"/>
        <d v="2024-04-13T00:00:00"/>
        <d v="2024-04-06T00:00:00"/>
        <d v="2025-04-27T00:00:00"/>
        <d v="2023-10-02T00:00:00"/>
        <d v="2025-12-15T00:00:00"/>
        <d v="2025-11-02T00:00:00"/>
        <d v="2024-07-05T00:00:00"/>
        <d v="2023-03-30T00:00:00"/>
        <d v="2023-06-04T00:00:00"/>
        <d v="2023-01-29T00:00:00"/>
        <d v="2025-07-30T00:00:00"/>
        <d v="2025-10-27T00:00:00"/>
        <d v="2023-02-17T00:00:00"/>
        <d v="2024-12-19T00:00:00"/>
        <d v="2024-02-02T00:00:00"/>
        <d v="2023-12-20T00:00:00"/>
        <d v="2024-06-02T00:00:00"/>
        <d v="2023-11-13T00:00:00"/>
        <d v="2025-01-03T00:00:00"/>
        <d v="2025-09-25T00:00:00"/>
        <d v="2025-07-26T00:00:00"/>
        <d v="2024-09-17T00:00:00"/>
        <d v="2023-02-26T00:00:00"/>
        <d v="2025-08-07T00:00:00"/>
        <d v="2024-11-07T00:00:00"/>
        <d v="2023-01-17T00:00:00"/>
        <d v="2025-03-13T00:00:00"/>
        <d v="2024-06-05T00:00:00"/>
        <d v="2024-07-08T00:00:00"/>
        <d v="2023-04-25T00:00:00"/>
        <d v="2023-01-04T00:00:00"/>
        <d v="2023-05-07T00:00:00"/>
        <d v="2025-07-19T00:00:00"/>
        <d v="2023-06-14T00:00:00"/>
        <d v="2024-01-11T00:00:00"/>
        <d v="2023-12-30T00:00:00"/>
        <d v="2023-08-31T00:00:00"/>
        <d v="2025-10-25T00:00:00"/>
        <d v="2024-06-22T00:00:00"/>
        <d v="2024-11-06T00:00:00"/>
        <d v="2024-02-27T00:00:00"/>
        <d v="2023-05-11T00:00:00"/>
        <d v="2023-02-22T00:00:00"/>
        <d v="2025-06-11T00:00:00"/>
        <d v="2025-01-18T00:00:00"/>
        <d v="2024-12-10T00:00:00"/>
        <d v="2025-06-06T00:00:00"/>
        <d v="2025-01-20T00:00:00"/>
        <d v="2023-06-13T00:00:00"/>
        <d v="2025-04-22T00:00:00"/>
        <d v="2023-09-24T00:00:00"/>
        <d v="2023-06-02T00:00:00"/>
        <d v="2023-05-21T00:00:00"/>
        <d v="2023-02-23T00:00:00"/>
        <d v="2025-05-24T00:00:00"/>
        <d v="2024-07-24T00:00:00"/>
        <d v="2025-11-11T00:00:00"/>
        <d v="2025-12-28T00:00:00"/>
        <d v="2024-01-23T00:00:00"/>
        <d v="2025-08-29T00:00:00"/>
        <d v="2025-02-06T00:00:00"/>
        <d v="2025-12-06T00:00:00"/>
        <d v="2025-11-03T00:00:00"/>
        <d v="2025-04-30T00:00:00"/>
        <d v="2023-12-19T00:00:00"/>
        <d v="2025-03-28T00:00:00"/>
        <d v="2024-03-24T00:00:00"/>
        <d v="2024-08-22T00:00:00"/>
        <d v="2023-10-25T00:00:00"/>
        <d v="2024-08-26T00:00:00"/>
        <d v="2024-12-04T00:00:00"/>
        <d v="2023-04-02T00:00:00"/>
        <d v="2024-11-02T00:00:00"/>
        <d v="2023-06-25T00:00:00"/>
        <d v="2023-02-09T00:00:00"/>
        <d v="2023-08-15T00:00:00"/>
        <d v="2025-08-05T00:00:00"/>
        <d v="2025-08-03T00:00:00"/>
        <d v="2023-10-28T00:00:00"/>
        <d v="2023-11-11T00:00:00"/>
        <d v="2024-07-27T00:00:00"/>
        <d v="2024-08-27T00:00:00"/>
        <d v="2024-05-19T00:00:00"/>
        <d v="2023-01-21T00:00:00"/>
        <d v="2025-01-22T00:00:00"/>
        <d v="2025-06-24T00:00:00"/>
        <d v="2023-10-30T00:00:00"/>
        <d v="2025-03-18T00:00:00"/>
        <d v="2025-04-23T00:00:00"/>
        <d v="2025-05-15T00:00:00"/>
        <d v="2025-02-02T00:00:00"/>
        <d v="2025-10-14T00:00:00"/>
        <d v="2023-07-25T00:00:00"/>
        <d v="2024-06-28T00:00:00"/>
        <d v="2023-05-08T00:00:00"/>
        <d v="2023-04-23T00:00:00"/>
        <d v="2024-02-21T00:00:00"/>
        <d v="2024-12-03T00:00:00"/>
        <d v="2024-08-01T00:00:00"/>
        <d v="2025-02-10T00:00:00"/>
        <d v="2023-06-09T00:00:00"/>
        <d v="2024-09-12T00:00:00"/>
        <d v="2023-12-09T00:00:00"/>
        <d v="2025-10-24T00:00:00"/>
        <d v="2024-01-16T00:00:00"/>
        <d v="2025-10-26T00:00:00"/>
        <d v="2024-11-16T00:00:00"/>
        <d v="2024-12-01T00:00:00"/>
        <d v="2023-10-22T00:00:00"/>
        <d v="2025-04-26T00:00:00"/>
        <d v="2024-02-13T00:00:00"/>
        <d v="2024-10-23T00:00:00"/>
        <d v="2023-08-02T00:00:00"/>
        <d v="2025-07-31T00:00:00"/>
        <d v="2024-10-01T00:00:00"/>
        <d v="2024-10-09T00:00:00"/>
        <d v="2023-03-15T00:00:00"/>
        <d v="2025-08-01T00:00:00"/>
        <d v="2023-07-19T00:00:00"/>
        <d v="2024-03-13T00:00:00"/>
        <d v="2023-09-12T00:00:00"/>
        <d v="2023-11-25T00:00:00"/>
        <d v="2023-09-03T00:00:00"/>
        <d v="2023-11-21T00:00:00"/>
        <d v="2024-10-24T00:00:00"/>
        <d v="2024-08-25T00:00:00"/>
        <d v="2024-03-27T00:00:00"/>
        <d v="2023-04-26T00:00:00"/>
        <d v="2024-05-05T00:00:00"/>
        <d v="2025-01-11T00:00:00"/>
        <d v="2023-02-24T00:00:00"/>
        <d v="2025-03-23T00:00:00"/>
        <d v="2024-06-04T00:00:00"/>
        <d v="2023-08-20T00:00:00"/>
        <d v="2025-07-04T00:00:00"/>
        <d v="2023-09-05T00:00:00"/>
        <d v="2023-09-21T00:00:00"/>
        <d v="2023-03-10T00:00:00"/>
        <d v="2024-12-23T00:00:00"/>
        <d v="2024-11-28T00:00:00"/>
        <d v="2025-10-04T00:00:00"/>
        <d v="2024-08-20T00:00:00"/>
        <d v="2025-12-07T00:00:00"/>
        <d v="2025-07-08T00:00:00"/>
        <d v="2025-11-25T00:00:00"/>
        <d v="2025-11-17T00:00:00"/>
        <d v="2024-03-09T00:00:00"/>
        <d v="2024-03-31T00:00:00"/>
        <d v="2025-05-29T00:00:00"/>
        <d v="2025-11-26T00:00:00"/>
        <d v="2024-08-17T00:00:00"/>
        <d v="2023-12-03T00:00:00"/>
        <d v="2025-08-28T00:00:00"/>
        <d v="2024-06-24T00:00:00"/>
        <d v="2025-06-08T00:00:00"/>
        <d v="2024-10-11T00:00:00"/>
        <d v="2025-02-25T00:00:00"/>
        <d v="2025-06-18T00:00:00"/>
        <d v="2024-12-07T00:00:00"/>
        <d v="2025-06-20T00:00:00"/>
        <d v="2024-01-24T00:00:00"/>
        <d v="2023-03-28T00:00:00"/>
        <d v="2024-08-16T00:00:00"/>
        <d v="2024-12-09T00:00:00"/>
        <d v="2025-07-15T00:00:00"/>
        <d v="2023-05-17T00:00:00"/>
        <d v="2025-01-10T00:00:00"/>
        <d v="2023-06-30T00:00:00"/>
        <d v="2024-09-13T00:00:00"/>
        <d v="2025-07-03T00:00:00"/>
        <d v="2024-02-14T00:00:00"/>
        <d v="2023-01-30T00:00:00"/>
        <d v="2023-03-02T00:00:00"/>
        <d v="2024-09-24T00:00:00"/>
        <d v="2023-01-27T00:00:00"/>
        <d v="2023-01-05T00:00:00"/>
        <d v="2025-04-11T00:00:00"/>
        <d v="2024-03-12T00:00:00"/>
        <d v="2024-10-17T00:00:00"/>
        <d v="2025-01-12T00:00:00"/>
        <d v="2023-09-26T00:00:00"/>
        <d v="2025-08-10T00:00:00"/>
        <d v="2025-03-29T00:00:00"/>
        <d v="2024-01-09T00:00:00"/>
        <d v="2023-08-24T00:00:00"/>
        <d v="2025-07-24T00:00:00"/>
        <d v="2024-01-31T00:00:00"/>
        <d v="2023-07-17T00:00:00"/>
        <d v="2023-10-11T00:00:00"/>
        <d v="2025-10-15T00:00:00"/>
        <d v="2023-08-22T00:00:00"/>
        <d v="2023-07-26T00:00:00"/>
        <d v="2024-02-19T00:00:00"/>
        <d v="2025-09-18T00:00:00"/>
        <d v="2024-01-08T00:00:00"/>
        <d v="2024-07-04T00:00:00"/>
        <d v="2024-09-27T00:00:00"/>
        <d v="2025-01-13T00:00:00"/>
        <d v="2023-06-19T00:00:00"/>
        <d v="2025-03-30T00:00:00"/>
        <d v="2023-11-28T00:00:00"/>
        <d v="2023-10-27T00:00:00"/>
        <d v="2024-09-05T00:00:00"/>
        <d v="2023-03-11T00:00:00"/>
        <d v="2023-07-28T00:00:00"/>
        <d v="2025-03-16T00:00:00"/>
        <d v="2025-04-16T00:00:00"/>
        <d v="2024-12-02T00:00:00"/>
        <d v="2023-10-06T00:00:00"/>
        <d v="2025-01-06T00:00:00"/>
        <d v="2025-03-03T00:00:00"/>
        <d v="2023-05-05T00:00:00"/>
        <d v="2024-04-18T00:00:00"/>
        <d v="2023-08-06T00:00:00"/>
        <d v="2025-06-21T00:00:00"/>
        <d v="2025-04-15T00:00:00"/>
        <d v="2024-07-25T00:00:00"/>
        <d v="2023-11-08T00:00:00"/>
        <d v="2025-12-25T00:00:00"/>
        <d v="2024-12-30T00:00:00"/>
        <d v="2023-05-24T00:00:00"/>
        <d v="2025-10-13T00:00:00"/>
        <d v="2023-08-29T00:00:00"/>
        <d v="2023-07-20T00:00:00"/>
        <d v="2023-08-12T00:00:00"/>
        <d v="2023-09-15T00:00:00"/>
        <d v="2025-11-04T00:00:00"/>
        <d v="2024-09-28T00:00:00"/>
        <d v="2023-12-10T00:00:00"/>
        <d v="2023-10-19T00:00:00"/>
        <d v="2025-01-05T00:00:00"/>
        <d v="2024-07-14T00:00:00"/>
        <d v="2023-01-15T00:00:00"/>
        <d v="2024-11-27T00:00:00"/>
        <d v="2025-12-04T00:00:00"/>
        <d v="2023-03-20T00:00:00"/>
        <d v="2023-03-27T00:00:00"/>
        <d v="2023-08-01T00:00:00"/>
        <d v="2025-03-10T00:00:00"/>
        <d v="2024-05-17T00:00:00"/>
        <d v="2023-01-26T00:00:00"/>
        <d v="2024-06-21T00:00:00"/>
        <d v="2023-02-03T00:00:00"/>
        <d v="2025-03-17T00:00:00"/>
        <d v="2025-11-10T00:00:00"/>
        <d v="2024-11-05T00:00:00"/>
        <d v="2023-05-16T00:00:00"/>
        <d v="2023-10-29T00:00:00"/>
        <d v="2025-08-13T00:00:00"/>
        <d v="2024-09-14T00:00:00"/>
        <d v="2024-06-08T00:00:00"/>
        <d v="2025-04-17T00:00:00"/>
        <d v="2023-07-10T00:00:00"/>
        <d v="2025-06-22T00:00:00"/>
        <d v="2025-11-22T00:00:00"/>
        <d v="2024-04-15T00:00:00"/>
        <d v="2024-10-21T00:00:00"/>
        <d v="2024-04-25T00:00:00"/>
        <d v="2024-07-16T00:00:00"/>
        <d v="2025-07-02T00:00:00"/>
        <d v="2024-03-10T00:00:00"/>
        <d v="2024-06-06T00:00:00"/>
        <d v="2025-09-06T00:00:00"/>
        <d v="2024-08-21T00:00:00"/>
        <d v="2023-02-14T00:00:00"/>
        <d v="2023-03-22T00:00:00"/>
        <d v="2025-03-09T00:00:00"/>
        <d v="2024-07-13T00:00:00"/>
        <d v="2023-05-18T00:00:00"/>
        <d v="2024-06-12T00:00:00"/>
        <d v="2023-01-07T00:00:00"/>
        <d v="2023-08-03T00:00:00"/>
        <d v="2023-07-14T00:00:00"/>
        <d v="2024-12-11T00:00:00"/>
        <d v="2024-11-19T00:00:00"/>
        <d v="2025-12-27T00:00:00"/>
        <d v="2024-07-03T00:00:00"/>
        <d v="2025-02-15T00:00:00"/>
        <d v="2023-11-01T00:00:00"/>
        <d v="2025-05-10T00:00:00"/>
        <d v="2025-10-23T00:00:00"/>
        <d v="2025-09-12T00:00:00"/>
        <d v="2024-10-14T00:00:00"/>
        <d v="2024-11-12T00:00:00"/>
        <d v="2025-08-23T00:00:00"/>
        <d v="2024-06-10T00:00:00"/>
        <d v="2023-03-14T00:00:00"/>
        <d v="2025-02-14T00:00:00"/>
        <d v="2023-08-23T00:00:00"/>
        <d v="2023-10-21T00:00:00"/>
        <d v="2023-09-23T00:00:00"/>
        <d v="2023-06-11T00:00:00"/>
        <d v="2025-08-27T00:00:00"/>
        <d v="2025-04-10T00:00:00"/>
        <d v="2025-07-23T00:00:00"/>
        <d v="2023-06-28T00:00:00"/>
        <d v="2025-11-08T00:00:00"/>
        <d v="2025-11-21T00:00:00"/>
        <d v="2025-12-09T00:00:00"/>
        <d v="2024-05-28T00:00:00"/>
        <d v="2023-06-12T00:00:00"/>
        <d v="2023-11-07T00:00:00"/>
        <d v="2023-06-24T00:00:00"/>
        <d v="2023-04-07T00:00:00"/>
        <d v="2023-02-28T00:00:00"/>
        <d v="2024-04-07T00:00:00"/>
        <d v="2025-05-12T00:00:00"/>
        <d v="2024-05-11T00:00:00"/>
        <d v="2024-08-29T00:00:00"/>
        <d v="2023-07-18T00:00:00"/>
        <d v="2023-07-01T00:00:00"/>
        <d v="2024-12-17T00:00:00"/>
        <d v="2025-01-21T00:00:00"/>
        <d v="2025-11-05T00:00:00"/>
        <d v="2023-04-14T00:00:00"/>
        <d v="2024-02-07T00:00:00"/>
        <d v="2024-03-29T00:00:00"/>
        <d v="2023-03-06T00:00:00"/>
        <d v="2023-04-24T00:00:00"/>
        <d v="2025-11-23T00:00:00"/>
        <d v="2024-09-20T00:00:00"/>
        <d v="2025-11-19T00:00:00"/>
        <d v="2024-06-23T00:00:00"/>
        <d v="2023-11-14T00:00:00"/>
        <d v="2025-02-26T00:00:00"/>
        <d v="2024-09-26T00:00:00"/>
        <d v="2025-02-16T00:00:00"/>
        <d v="2024-03-17T00:00:00"/>
        <d v="2025-06-19T00:00:00"/>
        <d v="2024-05-31T00:00:00"/>
        <d v="2024-11-17T00:00:00"/>
        <d v="2024-08-04T00:00:00"/>
        <d v="2023-02-20T00:00:00"/>
        <d v="2023-01-19T00:00:00"/>
        <d v="2024-03-22T00:00:00"/>
        <d v="2023-06-29T00:00:00"/>
        <d v="2025-05-27T00:00:00"/>
        <d v="2025-12-29T00:00:00"/>
        <d v="2024-02-17T00:00:00"/>
        <d v="2023-10-18T00:00:00"/>
        <d v="2024-05-16T00:00:00"/>
        <d v="2023-07-02T00:00:00"/>
        <d v="2024-08-02T00:00:00"/>
        <d v="2025-12-01T00:00:00"/>
        <d v="2025-06-17T00:00:00"/>
        <d v="2024-11-29T00:00:00"/>
        <d v="2025-09-08T00:00:00"/>
        <d v="2025-03-04T00:00:00"/>
        <d v="2024-08-24T00:00:00"/>
        <d v="2025-04-04T00:00:00"/>
        <d v="2023-08-09T00:00:00"/>
        <d v="2024-08-28T00:00:00"/>
        <d v="2023-01-25T00:00:00"/>
        <d v="2025-05-03T00:00:00"/>
        <d v="2025-01-30T00:00:00"/>
        <d v="2023-03-07T00:00:00"/>
        <d v="2024-12-15T00:00:00"/>
        <d v="2023-08-18T00:00:00"/>
        <d v="2025-09-05T00:00:00"/>
        <d v="2023-09-11T00:00:00"/>
        <d v="2025-09-19T00:00:00"/>
        <d v="2024-12-08T00:00:00"/>
        <d v="2024-06-07T00:00:00"/>
        <d v="2024-04-22T00:00:00"/>
        <d v="2025-09-27T00:00:00"/>
        <d v="2024-02-24T00:00:00"/>
        <d v="2025-06-05T00:00:00"/>
        <d v="2023-08-10T00:00:00"/>
        <d v="2025-07-12T00:00:00"/>
        <d v="2025-12-18T00:00:00"/>
        <d v="2023-09-02T00:00:00"/>
        <d v="2023-01-11T00:00:00"/>
        <d v="2025-10-12T00:00:00"/>
        <d v="2024-02-16T00:00:00"/>
        <d v="2024-08-05T00:00:00"/>
        <d v="2025-12-26T00:00:00"/>
        <d v="2025-12-21T00:00:00"/>
        <d v="2025-08-18T00:00:00"/>
        <d v="2025-06-25T00:00:00"/>
        <d v="2024-09-22T00:00:00"/>
        <d v="2025-01-09T00:00:00"/>
        <d v="2025-02-22T00:00:00"/>
        <d v="2023-02-02T00:00:00"/>
        <d v="2023-12-12T00:00:00"/>
        <d v="2025-03-02T00:00:00"/>
        <d v="2024-03-26T00:00:00"/>
        <d v="2025-09-11T00:00:00"/>
        <d v="2023-04-17T00:00:00"/>
        <d v="2023-05-31T00:00:00"/>
        <d v="2025-07-27T00:00:00"/>
        <d v="2024-07-15T00:00:00"/>
        <d v="2025-04-28T00:00:00"/>
        <d v="2024-02-08T00:00:00"/>
        <d v="2023-03-08T00:00:00"/>
        <d v="2023-10-24T00:00:00"/>
        <d v="2025-04-12T00:00:00"/>
        <d v="2024-08-23T00:00:00"/>
        <d v="2023-07-07T00:00:00"/>
        <d v="2024-09-08T00:00:00"/>
        <d v="2023-12-06T00:00:00"/>
        <d v="2024-02-12T00:00:00"/>
        <d v="2025-06-30T00:00:00"/>
        <d v="2023-02-21T00:00:00"/>
        <d v="2025-09-14T00:00:00"/>
        <d v="2024-12-16T00:00:00"/>
        <d v="2024-05-07T00:00:00"/>
        <d v="2023-04-30T00:00:00"/>
        <d v="2025-04-07T00:00:00"/>
        <d v="2025-11-16T00:00:00"/>
        <d v="2024-03-14T00:00:00"/>
        <d v="2024-09-03T00:00:00"/>
        <d v="2024-11-21T00:00:00"/>
        <d v="2024-08-15T00:00:00"/>
        <d v="2024-12-24T00:00:00"/>
        <d v="2023-07-16T00:00:00"/>
        <d v="2024-03-16T00:00:00"/>
        <d v="2023-05-04T00:00:00"/>
        <d v="2024-09-07T00:00:00"/>
        <d v="2025-04-09T00:00:00"/>
        <d v="2023-10-04T00:00:00"/>
        <d v="2025-03-27T00:00:00"/>
        <d v="2025-10-09T00:00:00"/>
        <d v="2023-12-21T00:00:00"/>
        <d v="2024-10-27T00:00:00"/>
        <d v="2023-04-10T00:00:00"/>
        <d v="2024-10-10T00:00:00"/>
        <d v="2023-06-01T00:00:00"/>
        <d v="2025-03-25T00:00:00"/>
        <d v="2025-09-29T00:00:00"/>
        <d v="2023-09-25T00:00:00"/>
        <d v="2023-11-02T00:00:00"/>
        <d v="2025-05-05T00:00:00"/>
        <d v="2023-09-04T00:00:00"/>
        <d v="2025-12-13T00:00:00"/>
        <d v="2024-04-05T00:00:00"/>
        <d v="2023-10-15T00:00:00"/>
        <d v="2024-04-20T00:00:00"/>
        <d v="2023-03-04T00:00:00"/>
        <d v="2024-05-24T00:00:00"/>
        <d v="2023-10-05T00:00:00"/>
        <d v="2025-08-21T00:00:00"/>
        <d v="2023-08-27T00:00:00"/>
        <d v="2025-01-14T00:00:00"/>
        <d v="2025-03-08T00:00:00"/>
        <d v="2023-12-26T00:00:00"/>
        <d v="2025-10-06T00:00:00"/>
        <d v="2024-06-27T00:00:00"/>
        <d v="2024-04-04T00:00:00"/>
        <d v="2023-10-10T00:00:00"/>
        <d v="2025-12-23T00:00:00"/>
        <d v="2024-12-13T00:00:00"/>
        <d v="2024-04-27T00:00:00"/>
        <d v="2025-08-19T00:00:00"/>
        <d v="2024-03-19T00:00:00"/>
        <d v="2025-08-06T00:00:00"/>
        <d v="2024-01-06T00:00:00"/>
        <d v="2023-03-12T00:00:00"/>
        <d v="2023-02-01T00:00:00"/>
        <d v="2023-05-12T00:00:00"/>
        <d v="2023-01-08T00:00:00"/>
        <d v="2024-07-06T00:00:00"/>
        <d v="2025-05-25T00:00:00"/>
        <d v="2023-06-18T00:00:00"/>
        <d v="2023-02-06T00:00:00"/>
        <d v="2025-12-22T00:00:00"/>
        <d v="2025-11-14T00:00:00"/>
        <d v="2023-12-28T00:00:00"/>
        <d v="2025-06-16T00:00:00"/>
        <d v="2023-01-22T00:00:00"/>
        <d v="2024-11-26T00:00:00"/>
        <d v="2023-01-20T00:00:00"/>
        <d v="2024-05-04T00:00:00"/>
        <d v="2023-04-16T00:00:00"/>
        <d v="2025-05-20T00:00:00"/>
        <d v="2025-05-11T00:00:00"/>
        <d v="2025-11-12T00:00:00"/>
        <d v="2023-12-11T00:00:00"/>
        <d v="2023-05-25T00:00:00"/>
        <d v="2025-11-13T00:00:00"/>
        <d v="2024-01-18T00:00:00"/>
        <d v="2023-09-08T00:00:00"/>
        <d v="2025-06-15T00:00:00"/>
        <d v="2025-01-23T00:00:00"/>
        <d v="2025-06-07T00:00:00"/>
        <d v="2025-01-16T00:00:00"/>
        <d v="2025-04-05T00:00:00"/>
        <d v="2025-02-19T00:00:00"/>
        <d v="2023-09-19T00:00:00"/>
        <d v="2023-02-18T00:00:00"/>
        <d v="2025-05-30T00:00:00"/>
        <d v="2023-02-27T00:00:00"/>
        <d v="2025-08-08T00:00:00"/>
        <d v="2024-04-10T00:00:00"/>
        <d v="2025-12-17T00:00:00"/>
        <d v="2024-02-29T00:00:00"/>
        <d v="2023-07-06T00:00:00"/>
        <d v="2024-07-11T00:00:00"/>
        <d v="2024-07-26T00:00:00"/>
        <d v="2023-01-18T00:00:00"/>
        <d v="2023-05-15T00:00:00"/>
        <d v="2024-08-31T00:00:00"/>
        <d v="2025-05-02T00:00:00"/>
        <d v="2024-06-17T00:00:00"/>
        <d v="2023-06-23T00:00:00"/>
        <d v="2024-08-03T00:00:00"/>
        <d v="2025-01-17T00:00:00"/>
        <d v="2023-04-15T00:00:00"/>
        <d v="2025-07-20T00:00:00"/>
        <d v="2024-06-18T00:00:00"/>
        <d v="2023-02-08T00:00:00"/>
        <d v="2025-09-28T00:00:00"/>
        <d v="2023-09-07T00:00:00"/>
        <d v="2023-05-14T00:00:00"/>
        <d v="2024-01-15T00:00:00"/>
        <d v="2023-05-09T00:00:00"/>
        <d v="2023-06-21T00:00:00"/>
        <d v="2025-06-01T00:00:00"/>
        <d v="2023-10-31T00:00:00"/>
        <d v="2024-06-03T00:00:00"/>
        <d v="2025-06-29T00:00:00"/>
        <d v="2023-09-20T00:00:00"/>
        <d v="2023-01-02T00:00:00"/>
        <d v="2024-05-21T00:00:00"/>
        <d v="2025-01-29T00:00:00"/>
        <d v="2025-07-25T00:00:00"/>
        <d v="2024-03-11T00:00:00"/>
        <d v="2024-09-16T00:00:00"/>
        <d v="2023-08-16T00:00:00"/>
        <d v="2023-06-17T00:00:00"/>
        <d v="2024-08-08T00:00:00"/>
        <d v="2023-12-15T00:00:00"/>
        <d v="2024-11-20T00:00:00"/>
        <d v="2024-05-06T00:00:00"/>
        <d v="2024-06-15T00:00:00"/>
        <d v="2025-05-06T00:00:00"/>
        <d v="2024-07-17T00:00:00"/>
        <d v="2024-10-28T00:00:00"/>
        <d v="2024-11-11T00:00:00"/>
        <d v="2025-05-17T00:00:00"/>
        <d v="2025-02-17T00:00:00"/>
        <d v="2023-11-05T00:00:00"/>
        <d v="2024-09-02T00:00:00"/>
        <d v="2025-10-18T00:00:00"/>
        <d v="2025-08-04T00:00:00"/>
        <d v="2024-09-15T00:00:00"/>
        <d v="2025-05-16T00:00:00"/>
        <d v="2025-05-21T00:00:00"/>
        <d v="2025-01-24T00:00:00"/>
        <d v="2023-02-10T00:00:00"/>
        <d v="2023-04-01T00:00:00"/>
        <d v="2025-06-12T00:00:00"/>
        <d v="2023-05-30T00:00:00"/>
        <d v="2024-10-16T00:00:00"/>
        <d v="2025-02-28T00:00:00"/>
        <d v="2024-07-07T00:00:00"/>
        <d v="2024-09-09T00:00:00"/>
        <d v="2023-02-11T00:00:00"/>
        <d v="2024-04-21T00:00:00"/>
        <d v="2024-12-20T00:00:00"/>
        <d v="2025-03-22T00:00:00"/>
        <d v="2025-04-14T00:00:00"/>
        <d v="2024-05-02T00:00:00"/>
        <d v="2025-04-25T00:00:00"/>
        <d v="2024-10-18T00:00:00"/>
        <d v="2025-02-13T00:00:00"/>
        <d v="2024-01-30T00:00:00"/>
        <d v="2024-11-10T00:00:00"/>
        <d v="2025-02-23T00:00:00"/>
        <d v="2023-04-21T00:00:00"/>
        <d v="2023-07-03T00:00:00"/>
        <d v="2023-09-10T00:00:00"/>
        <d v="2024-08-09T00:00:00"/>
        <d v="2023-12-29T00:00:00"/>
        <d v="2025-02-21T00:00:00"/>
        <d v="2023-04-06T00:00:00"/>
        <d v="2023-08-11T00:00:00"/>
        <d v="2025-10-31T00:00:00"/>
        <d v="2025-11-29T00:00:00"/>
        <d v="2025-12-12T00:00:00"/>
        <d v="2025-10-08T00:00:00"/>
        <d v="2024-05-09T00:00:00"/>
        <d v="2023-09-13T00:00:00"/>
        <d v="2024-07-22T00:00:00"/>
        <d v="2024-03-20T00:00:00"/>
        <d v="2024-06-11T00:00:00"/>
        <d v="2024-05-10T00:00:00"/>
        <d v="2024-03-07T00:00:00"/>
        <d v="2023-06-20T00:00:00"/>
        <d v="2025-04-13T00:00:00"/>
        <d v="2023-11-27T00:00:00"/>
        <d v="2025-04-03T00:00:00"/>
        <d v="2024-09-04T00:00:00"/>
        <d v="2023-07-31T00:00:00"/>
        <d v="2023-02-12T00:00:00"/>
        <d v="2024-02-18T00:00:00"/>
        <d v="2023-08-04T00:00:00"/>
        <d v="2023-12-04T00:00:00"/>
        <d v="2023-05-03T00:00:00"/>
        <d v="2025-05-22T00:00:00"/>
        <d v="2025-05-26T00:00:00"/>
        <d v="2024-02-01T00:00:00"/>
        <d v="2025-02-09T00:00:00"/>
        <d v="2024-07-31T00:00:00"/>
        <d v="2023-03-16T00:00:00"/>
        <d v="2024-12-25T00:00:00"/>
        <d v="2024-04-03T00:00:00"/>
        <d v="2024-11-25T00:00:00"/>
        <d v="2025-06-27T00:00:00"/>
        <d v="2023-10-23T00:00:00"/>
        <d v="2025-08-11T00:00:00"/>
        <m/>
      </sharedItems>
    </cacheField>
    <cacheField name="CustomerSegment" numFmtId="0">
      <sharedItems containsBlank="1" count="4">
        <s v="Regular"/>
        <s v="New"/>
        <s v="VIP"/>
        <m/>
      </sharedItems>
    </cacheField>
    <cacheField name="ProductName" numFmtId="0">
      <sharedItems containsBlank="1" count="21">
        <s v="USB-C Cable"/>
        <s v="Backpack"/>
        <s v="Mechanical Keyboard"/>
        <s v="Office Chair"/>
        <s v="Phone Case"/>
        <s v="Desk Lamp"/>
        <s v="HDMI Cable"/>
        <s v="Power Bank"/>
        <s v="Wireless Mouse"/>
        <s v="Laptop Stand"/>
        <s v="Notebook"/>
        <s v="Webcam"/>
        <s v="Fitness Band"/>
        <s v="Tablet"/>
        <s v="Headphones"/>
        <s v="Gaming Controller"/>
        <s v="Microphone"/>
        <s v="Smart Watch"/>
        <s v="Bluetooth Speaker"/>
        <s v="Monitor"/>
        <m/>
      </sharedItems>
    </cacheField>
    <cacheField name="Category" numFmtId="0">
      <sharedItems containsBlank="1" count="7">
        <s v="Accessories"/>
        <s v="Electronics"/>
        <s v="Home Office"/>
        <s v="Stationery"/>
        <s v="Wearables"/>
        <s v="Gaming"/>
        <m/>
      </sharedItems>
    </cacheField>
    <cacheField name="UnitPrice" numFmtId="0">
      <sharedItems containsString="0" containsBlank="1" containsNumber="1" containsInteger="1" minValue="0" maxValue="260" count="21">
        <n v="9"/>
        <n v="42"/>
        <n v="62"/>
        <n v="180"/>
        <n v="14"/>
        <n v="32"/>
        <n v="11"/>
        <n v="35"/>
        <n v="18"/>
        <n v="28"/>
        <n v="7"/>
        <n v="48"/>
        <n v="55"/>
        <n v="260"/>
        <n v="75"/>
        <n v="68"/>
        <n v="85"/>
        <n v="120"/>
        <n v="58"/>
        <n v="21"/>
        <m/>
      </sharedItems>
    </cacheField>
    <cacheField name="Sales" numFmtId="0">
      <sharedItems containsString="0" containsBlank="1" containsNumber="1" containsInteger="1" minValue="-11" maxValue="936" count="179">
        <n v="32"/>
        <n v="38"/>
        <n v="50"/>
        <n v="162"/>
        <n v="28"/>
        <n v="128"/>
        <n v="10"/>
        <n v="42"/>
        <n v="80"/>
        <n v="74"/>
        <n v="17"/>
        <n v="76"/>
        <n v="34"/>
        <n v="11"/>
        <n v="186"/>
        <n v="14"/>
        <n v="7"/>
        <n v="18"/>
        <n v="22"/>
        <n v="21"/>
        <n v="6"/>
        <n v="104"/>
        <n v="86"/>
        <n v="62"/>
        <n v="56"/>
        <n v="494"/>
        <n v="64"/>
        <n v="214"/>
        <n v="66"/>
        <n v="63"/>
        <n v="61"/>
        <n v="33"/>
        <n v="115"/>
        <n v="77"/>
        <n v="43"/>
        <n v="68"/>
        <n v="59"/>
        <n v="27"/>
        <n v="110"/>
        <n v="19"/>
        <n v="26"/>
        <n v="54"/>
        <n v="170"/>
        <n v="9"/>
        <n v="204"/>
        <n v="13"/>
        <n v="118"/>
        <n v="189"/>
        <n v="71"/>
        <n v="120"/>
        <n v="87"/>
        <n v="93"/>
        <n v="20"/>
        <n v="116"/>
        <n v="40"/>
        <n v="8"/>
        <n v="81"/>
        <n v="58"/>
        <n v="85"/>
        <n v="24"/>
        <n v="151"/>
        <n v="84"/>
        <n v="55"/>
        <n v="25"/>
        <n v="49"/>
        <n v="225"/>
        <n v="202"/>
        <n v="340"/>
        <n v="90"/>
        <n v="306"/>
        <n v="12"/>
        <n v="210"/>
        <n v="106"/>
        <n v="150"/>
        <n v="260"/>
        <n v="126"/>
        <n v="15"/>
        <n v="31"/>
        <n v="75"/>
        <n v="122"/>
        <n v="480"/>
        <n v="220"/>
        <n v="168"/>
        <n v="182"/>
        <n v="180"/>
        <n v="36"/>
        <n v="48"/>
        <n v="70"/>
        <n v="112"/>
        <n v="360"/>
        <n v="52"/>
        <n v="30"/>
        <n v="240"/>
        <n v="136"/>
        <n v="41"/>
        <n v="113"/>
        <n v="99"/>
        <n v="255"/>
        <n v="91"/>
        <n v="29"/>
        <n v="140"/>
        <n v="35"/>
        <n v="153"/>
        <n v="16"/>
        <n v="60"/>
        <n v="39"/>
        <n v="96"/>
        <n v="356"/>
        <n v="94"/>
        <n v="600"/>
        <n v="72"/>
        <n v="184"/>
        <n v="174"/>
        <n v="102"/>
        <n v="46"/>
        <n v="238"/>
        <n v="884"/>
        <n v="520"/>
        <n v="160"/>
        <n v="-11"/>
        <n v="245"/>
        <n v="135"/>
        <n v="936"/>
        <n v="51"/>
        <n v="741"/>
        <n v="221"/>
        <n v="223"/>
        <n v="540"/>
        <n v="67"/>
        <n v="23"/>
        <n v="124"/>
        <n v="513"/>
        <n v="45"/>
        <n v="510"/>
        <n v="720"/>
        <n v="177"/>
        <n v="65"/>
        <n v="53"/>
        <n v="234"/>
        <n v="149"/>
        <n v="142"/>
        <n v="364"/>
        <n v="191"/>
        <n v="137"/>
        <n v="248"/>
        <n v="165"/>
        <n v="100"/>
        <n v="192"/>
        <n v="82"/>
        <n v="780"/>
        <n v="232"/>
        <n v="47"/>
        <n v="300"/>
        <n v="247"/>
        <n v="88"/>
        <n v="324"/>
        <n v="209"/>
        <n v="570"/>
        <n v="107"/>
        <n v="105"/>
        <n v="133"/>
        <n v="148"/>
        <n v="228"/>
        <n v="338"/>
        <n v="342"/>
        <n v="468"/>
        <n v="163"/>
        <n v="272"/>
        <n v="285"/>
        <n v="216"/>
        <n v="132"/>
        <n v="144"/>
        <n v="154"/>
        <n v="114"/>
        <n v="504"/>
        <n v="119"/>
        <n v="143"/>
        <n v="197"/>
        <m/>
      </sharedItems>
    </cacheField>
    <cacheField name="OrderValue" numFmtId="0">
      <sharedItems containsString="0" containsBlank="1" containsNumber="1" containsInteger="1" minValue="-11" maxValue="936" count="179">
        <n v="32"/>
        <n v="38"/>
        <n v="50"/>
        <n v="162"/>
        <n v="28"/>
        <n v="128"/>
        <n v="10"/>
        <n v="42"/>
        <n v="80"/>
        <n v="74"/>
        <n v="17"/>
        <n v="76"/>
        <n v="34"/>
        <n v="11"/>
        <n v="186"/>
        <n v="14"/>
        <n v="7"/>
        <n v="18"/>
        <n v="22"/>
        <n v="21"/>
        <n v="6"/>
        <n v="104"/>
        <n v="86"/>
        <n v="62"/>
        <n v="56"/>
        <n v="494"/>
        <n v="64"/>
        <n v="214"/>
        <n v="66"/>
        <n v="63"/>
        <n v="61"/>
        <n v="33"/>
        <n v="115"/>
        <n v="77"/>
        <n v="43"/>
        <n v="68"/>
        <n v="59"/>
        <n v="27"/>
        <n v="110"/>
        <n v="19"/>
        <n v="26"/>
        <n v="54"/>
        <n v="170"/>
        <n v="9"/>
        <n v="204"/>
        <n v="13"/>
        <n v="118"/>
        <n v="189"/>
        <n v="71"/>
        <n v="120"/>
        <n v="87"/>
        <n v="93"/>
        <n v="20"/>
        <n v="116"/>
        <n v="40"/>
        <n v="8"/>
        <n v="81"/>
        <n v="58"/>
        <n v="85"/>
        <n v="24"/>
        <n v="151"/>
        <n v="84"/>
        <n v="55"/>
        <n v="25"/>
        <n v="49"/>
        <n v="225"/>
        <n v="202"/>
        <n v="340"/>
        <n v="90"/>
        <n v="306"/>
        <n v="12"/>
        <n v="210"/>
        <n v="106"/>
        <n v="150"/>
        <n v="260"/>
        <n v="126"/>
        <n v="15"/>
        <n v="31"/>
        <n v="75"/>
        <n v="122"/>
        <n v="480"/>
        <n v="220"/>
        <n v="168"/>
        <n v="182"/>
        <n v="180"/>
        <n v="36"/>
        <n v="48"/>
        <n v="70"/>
        <n v="112"/>
        <n v="360"/>
        <n v="52"/>
        <n v="30"/>
        <n v="240"/>
        <n v="136"/>
        <n v="41"/>
        <n v="113"/>
        <n v="99"/>
        <n v="255"/>
        <n v="91"/>
        <n v="29"/>
        <n v="140"/>
        <n v="35"/>
        <n v="153"/>
        <n v="16"/>
        <n v="60"/>
        <n v="39"/>
        <n v="96"/>
        <n v="356"/>
        <n v="94"/>
        <n v="600"/>
        <n v="72"/>
        <n v="184"/>
        <n v="174"/>
        <n v="102"/>
        <n v="46"/>
        <n v="238"/>
        <n v="884"/>
        <n v="520"/>
        <n v="160"/>
        <n v="-11"/>
        <n v="245"/>
        <n v="135"/>
        <n v="936"/>
        <n v="51"/>
        <n v="741"/>
        <n v="221"/>
        <n v="223"/>
        <n v="540"/>
        <n v="67"/>
        <n v="23"/>
        <n v="124"/>
        <n v="513"/>
        <n v="45"/>
        <n v="510"/>
        <n v="720"/>
        <n v="177"/>
        <n v="65"/>
        <n v="53"/>
        <n v="234"/>
        <n v="149"/>
        <n v="142"/>
        <n v="364"/>
        <n v="191"/>
        <n v="137"/>
        <n v="248"/>
        <n v="165"/>
        <n v="100"/>
        <n v="192"/>
        <n v="82"/>
        <n v="780"/>
        <n v="232"/>
        <n v="47"/>
        <n v="300"/>
        <n v="247"/>
        <n v="88"/>
        <n v="324"/>
        <n v="209"/>
        <n v="570"/>
        <n v="107"/>
        <n v="105"/>
        <n v="133"/>
        <n v="148"/>
        <n v="228"/>
        <n v="338"/>
        <n v="342"/>
        <n v="468"/>
        <n v="163"/>
        <n v="272"/>
        <n v="285"/>
        <n v="216"/>
        <n v="132"/>
        <n v="144"/>
        <n v="154"/>
        <n v="114"/>
        <n v="504"/>
        <n v="119"/>
        <n v="143"/>
        <n v="197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6.7078703704" refreshedBy="lenovo" recordCount="1000">
  <cacheSource type="worksheet">
    <worksheetSource name="Table1"/>
  </cacheSource>
  <cacheFields count="18">
    <cacheField name="OrderID" numFmtId="0">
      <sharedItems containsSemiMixedTypes="0" containsString="0" containsNumber="1" containsInteger="1" minValue="0" maxValue="501012" count="1000">
        <n v="500001"/>
        <n v="500002"/>
        <n v="500003"/>
        <n v="500004"/>
        <n v="500005"/>
        <n v="500006"/>
        <n v="500007"/>
        <n v="500008"/>
        <n v="500009"/>
        <n v="500010"/>
        <n v="500011"/>
        <n v="500012"/>
        <n v="500013"/>
        <n v="500014"/>
        <n v="500015"/>
        <n v="500016"/>
        <n v="500017"/>
        <n v="500018"/>
        <n v="500019"/>
        <n v="500020"/>
        <n v="500021"/>
        <n v="500022"/>
        <n v="500023"/>
        <n v="500024"/>
        <n v="500025"/>
        <n v="500026"/>
        <n v="500027"/>
        <n v="500028"/>
        <n v="500029"/>
        <n v="500030"/>
        <n v="500031"/>
        <n v="500032"/>
        <n v="500033"/>
        <n v="500034"/>
        <n v="500035"/>
        <n v="500037"/>
        <n v="500038"/>
        <n v="500039"/>
        <n v="500040"/>
        <n v="500041"/>
        <n v="500042"/>
        <n v="500043"/>
        <n v="500044"/>
        <n v="500045"/>
        <n v="500046"/>
        <n v="500047"/>
        <n v="500048"/>
        <n v="500049"/>
        <n v="500050"/>
        <n v="500051"/>
        <n v="500052"/>
        <n v="500053"/>
        <n v="500054"/>
        <n v="500055"/>
        <n v="500056"/>
        <n v="500057"/>
        <n v="500058"/>
        <n v="500059"/>
        <n v="500060"/>
        <n v="500061"/>
        <n v="500062"/>
        <n v="500063"/>
        <n v="500064"/>
        <n v="500065"/>
        <n v="500066"/>
        <n v="500067"/>
        <n v="500068"/>
        <n v="500069"/>
        <n v="500070"/>
        <n v="500071"/>
        <n v="500072"/>
        <n v="500073"/>
        <n v="500074"/>
        <n v="500075"/>
        <n v="500076"/>
        <n v="500077"/>
        <n v="500078"/>
        <n v="500079"/>
        <n v="500080"/>
        <n v="500081"/>
        <n v="500082"/>
        <n v="500083"/>
        <n v="500084"/>
        <n v="500085"/>
        <n v="500086"/>
        <n v="500087"/>
        <n v="500088"/>
        <n v="500089"/>
        <n v="500090"/>
        <n v="500091"/>
        <n v="500092"/>
        <n v="500094"/>
        <n v="500095"/>
        <n v="500096"/>
        <n v="500097"/>
        <n v="500098"/>
        <n v="500099"/>
        <n v="500100"/>
        <n v="500101"/>
        <n v="500102"/>
        <n v="500103"/>
        <n v="500104"/>
        <n v="500105"/>
        <n v="500106"/>
        <n v="500107"/>
        <n v="500108"/>
        <n v="500109"/>
        <n v="500110"/>
        <n v="500111"/>
        <n v="500112"/>
        <n v="500113"/>
        <n v="500114"/>
        <n v="500115"/>
        <n v="500116"/>
        <n v="500117"/>
        <n v="500118"/>
        <n v="500119"/>
        <n v="500120"/>
        <n v="500121"/>
        <n v="500122"/>
        <n v="500123"/>
        <n v="500124"/>
        <n v="500125"/>
        <n v="500126"/>
        <n v="500127"/>
        <n v="500128"/>
        <n v="500129"/>
        <n v="500130"/>
        <n v="500131"/>
        <n v="500132"/>
        <n v="500133"/>
        <n v="500134"/>
        <n v="500135"/>
        <n v="500136"/>
        <n v="500137"/>
        <n v="500138"/>
        <n v="500139"/>
        <n v="500140"/>
        <n v="500141"/>
        <n v="500142"/>
        <n v="500143"/>
        <n v="500145"/>
        <n v="500146"/>
        <n v="500147"/>
        <n v="500148"/>
        <n v="500149"/>
        <n v="500150"/>
        <n v="500151"/>
        <n v="500152"/>
        <n v="500153"/>
        <n v="500154"/>
        <n v="500155"/>
        <n v="500156"/>
        <n v="500157"/>
        <n v="500158"/>
        <n v="500159"/>
        <n v="500160"/>
        <n v="500161"/>
        <n v="500162"/>
        <n v="500163"/>
        <n v="500164"/>
        <n v="500165"/>
        <n v="500166"/>
        <n v="500167"/>
        <n v="500168"/>
        <n v="500169"/>
        <n v="500170"/>
        <n v="500171"/>
        <n v="500172"/>
        <n v="500173"/>
        <n v="500174"/>
        <n v="500175"/>
        <n v="500176"/>
        <n v="500177"/>
        <n v="500178"/>
        <n v="500179"/>
        <n v="500180"/>
        <n v="500181"/>
        <n v="500182"/>
        <n v="500183"/>
        <n v="500184"/>
        <n v="500185"/>
        <n v="500186"/>
        <n v="500187"/>
        <n v="500188"/>
        <n v="500189"/>
        <n v="500190"/>
        <n v="500191"/>
        <n v="500192"/>
        <n v="500193"/>
        <n v="500194"/>
        <n v="500195"/>
        <n v="500196"/>
        <n v="500197"/>
        <n v="500198"/>
        <n v="500199"/>
        <n v="500200"/>
        <n v="500201"/>
        <n v="500202"/>
        <n v="500203"/>
        <n v="500204"/>
        <n v="500205"/>
        <n v="500206"/>
        <n v="500207"/>
        <n v="500208"/>
        <n v="500209"/>
        <n v="500211"/>
        <n v="500212"/>
        <n v="500213"/>
        <n v="500214"/>
        <n v="500215"/>
        <n v="500216"/>
        <n v="500217"/>
        <n v="500218"/>
        <n v="500220"/>
        <n v="500221"/>
        <n v="500222"/>
        <n v="500223"/>
        <n v="500224"/>
        <n v="500225"/>
        <n v="500226"/>
        <n v="500227"/>
        <n v="500228"/>
        <n v="500229"/>
        <n v="500230"/>
        <n v="500231"/>
        <n v="500232"/>
        <n v="500233"/>
        <n v="500234"/>
        <n v="500235"/>
        <n v="500236"/>
        <n v="500237"/>
        <n v="500238"/>
        <n v="500239"/>
        <n v="500240"/>
        <n v="500241"/>
        <n v="500242"/>
        <n v="500243"/>
        <n v="500244"/>
        <n v="500245"/>
        <n v="500246"/>
        <n v="500247"/>
        <n v="500248"/>
        <n v="500249"/>
        <n v="500250"/>
        <n v="500251"/>
        <n v="500252"/>
        <n v="500253"/>
        <n v="500254"/>
        <n v="500255"/>
        <n v="500256"/>
        <n v="500257"/>
        <n v="500258"/>
        <n v="500259"/>
        <n v="500260"/>
        <n v="500261"/>
        <n v="500262"/>
        <n v="500263"/>
        <n v="500264"/>
        <n v="500265"/>
        <n v="500266"/>
        <n v="500267"/>
        <n v="500268"/>
        <n v="500269"/>
        <n v="500270"/>
        <n v="500271"/>
        <n v="500272"/>
        <n v="500273"/>
        <n v="500274"/>
        <n v="500275"/>
        <n v="500276"/>
        <n v="500277"/>
        <n v="500278"/>
        <n v="500279"/>
        <n v="500280"/>
        <n v="500281"/>
        <n v="500282"/>
        <n v="500283"/>
        <n v="500284"/>
        <n v="500285"/>
        <n v="500286"/>
        <n v="500287"/>
        <n v="500288"/>
        <n v="500289"/>
        <n v="500290"/>
        <n v="500291"/>
        <n v="500292"/>
        <n v="500293"/>
        <n v="500294"/>
        <n v="500295"/>
        <n v="500296"/>
        <n v="500297"/>
        <n v="500298"/>
        <n v="500299"/>
        <n v="500300"/>
        <n v="500301"/>
        <n v="500302"/>
        <n v="500303"/>
        <n v="500304"/>
        <n v="500305"/>
        <n v="500306"/>
        <n v="500307"/>
        <n v="500308"/>
        <n v="500309"/>
        <n v="500310"/>
        <n v="500311"/>
        <n v="500312"/>
        <n v="500313"/>
        <n v="500314"/>
        <n v="500315"/>
        <n v="500316"/>
        <n v="500317"/>
        <n v="500318"/>
        <n v="500319"/>
        <n v="500320"/>
        <n v="500321"/>
        <n v="500322"/>
        <n v="500323"/>
        <n v="500324"/>
        <n v="500325"/>
        <n v="500326"/>
        <n v="500327"/>
        <n v="500328"/>
        <n v="500329"/>
        <n v="500330"/>
        <n v="500331"/>
        <n v="500332"/>
        <n v="500333"/>
        <n v="500334"/>
        <n v="500335"/>
        <n v="500336"/>
        <n v="500337"/>
        <n v="500338"/>
        <n v="500339"/>
        <n v="500340"/>
        <n v="500341"/>
        <n v="500342"/>
        <n v="500343"/>
        <n v="500344"/>
        <n v="500345"/>
        <n v="500346"/>
        <n v="500347"/>
        <n v="500348"/>
        <n v="500349"/>
        <n v="500350"/>
        <n v="500351"/>
        <n v="500352"/>
        <n v="500353"/>
        <n v="500354"/>
        <n v="500355"/>
        <n v="500356"/>
        <n v="500357"/>
        <n v="500358"/>
        <n v="500359"/>
        <n v="500360"/>
        <n v="500361"/>
        <n v="500362"/>
        <n v="500363"/>
        <n v="500364"/>
        <n v="500365"/>
        <n v="500366"/>
        <n v="500367"/>
        <n v="500368"/>
        <n v="500369"/>
        <n v="500370"/>
        <n v="500371"/>
        <n v="500372"/>
        <n v="500373"/>
        <n v="500374"/>
        <n v="500375"/>
        <n v="500376"/>
        <n v="500377"/>
        <n v="500378"/>
        <n v="500379"/>
        <n v="500380"/>
        <n v="500381"/>
        <n v="500382"/>
        <n v="500383"/>
        <n v="500384"/>
        <n v="500385"/>
        <n v="500386"/>
        <n v="500387"/>
        <n v="500388"/>
        <n v="500389"/>
        <n v="500390"/>
        <n v="500391"/>
        <n v="500392"/>
        <n v="500393"/>
        <n v="500394"/>
        <n v="500395"/>
        <n v="500396"/>
        <n v="500397"/>
        <n v="500398"/>
        <n v="500399"/>
        <n v="500400"/>
        <n v="500401"/>
        <n v="500402"/>
        <n v="500403"/>
        <n v="500404"/>
        <n v="500406"/>
        <n v="500407"/>
        <n v="500408"/>
        <n v="500409"/>
        <n v="500411"/>
        <n v="500412"/>
        <n v="500413"/>
        <n v="500414"/>
        <n v="500415"/>
        <n v="500416"/>
        <n v="500417"/>
        <n v="500418"/>
        <n v="500419"/>
        <n v="500420"/>
        <n v="500421"/>
        <n v="500422"/>
        <n v="500423"/>
        <n v="500424"/>
        <n v="500425"/>
        <n v="500426"/>
        <n v="500427"/>
        <n v="500428"/>
        <n v="500429"/>
        <n v="500430"/>
        <n v="500431"/>
        <n v="500432"/>
        <n v="500433"/>
        <n v="500435"/>
        <n v="500436"/>
        <n v="500437"/>
        <n v="500438"/>
        <n v="500439"/>
        <n v="500440"/>
        <n v="500441"/>
        <n v="500442"/>
        <n v="500443"/>
        <n v="500444"/>
        <n v="500445"/>
        <n v="500446"/>
        <n v="500447"/>
        <n v="500448"/>
        <n v="500449"/>
        <n v="500450"/>
        <n v="500451"/>
        <n v="500452"/>
        <n v="500453"/>
        <n v="500454"/>
        <n v="500455"/>
        <n v="500456"/>
        <n v="500457"/>
        <n v="500458"/>
        <n v="500459"/>
        <n v="500460"/>
        <n v="500461"/>
        <n v="500462"/>
        <n v="500463"/>
        <n v="500464"/>
        <n v="500465"/>
        <n v="500466"/>
        <n v="500467"/>
        <n v="500468"/>
        <n v="500469"/>
        <n v="500470"/>
        <n v="500471"/>
        <n v="500472"/>
        <n v="500473"/>
        <n v="500474"/>
        <n v="500475"/>
        <n v="500476"/>
        <n v="500477"/>
        <n v="500478"/>
        <n v="500479"/>
        <n v="500480"/>
        <n v="500481"/>
        <n v="500482"/>
        <n v="500483"/>
        <n v="500484"/>
        <n v="500485"/>
        <n v="500486"/>
        <n v="500487"/>
        <n v="500488"/>
        <n v="500489"/>
        <n v="500490"/>
        <n v="500491"/>
        <n v="500492"/>
        <n v="500493"/>
        <n v="500494"/>
        <n v="500495"/>
        <n v="500496"/>
        <n v="500497"/>
        <n v="500498"/>
        <n v="500499"/>
        <n v="500500"/>
        <n v="500501"/>
        <n v="500502"/>
        <n v="500503"/>
        <n v="500505"/>
        <n v="500506"/>
        <n v="500507"/>
        <n v="500508"/>
        <n v="500509"/>
        <n v="500510"/>
        <n v="500511"/>
        <n v="500512"/>
        <n v="500513"/>
        <n v="500514"/>
        <n v="500515"/>
        <n v="500516"/>
        <n v="500517"/>
        <n v="500518"/>
        <n v="500519"/>
        <n v="500520"/>
        <n v="500521"/>
        <n v="500522"/>
        <n v="500523"/>
        <n v="500524"/>
        <n v="500525"/>
        <n v="500526"/>
        <n v="500527"/>
        <n v="500528"/>
        <n v="500529"/>
        <n v="500530"/>
        <n v="500531"/>
        <n v="500532"/>
        <n v="500533"/>
        <n v="500534"/>
        <n v="500535"/>
        <n v="500536"/>
        <n v="500537"/>
        <n v="500538"/>
        <n v="500539"/>
        <n v="500540"/>
        <n v="500541"/>
        <n v="500542"/>
        <n v="500543"/>
        <n v="500544"/>
        <n v="500545"/>
        <n v="500546"/>
        <n v="500547"/>
        <n v="500548"/>
        <n v="500549"/>
        <n v="500550"/>
        <n v="500551"/>
        <n v="500552"/>
        <n v="500553"/>
        <n v="500554"/>
        <n v="500555"/>
        <n v="500556"/>
        <n v="500557"/>
        <n v="500558"/>
        <n v="500559"/>
        <n v="500560"/>
        <n v="500561"/>
        <n v="500562"/>
        <n v="500563"/>
        <n v="500564"/>
        <n v="500565"/>
        <n v="500566"/>
        <n v="500567"/>
        <n v="500568"/>
        <n v="500569"/>
        <n v="500570"/>
        <n v="500571"/>
        <n v="500572"/>
        <n v="500573"/>
        <n v="500574"/>
        <n v="500575"/>
        <n v="500576"/>
        <n v="500577"/>
        <n v="500578"/>
        <n v="500579"/>
        <n v="500580"/>
        <n v="500581"/>
        <n v="500582"/>
        <n v="500583"/>
        <n v="500584"/>
        <n v="500585"/>
        <n v="500586"/>
        <n v="500587"/>
        <n v="500588"/>
        <n v="500589"/>
        <n v="500590"/>
        <n v="500591"/>
        <n v="500592"/>
        <n v="500593"/>
        <n v="500594"/>
        <n v="500595"/>
        <n v="500596"/>
        <n v="500597"/>
        <n v="500598"/>
        <n v="500599"/>
        <n v="500600"/>
        <n v="500601"/>
        <n v="500602"/>
        <n v="500603"/>
        <n v="500604"/>
        <n v="500605"/>
        <n v="500606"/>
        <n v="500607"/>
        <n v="500608"/>
        <n v="500609"/>
        <n v="500610"/>
        <n v="500611"/>
        <n v="500612"/>
        <n v="500613"/>
        <n v="500614"/>
        <n v="500615"/>
        <n v="500616"/>
        <n v="500617"/>
        <n v="500618"/>
        <n v="500619"/>
        <n v="500620"/>
        <n v="500621"/>
        <n v="500622"/>
        <n v="500623"/>
        <n v="500624"/>
        <n v="500625"/>
        <n v="500626"/>
        <n v="500627"/>
        <n v="500628"/>
        <n v="500629"/>
        <n v="500630"/>
        <n v="500631"/>
        <n v="500632"/>
        <n v="500633"/>
        <n v="500634"/>
        <n v="500635"/>
        <n v="500636"/>
        <n v="500637"/>
        <n v="500638"/>
        <n v="500639"/>
        <n v="500640"/>
        <n v="500641"/>
        <n v="500642"/>
        <n v="500643"/>
        <n v="500644"/>
        <n v="500645"/>
        <n v="500646"/>
        <n v="500647"/>
        <n v="500648"/>
        <n v="500649"/>
        <n v="500650"/>
        <n v="500651"/>
        <n v="500652"/>
        <n v="500653"/>
        <n v="500654"/>
        <n v="500655"/>
        <n v="500656"/>
        <n v="500657"/>
        <n v="500658"/>
        <n v="500659"/>
        <n v="500660"/>
        <n v="500661"/>
        <n v="500662"/>
        <n v="500663"/>
        <n v="500664"/>
        <n v="500665"/>
        <n v="500666"/>
        <n v="500667"/>
        <n v="500668"/>
        <n v="500669"/>
        <n v="500670"/>
        <n v="500671"/>
        <n v="500672"/>
        <n v="500673"/>
        <n v="500674"/>
        <n v="500675"/>
        <n v="500676"/>
        <n v="500677"/>
        <n v="500678"/>
        <n v="500679"/>
        <n v="500680"/>
        <n v="500681"/>
        <n v="500682"/>
        <n v="500683"/>
        <n v="500684"/>
        <n v="500685"/>
        <n v="500686"/>
        <n v="500687"/>
        <n v="500688"/>
        <n v="500689"/>
        <n v="500690"/>
        <n v="500691"/>
        <n v="500692"/>
        <n v="500693"/>
        <n v="500694"/>
        <n v="500695"/>
        <n v="500696"/>
        <n v="500697"/>
        <n v="500698"/>
        <n v="500699"/>
        <n v="500700"/>
        <n v="500701"/>
        <n v="500702"/>
        <n v="500703"/>
        <n v="500704"/>
        <n v="500705"/>
        <n v="500706"/>
        <n v="500707"/>
        <n v="500708"/>
        <n v="500709"/>
        <n v="500710"/>
        <n v="500711"/>
        <n v="500712"/>
        <n v="500713"/>
        <n v="500714"/>
        <n v="500715"/>
        <n v="500716"/>
        <n v="500717"/>
        <n v="500718"/>
        <n v="500719"/>
        <n v="500720"/>
        <n v="500721"/>
        <n v="500722"/>
        <n v="500723"/>
        <n v="500724"/>
        <n v="500725"/>
        <n v="500726"/>
        <n v="500727"/>
        <n v="500728"/>
        <n v="500729"/>
        <n v="500730"/>
        <n v="500731"/>
        <n v="500732"/>
        <n v="500733"/>
        <n v="500734"/>
        <n v="500735"/>
        <n v="500736"/>
        <n v="500737"/>
        <n v="500738"/>
        <n v="500739"/>
        <n v="500740"/>
        <n v="500741"/>
        <n v="500742"/>
        <n v="500743"/>
        <n v="500744"/>
        <n v="500745"/>
        <n v="500746"/>
        <n v="500747"/>
        <n v="500748"/>
        <n v="500749"/>
        <n v="500750"/>
        <n v="500751"/>
        <n v="500752"/>
        <n v="500753"/>
        <n v="500754"/>
        <n v="500755"/>
        <n v="500756"/>
        <n v="500757"/>
        <n v="500758"/>
        <n v="500759"/>
        <n v="500760"/>
        <n v="500761"/>
        <n v="500762"/>
        <n v="500763"/>
        <n v="500764"/>
        <n v="500765"/>
        <n v="500766"/>
        <n v="500767"/>
        <n v="500768"/>
        <n v="500769"/>
        <n v="500770"/>
        <n v="500771"/>
        <n v="500772"/>
        <n v="500773"/>
        <n v="500774"/>
        <n v="500775"/>
        <n v="500776"/>
        <n v="500777"/>
        <n v="500778"/>
        <n v="500779"/>
        <n v="500780"/>
        <n v="500781"/>
        <n v="500782"/>
        <n v="500783"/>
        <n v="500784"/>
        <n v="500785"/>
        <n v="500786"/>
        <n v="500787"/>
        <n v="500788"/>
        <n v="500789"/>
        <n v="500790"/>
        <n v="500791"/>
        <n v="500792"/>
        <n v="500793"/>
        <n v="500794"/>
        <n v="500795"/>
        <n v="500796"/>
        <n v="500797"/>
        <n v="500798"/>
        <n v="500799"/>
        <n v="500800"/>
        <n v="500801"/>
        <n v="500802"/>
        <n v="500803"/>
        <n v="500804"/>
        <n v="500805"/>
        <n v="500806"/>
        <n v="500807"/>
        <n v="500808"/>
        <n v="500809"/>
        <n v="500810"/>
        <n v="500811"/>
        <n v="500812"/>
        <n v="500813"/>
        <n v="500814"/>
        <n v="500815"/>
        <n v="500816"/>
        <n v="500817"/>
        <n v="500818"/>
        <n v="500819"/>
        <n v="500820"/>
        <n v="500821"/>
        <n v="500822"/>
        <n v="500823"/>
        <n v="500824"/>
        <n v="500825"/>
        <n v="500826"/>
        <n v="500827"/>
        <n v="500828"/>
        <n v="500829"/>
        <n v="500830"/>
        <n v="500831"/>
        <n v="500832"/>
        <n v="500833"/>
        <n v="500834"/>
        <n v="500835"/>
        <n v="500836"/>
        <n v="500837"/>
        <n v="500838"/>
        <n v="500839"/>
        <n v="500840"/>
        <n v="500841"/>
        <n v="500842"/>
        <n v="500843"/>
        <n v="500844"/>
        <n v="500845"/>
        <n v="500846"/>
        <n v="500847"/>
        <n v="500848"/>
        <n v="500849"/>
        <n v="500850"/>
        <n v="500851"/>
        <n v="500852"/>
        <n v="500853"/>
        <n v="500854"/>
        <n v="500855"/>
        <n v="500856"/>
        <n v="500857"/>
        <n v="500858"/>
        <n v="500859"/>
        <n v="500860"/>
        <n v="500861"/>
        <n v="500862"/>
        <n v="500863"/>
        <n v="500864"/>
        <n v="500865"/>
        <n v="500866"/>
        <n v="500867"/>
        <n v="500868"/>
        <n v="500869"/>
        <n v="500870"/>
        <n v="500871"/>
        <n v="500872"/>
        <n v="500873"/>
        <n v="500874"/>
        <n v="500875"/>
        <n v="500876"/>
        <n v="500877"/>
        <n v="500878"/>
        <n v="500879"/>
        <n v="500880"/>
        <n v="500881"/>
        <n v="500882"/>
        <n v="500883"/>
        <n v="500884"/>
        <n v="500886"/>
        <n v="500887"/>
        <n v="500888"/>
        <n v="500889"/>
        <n v="500890"/>
        <n v="500891"/>
        <n v="500892"/>
        <n v="500893"/>
        <n v="500894"/>
        <n v="500895"/>
        <n v="500896"/>
        <n v="500897"/>
        <n v="500898"/>
        <n v="500899"/>
        <n v="500900"/>
        <n v="500901"/>
        <n v="500902"/>
        <n v="500903"/>
        <n v="500904"/>
        <n v="500905"/>
        <n v="500906"/>
        <n v="500907"/>
        <n v="500908"/>
        <n v="500909"/>
        <n v="500911"/>
        <n v="500912"/>
        <n v="500913"/>
        <n v="500914"/>
        <n v="500915"/>
        <n v="500916"/>
        <n v="500917"/>
        <n v="500918"/>
        <n v="500919"/>
        <n v="500920"/>
        <n v="500921"/>
        <n v="500922"/>
        <n v="500923"/>
        <n v="500924"/>
        <n v="500925"/>
        <n v="500926"/>
        <n v="500927"/>
        <n v="500928"/>
        <n v="500929"/>
        <n v="500930"/>
        <n v="500931"/>
        <n v="500932"/>
        <n v="500933"/>
        <n v="500934"/>
        <n v="500935"/>
        <n v="500936"/>
        <n v="500937"/>
        <n v="500938"/>
        <n v="500939"/>
        <n v="500940"/>
        <n v="500941"/>
        <n v="500942"/>
        <n v="500943"/>
        <n v="500944"/>
        <n v="500945"/>
        <n v="500946"/>
        <n v="500947"/>
        <n v="500948"/>
        <n v="500949"/>
        <n v="500950"/>
        <n v="500951"/>
        <n v="500952"/>
        <n v="500953"/>
        <n v="500954"/>
        <n v="500955"/>
        <n v="500956"/>
        <n v="500957"/>
        <n v="500958"/>
        <n v="500959"/>
        <n v="500960"/>
        <n v="500961"/>
        <n v="500962"/>
        <n v="500963"/>
        <n v="500964"/>
        <n v="500965"/>
        <n v="500966"/>
        <n v="500967"/>
        <n v="500968"/>
        <n v="500969"/>
        <n v="500970"/>
        <n v="500972"/>
        <n v="500973"/>
        <n v="500974"/>
        <n v="500975"/>
        <n v="500976"/>
        <n v="500977"/>
        <n v="500978"/>
        <n v="500979"/>
        <n v="500980"/>
        <n v="500981"/>
        <n v="500982"/>
        <n v="500983"/>
        <n v="500984"/>
        <n v="500985"/>
        <n v="500986"/>
        <n v="500987"/>
        <n v="500988"/>
        <n v="500989"/>
        <n v="500990"/>
        <n v="500991"/>
        <n v="500992"/>
        <n v="500993"/>
        <n v="500994"/>
        <n v="500995"/>
        <n v="500996"/>
        <n v="500997"/>
        <n v="500998"/>
        <n v="500999"/>
        <n v="501000"/>
        <n v="501001"/>
        <n v="501002"/>
        <n v="501003"/>
        <n v="501004"/>
        <n v="501005"/>
        <n v="501006"/>
        <n v="501007"/>
        <n v="501008"/>
        <n v="501009"/>
        <n v="501010"/>
        <n v="501011"/>
        <n v="501012"/>
      </sharedItems>
    </cacheField>
    <cacheField name="CustomerID" numFmtId="0">
      <sharedItems containsSemiMixedTypes="0" containsString="0" containsNumber="1" containsInteger="1" minValue="0" maxValue="110000" count="953">
        <n v="103695"/>
        <n v="107935"/>
        <n v="105141"/>
        <n v="108780"/>
        <n v="101187"/>
        <n v="105545"/>
        <n v="106418"/>
        <n v="108755"/>
        <n v="105133"/>
        <n v="103111"/>
        <n v="102192"/>
        <n v="102921"/>
        <n v="101803"/>
        <n v="108853"/>
        <n v="102106"/>
        <n v="104175"/>
        <n v="101158"/>
        <n v="109942"/>
        <n v="104270"/>
        <n v="109355"/>
        <n v="105138"/>
        <n v="105368"/>
        <n v="108138"/>
        <n v="107845"/>
        <n v="109039"/>
        <n v="107998"/>
        <n v="108982"/>
        <n v="103563"/>
        <n v="100210"/>
        <n v="104615"/>
        <n v="101683"/>
        <n v="109032"/>
        <n v="107365"/>
        <n v="105082"/>
        <n v="106013"/>
        <n v="107822"/>
        <n v="101279"/>
        <n v="107601"/>
        <n v="104265"/>
        <n v="104458"/>
        <n v="104499"/>
        <n v="109584"/>
        <n v="104936"/>
        <n v="100241"/>
        <n v="107541"/>
        <n v="109317"/>
        <n v="109778"/>
        <n v="102735"/>
        <n v="103894"/>
        <n v="102673"/>
        <n v="108100"/>
        <n v="106454"/>
        <n v="106300"/>
        <n v="109861"/>
        <n v="108499"/>
        <n v="101360"/>
        <n v="104257"/>
        <n v="109227"/>
        <n v="104648"/>
        <n v="103566"/>
        <n v="103020"/>
        <n v="106946"/>
        <n v="107003"/>
        <n v="104518"/>
        <n v="102799"/>
        <n v="100378"/>
        <n v="104093"/>
        <n v="103550"/>
        <n v="105158"/>
        <n v="100053"/>
        <n v="108212"/>
        <n v="102545"/>
        <n v="106487"/>
        <n v="104951"/>
        <n v="105369"/>
        <n v="108987"/>
        <n v="100771"/>
        <n v="103388"/>
        <n v="100685"/>
        <n v="103580"/>
        <n v="104496"/>
        <n v="100243"/>
        <n v="106025"/>
        <n v="102251"/>
        <n v="100613"/>
        <n v="109509"/>
        <n v="105172"/>
        <n v="102165"/>
        <n v="103486"/>
        <n v="107995"/>
        <n v="106590"/>
        <n v="102948"/>
        <n v="101255"/>
        <n v="100083"/>
        <n v="102041"/>
        <n v="109236"/>
        <n v="100300"/>
        <n v="100163"/>
        <n v="100303"/>
        <n v="107340"/>
        <n v="108874"/>
        <n v="104487"/>
        <n v="109797"/>
        <n v="103568"/>
        <n v="109290"/>
        <n v="104967"/>
        <n v="103549"/>
        <n v="108820"/>
        <n v="100737"/>
        <n v="101140"/>
        <n v="107642"/>
        <n v="109188"/>
        <n v="102851"/>
        <n v="106117"/>
        <n v="101946"/>
        <n v="101651"/>
        <n v="104593"/>
        <n v="109488"/>
        <n v="100808"/>
        <n v="108989"/>
        <n v="100247"/>
        <n v="109971"/>
        <n v="105041"/>
        <n v="108080"/>
        <n v="106290"/>
        <n v="108436"/>
        <n v="106102"/>
        <n v="101553"/>
        <n v="100253"/>
        <n v="108318"/>
        <n v="100871"/>
        <n v="107244"/>
        <n v="101858"/>
        <n v="106607"/>
        <n v="103340"/>
        <n v="108835"/>
        <n v="107286"/>
        <n v="104773"/>
        <n v="100252"/>
        <n v="103103"/>
        <n v="107442"/>
        <n v="104242"/>
        <n v="103890"/>
        <n v="105747"/>
        <n v="104546"/>
        <n v="104785"/>
        <n v="101032"/>
        <n v="108727"/>
        <n v="102971"/>
        <n v="103997"/>
        <n v="103396"/>
        <n v="109573"/>
        <n v="109579"/>
        <n v="109132"/>
        <n v="105558"/>
        <n v="103309"/>
        <n v="101330"/>
        <n v="105525"/>
        <n v="107488"/>
        <n v="106784"/>
        <n v="109289"/>
        <n v="109697"/>
        <n v="100360"/>
        <n v="104134"/>
        <n v="105228"/>
        <n v="105936"/>
        <n v="104045"/>
        <n v="106613"/>
        <n v="106216"/>
        <n v="105281"/>
        <n v="101073"/>
        <n v="102785"/>
        <n v="101517"/>
        <n v="103489"/>
        <n v="105531"/>
        <n v="103745"/>
        <n v="104872"/>
        <n v="102886"/>
        <n v="106987"/>
        <n v="105068"/>
        <n v="107190"/>
        <n v="100617"/>
        <n v="108226"/>
        <n v="107802"/>
        <n v="107506"/>
        <n v="100026"/>
        <n v="109461"/>
        <n v="106441"/>
        <n v="105983"/>
        <n v="100659"/>
        <n v="107716"/>
        <n v="109561"/>
        <n v="109142"/>
        <n v="105852"/>
        <n v="104768"/>
        <n v="104200"/>
        <n v="101186"/>
        <n v="103758"/>
        <n v="108390"/>
        <n v="109364"/>
        <n v="101183"/>
        <n v="101856"/>
        <n v="103338"/>
        <n v="104657"/>
        <n v="105761"/>
        <n v="102102"/>
        <n v="101342"/>
        <n v="102133"/>
        <n v="101884"/>
        <n v="108279"/>
        <n v="101096"/>
        <n v="103404"/>
        <n v="105098"/>
        <n v="100444"/>
        <n v="102621"/>
        <n v="101921"/>
        <n v="103652"/>
        <n v="105062"/>
        <n v="107826"/>
        <n v="109447"/>
        <n v="108616"/>
        <n v="105005"/>
        <n v="104694"/>
        <n v="103813"/>
        <n v="105008"/>
        <n v="101359"/>
        <n v="106814"/>
        <n v="101208"/>
        <n v="102833"/>
        <n v="108171"/>
        <n v="107568"/>
        <n v="103653"/>
        <n v="109458"/>
        <n v="104794"/>
        <n v="101714"/>
        <n v="109391"/>
        <n v="103669"/>
        <n v="103959"/>
        <n v="101327"/>
        <n v="102218"/>
        <n v="101098"/>
        <n v="104925"/>
        <n v="105894"/>
        <n v="105319"/>
        <n v="102797"/>
        <n v="100061"/>
        <n v="102612"/>
        <n v="109592"/>
        <n v="103944"/>
        <n v="102347"/>
        <n v="106912"/>
        <n v="104801"/>
        <n v="102947"/>
        <n v="102880"/>
        <n v="105309"/>
        <n v="109946"/>
        <n v="108067"/>
        <n v="105435"/>
        <n v="100715"/>
        <n v="106864"/>
        <n v="101823"/>
        <n v="108672"/>
        <n v="105282"/>
        <n v="101406"/>
        <n v="102743"/>
        <n v="104179"/>
        <n v="109408"/>
        <n v="106341"/>
        <n v="100708"/>
        <n v="105080"/>
        <n v="103290"/>
        <n v="107941"/>
        <n v="100054"/>
        <n v="108968"/>
        <n v="100055"/>
        <n v="105484"/>
        <n v="100679"/>
        <n v="103840"/>
        <n v="106045"/>
        <n v="103336"/>
        <n v="109103"/>
        <n v="104232"/>
        <n v="108916"/>
        <n v="103658"/>
        <n v="106736"/>
        <n v="100751"/>
        <n v="103423"/>
        <n v="106060"/>
        <n v="103443"/>
        <n v="103283"/>
        <n v="104666"/>
        <n v="105361"/>
        <n v="104588"/>
        <n v="108012"/>
        <n v="105715"/>
        <n v="109107"/>
        <n v="102046"/>
        <n v="108731"/>
        <n v="103662"/>
        <n v="108051"/>
        <n v="101765"/>
        <n v="108993"/>
        <n v="105595"/>
        <n v="105876"/>
        <n v="108721"/>
        <n v="105592"/>
        <n v="108058"/>
        <n v="102656"/>
        <n v="104566"/>
        <n v="102235"/>
        <n v="107750"/>
        <n v="109037"/>
        <n v="101855"/>
        <n v="109297"/>
        <n v="100255"/>
        <n v="107926"/>
        <n v="109135"/>
        <n v="107966"/>
        <n v="109495"/>
        <n v="108817"/>
        <n v="107264"/>
        <n v="101849"/>
        <n v="103374"/>
        <n v="101940"/>
        <n v="100839"/>
        <n v="104740"/>
        <n v="100349"/>
        <n v="101761"/>
        <n v="100244"/>
        <n v="107739"/>
        <n v="102935"/>
        <n v="108337"/>
        <n v="102696"/>
        <n v="105902"/>
        <n v="102582"/>
        <n v="105800"/>
        <n v="108857"/>
        <n v="103814"/>
        <n v="101735"/>
        <n v="102611"/>
        <n v="101181"/>
        <n v="107258"/>
        <n v="104047"/>
        <n v="104799"/>
        <n v="107797"/>
        <n v="105650"/>
        <n v="104724"/>
        <n v="101331"/>
        <n v="106659"/>
        <n v="103902"/>
        <n v="106525"/>
        <n v="100344"/>
        <n v="101528"/>
        <n v="109099"/>
        <n v="107411"/>
        <n v="106065"/>
        <n v="101206"/>
        <n v="105716"/>
        <n v="107128"/>
        <n v="107852"/>
        <n v="109235"/>
        <n v="108526"/>
        <n v="103438"/>
        <n v="101265"/>
        <n v="101541"/>
        <n v="109882"/>
        <n v="104149"/>
        <n v="109715"/>
        <n v="109765"/>
        <n v="104869"/>
        <n v="105814"/>
        <n v="101504"/>
        <n v="102142"/>
        <n v="106383"/>
        <n v="108676"/>
        <n v="105268"/>
        <n v="102029"/>
        <n v="103889"/>
        <n v="105944"/>
        <n v="107310"/>
        <n v="100983"/>
        <n v="102390"/>
        <n v="101853"/>
        <n v="107782"/>
        <n v="102773"/>
        <n v="106497"/>
        <n v="101287"/>
        <n v="101164"/>
        <n v="101132"/>
        <n v="104273"/>
        <n v="100203"/>
        <n v="105180"/>
        <n v="104784"/>
        <n v="104685"/>
        <n v="107934"/>
        <n v="107909"/>
        <n v="106115"/>
        <n v="105713"/>
        <n v="102244"/>
        <n v="104983"/>
        <n v="105862"/>
        <n v="109326"/>
        <n v="102918"/>
        <n v="107013"/>
        <n v="101954"/>
        <n v="100941"/>
        <n v="109947"/>
        <n v="102554"/>
        <n v="106330"/>
        <n v="102594"/>
        <n v="103310"/>
        <n v="107678"/>
        <n v="102713"/>
        <n v="100654"/>
        <n v="104143"/>
        <n v="107669"/>
        <n v="107733"/>
        <n v="105963"/>
        <n v="107631"/>
        <n v="108038"/>
        <n v="104561"/>
        <n v="108208"/>
        <n v="106836"/>
        <n v="105284"/>
        <n v="101081"/>
        <n v="107967"/>
        <n v="100480"/>
        <n v="108017"/>
        <n v="105601"/>
        <n v="105627"/>
        <n v="109569"/>
        <n v="101832"/>
        <n v="104268"/>
        <n v="107349"/>
        <n v="109044"/>
        <n v="108339"/>
        <n v="106895"/>
        <n v="105315"/>
        <n v="109076"/>
        <n v="107082"/>
        <n v="105554"/>
        <n v="104889"/>
        <n v="103298"/>
        <n v="100065"/>
        <n v="107171"/>
        <n v="107812"/>
        <n v="100529"/>
        <n v="103318"/>
        <n v="109641"/>
        <n v="108216"/>
        <n v="100286"/>
        <n v="104100"/>
        <n v="108687"/>
        <n v="106538"/>
        <n v="101368"/>
        <n v="104279"/>
        <n v="100804"/>
        <n v="102415"/>
        <n v="104056"/>
        <n v="108735"/>
        <n v="101816"/>
        <n v="105247"/>
        <n v="106556"/>
        <n v="107719"/>
        <n v="106064"/>
        <n v="101307"/>
        <n v="108365"/>
        <n v="109469"/>
        <n v="108502"/>
        <n v="101862"/>
        <n v="102924"/>
        <n v="100586"/>
        <n v="107727"/>
        <n v="109407"/>
        <n v="106249"/>
        <n v="103206"/>
        <n v="104577"/>
        <n v="103581"/>
        <n v="100929"/>
        <n v="101529"/>
        <n v="105350"/>
        <n v="109959"/>
        <n v="101752"/>
        <n v="109538"/>
        <n v="101637"/>
        <n v="107089"/>
        <n v="109219"/>
        <n v="102917"/>
        <n v="105130"/>
        <n v="105403"/>
        <n v="108728"/>
        <n v="103213"/>
        <n v="100890"/>
        <n v="106523"/>
        <n v="104203"/>
        <n v="102015"/>
        <n v="103303"/>
        <n v="108958"/>
        <n v="100434"/>
        <n v="106348"/>
        <n v="102567"/>
        <n v="106202"/>
        <n v="103168"/>
        <n v="104029"/>
        <n v="104078"/>
        <n v="107099"/>
        <n v="107569"/>
        <n v="103975"/>
        <n v="105438"/>
        <n v="106973"/>
        <n v="104619"/>
        <n v="104970"/>
        <n v="106679"/>
        <n v="104171"/>
        <n v="107168"/>
        <n v="106335"/>
        <n v="101001"/>
        <n v="100176"/>
        <n v="109707"/>
        <n v="105313"/>
        <n v="107806"/>
        <n v="105675"/>
        <n v="102606"/>
        <n v="101119"/>
        <n v="108498"/>
        <n v="101171"/>
        <n v="104021"/>
        <n v="103850"/>
        <n v="101733"/>
        <n v="109221"/>
        <n v="105249"/>
        <n v="106097"/>
        <n v="103797"/>
        <n v="108840"/>
        <n v="109740"/>
        <n v="102950"/>
        <n v="105389"/>
        <n v="103629"/>
        <n v="100262"/>
        <n v="106681"/>
        <n v="108368"/>
        <n v="104659"/>
        <n v="109567"/>
        <n v="107523"/>
        <n v="109705"/>
        <n v="100301"/>
        <n v="102113"/>
        <n v="102776"/>
        <n v="105433"/>
        <n v="109330"/>
        <n v="104064"/>
        <n v="102281"/>
        <n v="104411"/>
        <n v="104617"/>
        <n v="103212"/>
        <n v="107133"/>
        <n v="100278"/>
        <n v="103072"/>
        <n v="102012"/>
        <n v="100712"/>
        <n v="100882"/>
        <n v="108578"/>
        <n v="104859"/>
        <n v="109752"/>
        <n v="101827"/>
        <n v="109470"/>
        <n v="105016"/>
        <n v="101088"/>
        <n v="102002"/>
        <n v="104866"/>
        <n v="106817"/>
        <n v="108231"/>
        <n v="109192"/>
        <n v="108901"/>
        <n v="105833"/>
        <n v="101039"/>
        <n v="109948"/>
        <n v="101577"/>
        <n v="100938"/>
        <n v="108181"/>
        <n v="105508"/>
        <n v="104162"/>
        <n v="104468"/>
        <n v="106815"/>
        <n v="109956"/>
        <n v="106768"/>
        <n v="105698"/>
        <n v="102132"/>
        <n v="103395"/>
        <n v="102926"/>
        <n v="107321"/>
        <n v="107197"/>
        <n v="100379"/>
        <n v="100119"/>
        <n v="109492"/>
        <n v="104897"/>
        <n v="109238"/>
        <n v="101347"/>
        <n v="103709"/>
        <n v="105113"/>
        <n v="104882"/>
        <n v="102572"/>
        <n v="105537"/>
        <n v="104253"/>
        <n v="103529"/>
        <n v="107456"/>
        <n v="102293"/>
        <n v="102856"/>
        <n v="104702"/>
        <n v="102817"/>
        <n v="104661"/>
        <n v="104669"/>
        <n v="104927"/>
        <n v="105337"/>
        <n v="105267"/>
        <n v="104835"/>
        <n v="103752"/>
        <n v="103416"/>
        <n v="105285"/>
        <n v="102863"/>
        <n v="103271"/>
        <n v="107341"/>
        <n v="107731"/>
        <n v="107658"/>
        <n v="108662"/>
        <n v="102068"/>
        <n v="104214"/>
        <n v="104671"/>
        <n v="103904"/>
        <n v="100319"/>
        <n v="107619"/>
        <n v="101259"/>
        <n v="108794"/>
        <n v="106328"/>
        <n v="108683"/>
        <n v="106655"/>
        <n v="103815"/>
        <n v="106302"/>
        <n v="106204"/>
        <n v="103661"/>
        <n v="102451"/>
        <n v="107071"/>
        <n v="101778"/>
        <n v="105221"/>
        <n v="101491"/>
        <n v="102290"/>
        <n v="108842"/>
        <n v="109024"/>
        <n v="108210"/>
        <n v="108759"/>
        <n v="107659"/>
        <n v="107484"/>
        <n v="107865"/>
        <n v="106640"/>
        <n v="104432"/>
        <n v="107186"/>
        <n v="101332"/>
        <n v="103966"/>
        <n v="104205"/>
        <n v="105781"/>
        <n v="107256"/>
        <n v="109885"/>
        <n v="104797"/>
        <n v="108093"/>
        <n v="109827"/>
        <n v="102544"/>
        <n v="106295"/>
        <n v="101241"/>
        <n v="101614"/>
        <n v="105153"/>
        <n v="100783"/>
        <n v="105384"/>
        <n v="102149"/>
        <n v="106862"/>
        <n v="105408"/>
        <n v="107987"/>
        <n v="109669"/>
        <n v="108349"/>
        <n v="105206"/>
        <n v="107636"/>
        <n v="109403"/>
        <n v="102423"/>
        <n v="108412"/>
        <n v="109928"/>
        <n v="103359"/>
        <n v="109387"/>
        <n v="104057"/>
        <n v="106518"/>
        <n v="100596"/>
        <n v="100158"/>
        <n v="107879"/>
        <n v="102501"/>
        <n v="107893"/>
        <n v="104857"/>
        <n v="100984"/>
        <n v="102977"/>
        <n v="101924"/>
        <n v="106128"/>
        <n v="101042"/>
        <n v="105706"/>
        <n v="108190"/>
        <n v="109828"/>
        <n v="106846"/>
        <n v="104373"/>
        <n v="105160"/>
        <n v="100295"/>
        <n v="108974"/>
        <n v="100502"/>
        <n v="109763"/>
        <n v="101582"/>
        <n v="109191"/>
        <n v="102512"/>
        <n v="100424"/>
        <n v="106701"/>
        <n v="106778"/>
        <n v="103277"/>
        <n v="108431"/>
        <n v="100049"/>
        <n v="101910"/>
        <n v="100631"/>
        <n v="105615"/>
        <n v="103022"/>
        <n v="105201"/>
        <n v="105988"/>
        <n v="105651"/>
        <n v="101466"/>
        <n v="106860"/>
        <n v="100206"/>
        <n v="104231"/>
        <n v="104735"/>
        <n v="105474"/>
        <n v="106376"/>
        <n v="108424"/>
        <n v="105512"/>
        <n v="107390"/>
        <n v="107897"/>
        <n v="104286"/>
        <n v="102356"/>
        <n v="106840"/>
        <n v="103422"/>
        <n v="101427"/>
        <n v="105887"/>
        <n v="102660"/>
        <n v="103878"/>
        <n v="104760"/>
        <n v="107763"/>
        <n v="106411"/>
        <n v="100124"/>
        <n v="101086"/>
        <n v="107701"/>
        <n v="109229"/>
        <n v="108134"/>
        <n v="101782"/>
        <n v="107008"/>
        <n v="100989"/>
        <n v="105497"/>
        <n v="103017"/>
        <n v="102445"/>
        <n v="103437"/>
        <n v="101461"/>
        <n v="109365"/>
        <n v="108923"/>
        <n v="109005"/>
        <n v="109997"/>
        <n v="108633"/>
        <n v="101650"/>
        <n v="104690"/>
        <n v="103822"/>
        <n v="100095"/>
        <n v="102289"/>
        <n v="107030"/>
        <n v="102051"/>
        <n v="105984"/>
        <n v="107032"/>
        <n v="100028"/>
        <n v="109359"/>
        <n v="104706"/>
        <n v="103984"/>
        <n v="100138"/>
        <n v="108408"/>
        <n v="108933"/>
        <n v="108745"/>
        <n v="105827"/>
        <n v="106881"/>
        <n v="108306"/>
        <n v="107791"/>
        <n v="104933"/>
        <n v="100897"/>
        <n v="104036"/>
        <n v="107912"/>
        <n v="109685"/>
        <n v="101498"/>
        <n v="108542"/>
        <n v="109559"/>
        <n v="100489"/>
        <n v="102846"/>
        <n v="100806"/>
        <n v="107575"/>
        <n v="104715"/>
        <n v="103925"/>
        <n v="101896"/>
        <n v="103382"/>
        <n v="100189"/>
        <n v="105929"/>
        <n v="107630"/>
        <n v="107221"/>
        <n v="108910"/>
        <n v="104620"/>
        <n v="102684"/>
        <n v="105045"/>
        <n v="106725"/>
        <n v="107274"/>
        <n v="106121"/>
        <n v="101674"/>
        <n v="103246"/>
        <n v="101254"/>
        <n v="102732"/>
        <n v="103931"/>
        <n v="108703"/>
        <n v="103720"/>
        <n v="106315"/>
        <n v="102793"/>
        <n v="108319"/>
        <n v="109255"/>
        <n v="108344"/>
        <n v="102178"/>
        <n v="107818"/>
        <n v="104721"/>
        <n v="101220"/>
        <n v="103764"/>
        <n v="107070"/>
        <n v="109980"/>
        <n v="100769"/>
        <n v="106324"/>
        <n v="109244"/>
        <n v="103357"/>
        <n v="108872"/>
        <n v="105521"/>
        <n v="102138"/>
        <n v="108327"/>
        <n v="101106"/>
        <n v="101695"/>
        <n v="102038"/>
        <n v="103664"/>
        <n v="100927"/>
        <n v="103165"/>
        <n v="103823"/>
        <n v="101673"/>
        <n v="101524"/>
        <n v="102801"/>
        <n v="105707"/>
        <n v="104442"/>
        <n v="103090"/>
        <n v="100842"/>
        <n v="105179"/>
        <n v="102675"/>
        <n v="107940"/>
        <n v="101407"/>
        <n v="101998"/>
        <n v="108373"/>
        <n v="103033"/>
        <n v="104868"/>
        <n v="104644"/>
        <n v="101846"/>
        <n v="104019"/>
        <n v="108366"/>
        <n v="105382"/>
        <n v="109241"/>
        <n v="109649"/>
        <n v="104122"/>
        <n v="102703"/>
        <n v="102127"/>
        <n v="106176"/>
        <n v="106951"/>
        <n v="107765"/>
        <n v="102040"/>
        <n v="106633"/>
        <n v="106811"/>
        <n v="104932"/>
        <n v="106858"/>
        <n v="104910"/>
        <n v="107999"/>
        <n v="103050"/>
        <n v="106150"/>
        <n v="103207"/>
        <n v="105057"/>
        <n v="102519"/>
        <n v="102437"/>
        <n v="106393"/>
        <n v="102808"/>
        <n v="109761"/>
        <n v="108151"/>
        <n v="102428"/>
        <n v="103367"/>
        <n v="104469"/>
        <n v="105801"/>
        <n v="103584"/>
        <n v="103536"/>
        <n v="104959"/>
        <n v="100376"/>
        <n v="105861"/>
        <n v="100763"/>
        <n v="104325"/>
        <n v="105444"/>
        <n v="107648"/>
        <n v="106732"/>
        <n v="104596"/>
        <n v="109251"/>
        <n v="109494"/>
        <n v="105870"/>
        <n v="103601"/>
        <n v="104509"/>
        <n v="103751"/>
        <n v="100219"/>
        <n v="103311"/>
        <n v="106716"/>
        <n v="107164"/>
        <n v="107451"/>
        <n v="105613"/>
        <n v="102231"/>
        <n v="108470"/>
        <n v="107684"/>
        <n v="102008"/>
        <n v="106776"/>
        <n v="102328"/>
        <n v="100546"/>
        <n v="100555"/>
        <n v="102657"/>
        <n v="102213"/>
        <n v="110000"/>
        <n v="109524"/>
        <n v="100080"/>
        <n v="109203"/>
        <n v="109543"/>
        <n v="108174"/>
        <n v="101194"/>
        <n v="107276"/>
        <n v="107567"/>
        <n v="105566"/>
        <n v="101019"/>
        <n v="102539"/>
        <n v="105171"/>
        <n v="101636"/>
        <n v="109720"/>
        <n v="100572"/>
        <n v="105358"/>
        <n v="105616"/>
        <n v="104658"/>
        <n v="108805"/>
        <n v="101159"/>
        <n v="101525"/>
        <n v="100651"/>
        <n v="102399"/>
      </sharedItems>
    </cacheField>
    <cacheField name="OrderDate" numFmtId="182">
      <sharedItems containsSemiMixedTypes="0" containsString="0" containsNonDate="0" containsDate="1" minDate="2024-01-03T00:00:00" maxDate="2026-06-29T00:00:00" count="606">
        <d v="2025-08-28T00:00:00"/>
        <d v="2024-05-31T00:00:00"/>
        <d v="2025-08-10T00:00:00"/>
        <d v="2024-10-11T00:00:00"/>
        <d v="2024-02-19T00:00:00"/>
        <d v="2024-07-16T00:00:00"/>
        <d v="2025-10-15T00:00:00"/>
        <d v="2024-12-03T00:00:00"/>
        <d v="2025-04-15T00:00:00"/>
        <d v="2024-04-28T00:00:00"/>
        <d v="2024-03-21T00:00:00"/>
        <d v="2024-07-25T00:00:00"/>
        <d v="2025-02-12T00:00:00"/>
        <d v="2026-01-01T00:00:00"/>
        <d v="2025-10-21T00:00:00"/>
        <d v="2024-05-18T00:00:00"/>
        <d v="2024-03-02T00:00:00"/>
        <d v="2024-07-13T00:00:00"/>
        <d v="2026-01-06T00:00:00"/>
        <d v="2025-03-21T00:00:00"/>
        <d v="2025-11-28T00:00:00"/>
        <d v="2024-11-15T00:00:00"/>
        <d v="2025-05-25T00:00:00"/>
        <d v="2025-05-28T00:00:00"/>
        <d v="2025-06-25T00:00:00"/>
        <d v="2025-02-10T00:00:00"/>
        <d v="2025-01-05T00:00:00"/>
        <d v="2026-05-29T00:00:00"/>
        <d v="2024-08-23T00:00:00"/>
        <d v="2025-09-18T00:00:00"/>
        <d v="2026-04-21T00:00:00"/>
        <d v="2025-05-04T00:00:00"/>
        <d v="2025-02-26T00:00:00"/>
        <d v="2024-04-14T00:00:00"/>
        <d v="2026-03-10T00:00:00"/>
        <d v="2026-06-06T00:00:00"/>
        <d v="2024-06-23T00:00:00"/>
        <d v="2026-03-21T00:00:00"/>
        <d v="2024-11-16T00:00:00"/>
        <d v="2025-06-19T00:00:00"/>
        <d v="2024-07-12T00:00:00"/>
        <d v="2024-08-02T00:00:00"/>
        <d v="2025-06-18T00:00:00"/>
        <d v="2025-02-22T00:00:00"/>
        <d v="2026-05-16T00:00:00"/>
        <d v="2024-08-16T00:00:00"/>
        <d v="2026-01-28T00:00:00"/>
        <d v="2025-02-01T00:00:00"/>
        <d v="2024-04-26T00:00:00"/>
        <d v="2025-10-14T00:00:00"/>
        <d v="2025-12-15T00:00:00"/>
        <d v="2024-02-04T00:00:00"/>
        <d v="2024-12-20T00:00:00"/>
        <d v="2025-03-02T00:00:00"/>
        <d v="2025-06-15T00:00:00"/>
        <d v="2025-07-16T00:00:00"/>
        <d v="2025-12-18T00:00:00"/>
        <d v="2024-08-24T00:00:00"/>
        <d v="2024-04-06T00:00:00"/>
        <d v="2024-06-10T00:00:00"/>
        <d v="2026-04-11T00:00:00"/>
        <d v="2025-04-17T00:00:00"/>
        <d v="2024-07-08T00:00:00"/>
        <d v="2025-11-09T00:00:00"/>
        <d v="2025-05-22T00:00:00"/>
        <d v="2024-11-13T00:00:00"/>
        <d v="2024-01-16T00:00:00"/>
        <d v="2025-11-07T00:00:00"/>
        <d v="2025-09-12T00:00:00"/>
        <d v="2024-08-14T00:00:00"/>
        <d v="2024-08-17T00:00:00"/>
        <d v="2024-08-22T00:00:00"/>
        <d v="2025-08-02T00:00:00"/>
        <d v="2024-09-11T00:00:00"/>
        <d v="2024-09-25T00:00:00"/>
        <d v="2024-11-21T00:00:00"/>
        <d v="2026-06-05T00:00:00"/>
        <d v="2024-11-22T00:00:00"/>
        <d v="2025-09-13T00:00:00"/>
        <d v="2026-02-03T00:00:00"/>
        <d v="2026-06-19T00:00:00"/>
        <d v="2025-02-23T00:00:00"/>
        <d v="2024-10-12T00:00:00"/>
        <d v="2025-11-04T00:00:00"/>
        <d v="2025-07-20T00:00:00"/>
        <d v="2024-11-09T00:00:00"/>
        <d v="2024-06-26T00:00:00"/>
        <d v="2025-08-22T00:00:00"/>
        <d v="2024-08-05T00:00:00"/>
        <d v="2024-10-29T00:00:00"/>
        <d v="2024-02-29T00:00:00"/>
        <d v="2024-07-09T00:00:00"/>
        <d v="2024-06-17T00:00:00"/>
        <d v="2025-09-27T00:00:00"/>
        <d v="2025-08-23T00:00:00"/>
        <d v="2025-04-10T00:00:00"/>
        <d v="2024-11-30T00:00:00"/>
        <d v="2026-02-10T00:00:00"/>
        <d v="2025-06-04T00:00:00"/>
        <d v="2025-07-22T00:00:00"/>
        <d v="2025-11-19T00:00:00"/>
        <d v="2025-09-16T00:00:00"/>
        <d v="2025-03-10T00:00:00"/>
        <d v="2024-05-11T00:00:00"/>
        <d v="2025-11-30T00:00:00"/>
        <d v="2025-07-18T00:00:00"/>
        <d v="2026-06-04T00:00:00"/>
        <d v="2025-03-16T00:00:00"/>
        <d v="2025-09-17T00:00:00"/>
        <d v="2026-01-19T00:00:00"/>
        <d v="2026-01-07T00:00:00"/>
        <d v="2026-06-08T00:00:00"/>
        <d v="2026-06-07T00:00:00"/>
        <d v="2026-05-22T00:00:00"/>
        <d v="2025-06-14T00:00:00"/>
        <d v="2025-12-19T00:00:00"/>
        <d v="2024-03-06T00:00:00"/>
        <d v="2024-08-08T00:00:00"/>
        <d v="2024-03-20T00:00:00"/>
        <d v="2025-03-12T00:00:00"/>
        <d v="2026-05-17T00:00:00"/>
        <d v="2025-07-14T00:00:00"/>
        <d v="2025-02-02T00:00:00"/>
        <d v="2025-11-16T00:00:00"/>
        <d v="2025-04-20T00:00:00"/>
        <d v="2025-01-30T00:00:00"/>
        <d v="2025-06-27T00:00:00"/>
        <d v="2025-03-18T00:00:00"/>
        <d v="2025-07-08T00:00:00"/>
        <d v="2025-11-24T00:00:00"/>
        <d v="2025-02-03T00:00:00"/>
        <d v="2024-12-24T00:00:00"/>
        <d v="2026-03-01T00:00:00"/>
        <d v="2024-12-31T00:00:00"/>
        <d v="2026-01-02T00:00:00"/>
        <d v="2025-06-17T00:00:00"/>
        <d v="2024-01-11T00:00:00"/>
        <d v="2025-02-15T00:00:00"/>
        <d v="2024-06-30T00:00:00"/>
        <d v="2024-05-10T00:00:00"/>
        <d v="2024-07-21T00:00:00"/>
        <d v="2025-09-07T00:00:00"/>
        <d v="2025-06-26T00:00:00"/>
        <d v="2025-04-08T00:00:00"/>
        <d v="2025-03-03T00:00:00"/>
        <d v="2024-12-02T00:00:00"/>
        <d v="2026-02-06T00:00:00"/>
        <d v="2026-04-06T00:00:00"/>
        <d v="2025-10-22T00:00:00"/>
        <d v="2024-09-06T00:00:00"/>
        <d v="2026-03-13T00:00:00"/>
        <d v="2025-12-08T00:00:00"/>
        <d v="2024-04-17T00:00:00"/>
        <d v="2024-10-22T00:00:00"/>
        <d v="2024-10-10T00:00:00"/>
        <d v="2025-09-22T00:00:00"/>
        <d v="2025-03-28T00:00:00"/>
        <d v="2024-08-18T00:00:00"/>
        <d v="2024-07-18T00:00:00"/>
        <d v="2025-07-29T00:00:00"/>
        <d v="2025-03-15T00:00:00"/>
        <d v="2024-08-13T00:00:00"/>
        <d v="2026-06-29T00:00:00"/>
        <d v="2024-06-01T00:00:00"/>
        <d v="2025-04-01T00:00:00"/>
        <d v="2024-11-20T00:00:00"/>
        <d v="2024-07-07T00:00:00"/>
        <d v="2026-01-26T00:00:00"/>
        <d v="2026-05-08T00:00:00"/>
        <d v="2024-10-27T00:00:00"/>
        <d v="2024-01-24T00:00:00"/>
        <d v="2025-03-04T00:00:00"/>
        <d v="2024-05-12T00:00:00"/>
        <d v="2025-08-03T00:00:00"/>
        <d v="2026-04-01T00:00:00"/>
        <d v="2024-03-17T00:00:00"/>
        <d v="2025-11-02T00:00:00"/>
        <d v="2026-03-24T00:00:00"/>
        <d v="2025-06-20T00:00:00"/>
        <d v="2025-04-07T00:00:00"/>
        <d v="2024-01-23T00:00:00"/>
        <d v="2025-01-17T00:00:00"/>
        <d v="2025-10-04T00:00:00"/>
        <d v="2026-03-19T00:00:00"/>
        <d v="2025-01-06T00:00:00"/>
        <d v="2024-04-23T00:00:00"/>
        <d v="2026-04-10T00:00:00"/>
        <d v="2026-03-09T00:00:00"/>
        <d v="2024-06-07T00:00:00"/>
        <d v="2025-03-01T00:00:00"/>
        <d v="2024-10-28T00:00:00"/>
        <d v="2026-03-05T00:00:00"/>
        <d v="2025-04-16T00:00:00"/>
        <d v="2025-06-24T00:00:00"/>
        <d v="2025-08-09T00:00:00"/>
        <d v="2025-11-10T00:00:00"/>
        <d v="2026-06-12T00:00:00"/>
        <d v="2025-05-13T00:00:00"/>
        <d v="2024-11-12T00:00:00"/>
        <d v="2025-01-09T00:00:00"/>
        <d v="2024-12-13T00:00:00"/>
        <d v="2025-01-24T00:00:00"/>
        <d v="2024-01-27T00:00:00"/>
        <d v="2024-08-01T00:00:00"/>
        <d v="2026-06-15T00:00:00"/>
        <d v="2026-03-31T00:00:00"/>
        <d v="2024-02-11T00:00:00"/>
        <d v="2025-11-15T00:00:00"/>
        <d v="2024-01-03T00:00:00"/>
        <d v="2026-05-11T00:00:00"/>
        <d v="2025-11-12T00:00:00"/>
        <d v="2024-10-14T00:00:00"/>
        <d v="2025-05-09T00:00:00"/>
        <d v="2025-09-24T00:00:00"/>
        <d v="2025-04-29T00:00:00"/>
        <d v="2024-09-20T00:00:00"/>
        <d v="2025-12-25T00:00:00"/>
        <d v="2025-12-23T00:00:00"/>
        <d v="2024-04-24T00:00:00"/>
        <d v="2025-01-19T00:00:00"/>
        <d v="2024-02-03T00:00:00"/>
        <d v="2025-06-30T00:00:00"/>
        <d v="2024-07-28T00:00:00"/>
        <d v="2026-04-03T00:00:00"/>
        <d v="2024-12-12T00:00:00"/>
        <d v="2024-06-28T00:00:00"/>
        <d v="2024-03-16T00:00:00"/>
        <d v="2025-05-18T00:00:00"/>
        <d v="2026-02-09T00:00:00"/>
        <d v="2024-07-11T00:00:00"/>
        <d v="2025-10-18T00:00:00"/>
        <d v="2024-02-02T00:00:00"/>
        <d v="2024-11-01T00:00:00"/>
        <d v="2025-12-14T00:00:00"/>
        <d v="2026-04-19T00:00:00"/>
        <d v="2024-02-22T00:00:00"/>
        <d v="2024-08-26T00:00:00"/>
        <d v="2026-03-25T00:00:00"/>
        <d v="2024-10-23T00:00:00"/>
        <d v="2024-08-03T00:00:00"/>
        <d v="2024-04-08T00:00:00"/>
        <d v="2025-10-11T00:00:00"/>
        <d v="2024-12-22T00:00:00"/>
        <d v="2025-01-27T00:00:00"/>
        <d v="2025-12-07T00:00:00"/>
        <d v="2024-04-22T00:00:00"/>
        <d v="2024-06-14T00:00:00"/>
        <d v="2026-06-01T00:00:00"/>
        <d v="2025-11-29T00:00:00"/>
        <d v="2025-03-25T00:00:00"/>
        <d v="2025-04-05T00:00:00"/>
        <d v="2025-06-08T00:00:00"/>
        <d v="2024-03-30T00:00:00"/>
        <d v="2024-03-15T00:00:00"/>
        <d v="2026-03-20T00:00:00"/>
        <d v="2024-12-14T00:00:00"/>
        <d v="2025-09-20T00:00:00"/>
        <d v="2026-03-22T00:00:00"/>
        <d v="2024-09-24T00:00:00"/>
        <d v="2024-10-17T00:00:00"/>
        <d v="2025-03-07T00:00:00"/>
        <d v="2024-03-05T00:00:00"/>
        <d v="2024-03-01T00:00:00"/>
        <d v="2025-08-27T00:00:00"/>
        <d v="2025-09-28T00:00:00"/>
        <d v="2024-04-04T00:00:00"/>
        <d v="2025-11-17T00:00:00"/>
        <d v="2024-10-25T00:00:00"/>
        <d v="2024-10-15T00:00:00"/>
        <d v="2025-09-23T00:00:00"/>
        <d v="2025-02-20T00:00:00"/>
        <d v="2024-08-29T00:00:00"/>
        <d v="2024-12-27T00:00:00"/>
        <d v="2024-11-25T00:00:00"/>
        <d v="2025-02-27T00:00:00"/>
        <d v="2025-01-28T00:00:00"/>
        <d v="2024-03-29T00:00:00"/>
        <d v="2024-09-07T00:00:00"/>
        <d v="2024-04-21T00:00:00"/>
        <d v="2024-06-04T00:00:00"/>
        <d v="2025-10-30T00:00:00"/>
        <d v="2024-09-09T00:00:00"/>
        <d v="2026-06-16T00:00:00"/>
        <d v="2024-12-30T00:00:00"/>
        <d v="2024-06-22T00:00:00"/>
        <d v="2025-03-06T00:00:00"/>
        <d v="2025-02-06T00:00:00"/>
        <d v="2024-01-18T00:00:00"/>
        <d v="2024-04-20T00:00:00"/>
        <d v="2024-05-01T00:00:00"/>
        <d v="2024-10-31T00:00:00"/>
        <d v="2025-05-16T00:00:00"/>
        <d v="2025-10-28T00:00:00"/>
        <d v="2024-07-14T00:00:00"/>
        <d v="2024-01-29T00:00:00"/>
        <d v="2025-07-15T00:00:00"/>
        <d v="2024-07-04T00:00:00"/>
        <d v="2026-04-07T00:00:00"/>
        <d v="2024-03-31T00:00:00"/>
        <d v="2024-03-08T00:00:00"/>
        <d v="2024-09-05T00:00:00"/>
        <d v="2024-06-02T00:00:00"/>
        <d v="2025-11-27T00:00:00"/>
        <d v="2024-01-19T00:00:00"/>
        <d v="2024-07-23T00:00:00"/>
        <d v="2025-02-07T00:00:00"/>
        <d v="2025-04-04T00:00:00"/>
        <d v="2026-03-29T00:00:00"/>
        <d v="2024-06-16T00:00:00"/>
        <d v="2026-01-11T00:00:00"/>
        <d v="2026-05-20T00:00:00"/>
        <d v="2024-01-09T00:00:00"/>
        <d v="2024-08-25T00:00:00"/>
        <d v="2026-05-02T00:00:00"/>
        <d v="2025-05-15T00:00:00"/>
        <d v="2026-01-09T00:00:00"/>
        <d v="2025-11-21T00:00:00"/>
        <d v="2025-02-17T00:00:00"/>
        <d v="2025-02-24T00:00:00"/>
        <d v="2025-11-11T00:00:00"/>
        <d v="2025-05-21T00:00:00"/>
        <d v="2025-12-09T00:00:00"/>
        <d v="2026-05-06T00:00:00"/>
        <d v="2025-04-24T00:00:00"/>
        <d v="2026-05-10T00:00:00"/>
        <d v="2026-01-15T00:00:00"/>
        <d v="2026-06-27T00:00:00"/>
        <d v="2025-09-26T00:00:00"/>
        <d v="2024-03-22T00:00:00"/>
        <d v="2024-10-26T00:00:00"/>
        <d v="2026-01-17T00:00:00"/>
        <d v="2024-01-10T00:00:00"/>
        <d v="2026-04-08T00:00:00"/>
        <d v="2025-06-03T00:00:00"/>
        <d v="2025-08-21T00:00:00"/>
        <d v="2025-08-29T00:00:00"/>
        <d v="2025-04-23T00:00:00"/>
        <d v="2024-03-11T00:00:00"/>
        <d v="2026-06-09T00:00:00"/>
        <d v="2025-11-03T00:00:00"/>
        <d v="2024-08-21T00:00:00"/>
        <d v="2026-05-13T00:00:00"/>
        <d v="2024-02-24T00:00:00"/>
        <d v="2024-06-05T00:00:00"/>
        <d v="2025-10-12T00:00:00"/>
        <d v="2026-01-30T00:00:00"/>
        <d v="2025-01-20T00:00:00"/>
        <d v="2025-10-25T00:00:00"/>
        <d v="2025-04-02T00:00:00"/>
        <d v="2025-05-27T00:00:00"/>
        <d v="2024-11-28T00:00:00"/>
        <d v="2025-09-06T00:00:00"/>
        <d v="2024-01-31T00:00:00"/>
        <d v="2025-02-28T00:00:00"/>
        <d v="2025-01-04T00:00:00"/>
        <d v="2025-10-06T00:00:00"/>
        <d v="2024-07-20T00:00:00"/>
        <d v="2024-10-03T00:00:00"/>
        <d v="2025-02-19T00:00:00"/>
        <d v="2025-08-14T00:00:00"/>
        <d v="2024-10-13T00:00:00"/>
        <d v="2025-04-26T00:00:00"/>
        <d v="2025-10-16T00:00:00"/>
        <d v="2025-01-12T00:00:00"/>
        <d v="2026-01-24T00:00:00"/>
        <d v="2024-07-05T00:00:00"/>
        <d v="2025-07-28T00:00:00"/>
        <d v="2025-05-11T00:00:00"/>
        <d v="2026-03-16T00:00:00"/>
        <d v="2024-01-26T00:00:00"/>
        <d v="2026-01-29T00:00:00"/>
        <d v="2025-11-01T00:00:00"/>
        <d v="2024-11-23T00:00:00"/>
        <d v="2024-09-22T00:00:00"/>
        <d v="2024-01-13T00:00:00"/>
        <d v="2024-05-19T00:00:00"/>
        <d v="2026-01-21T00:00:00"/>
        <d v="2025-01-02T00:00:00"/>
        <d v="2025-10-07T00:00:00"/>
        <d v="2026-02-14T00:00:00"/>
        <d v="2025-11-14T00:00:00"/>
        <d v="2024-05-16T00:00:00"/>
        <d v="2024-08-07T00:00:00"/>
        <d v="2024-12-23T00:00:00"/>
        <d v="2025-03-20T00:00:00"/>
        <d v="2025-09-19T00:00:00"/>
        <d v="2024-02-15T00:00:00"/>
        <d v="2026-06-24T00:00:00"/>
        <d v="2025-12-29T00:00:00"/>
        <d v="2024-10-16T00:00:00"/>
        <d v="2024-12-08T00:00:00"/>
        <d v="2026-05-15T00:00:00"/>
        <d v="2024-12-05T00:00:00"/>
        <d v="2024-02-21T00:00:00"/>
        <d v="2025-10-02T00:00:00"/>
        <d v="2024-11-17T00:00:00"/>
        <d v="2025-07-17T00:00:00"/>
        <d v="2025-07-06T00:00:00"/>
        <d v="2026-05-25T00:00:00"/>
        <d v="2025-05-01T00:00:00"/>
        <d v="2024-10-04T00:00:00"/>
        <d v="2025-04-06T00:00:00"/>
        <d v="2024-04-13T00:00:00"/>
        <d v="2025-05-23T00:00:00"/>
        <d v="2024-06-15T00:00:00"/>
        <d v="2024-09-03T00:00:00"/>
        <d v="2026-03-02T00:00:00"/>
        <d v="2025-03-30T00:00:00"/>
        <d v="2025-11-05T00:00:00"/>
        <d v="2026-01-05T00:00:00"/>
        <d v="2026-01-22T00:00:00"/>
        <d v="2024-09-19T00:00:00"/>
        <d v="2025-09-03T00:00:00"/>
        <d v="2025-04-09T00:00:00"/>
        <d v="2025-06-10T00:00:00"/>
        <d v="2025-08-08T00:00:00"/>
        <d v="2024-05-25T00:00:00"/>
        <d v="2025-07-05T00:00:00"/>
        <d v="2026-01-23T00:00:00"/>
        <d v="2025-03-11T00:00:00"/>
        <d v="2024-01-28T00:00:00"/>
        <d v="2025-09-15T00:00:00"/>
        <d v="2025-07-10T00:00:00"/>
        <d v="2024-03-04T00:00:00"/>
        <d v="2025-09-05T00:00:00"/>
        <d v="2024-03-12T00:00:00"/>
        <d v="2025-03-23T00:00:00"/>
        <d v="2025-06-21T00:00:00"/>
        <d v="2024-11-29T00:00:00"/>
        <d v="2024-07-03T00:00:00"/>
        <d v="2025-02-11T00:00:00"/>
        <d v="2025-05-26T00:00:00"/>
        <d v="2025-11-06T00:00:00"/>
        <d v="2025-07-31T00:00:00"/>
        <d v="2026-02-15T00:00:00"/>
        <d v="2025-10-27T00:00:00"/>
        <d v="2025-12-13T00:00:00"/>
        <d v="2026-02-27T00:00:00"/>
        <d v="2024-12-11T00:00:00"/>
        <d v="2024-06-06T00:00:00"/>
        <d v="2025-04-27T00:00:00"/>
        <d v="2024-11-19T00:00:00"/>
        <d v="2025-06-23T00:00:00"/>
        <d v="2024-05-23T00:00:00"/>
        <d v="2025-07-26T00:00:00"/>
        <d v="2025-07-24T00:00:00"/>
        <d v="2024-08-04T00:00:00"/>
        <d v="2026-02-08T00:00:00"/>
        <d v="2024-11-18T00:00:00"/>
        <d v="2025-12-11T00:00:00"/>
        <d v="2026-02-20T00:00:00"/>
        <d v="2026-05-23T00:00:00"/>
        <d v="2024-05-20T00:00:00"/>
        <d v="2024-02-01T00:00:00"/>
        <d v="2024-02-23T00:00:00"/>
        <d v="2025-01-26T00:00:00"/>
        <d v="2025-11-08T00:00:00"/>
        <d v="2024-01-04T00:00:00"/>
        <d v="2025-11-25T00:00:00"/>
        <d v="2026-03-28T00:00:00"/>
        <d v="2025-02-18T00:00:00"/>
        <d v="2026-01-20T00:00:00"/>
        <d v="2025-08-04T00:00:00"/>
        <d v="2026-02-25T00:00:00"/>
        <d v="2025-12-27T00:00:00"/>
        <d v="2026-03-15T00:00:00"/>
        <d v="2025-02-14T00:00:00"/>
        <d v="2024-12-04T00:00:00"/>
        <d v="2024-09-21T00:00:00"/>
        <d v="2025-08-20T00:00:00"/>
        <d v="2024-10-30T00:00:00"/>
        <d v="2025-10-26T00:00:00"/>
        <d v="2024-12-15T00:00:00"/>
        <d v="2024-12-07T00:00:00"/>
        <d v="2025-08-26T00:00:00"/>
        <d v="2025-08-31T00:00:00"/>
        <d v="2025-08-06T00:00:00"/>
        <d v="2025-10-19T00:00:00"/>
        <d v="2025-09-30T00:00:00"/>
        <d v="2026-06-10T00:00:00"/>
        <d v="2025-01-03T00:00:00"/>
        <d v="2024-02-12T00:00:00"/>
        <d v="2025-12-05T00:00:00"/>
        <d v="2024-04-02T00:00:00"/>
        <d v="2025-07-27T00:00:00"/>
        <d v="2026-03-08T00:00:00"/>
        <d v="2024-12-19T00:00:00"/>
        <d v="2024-01-25T00:00:00"/>
        <d v="2024-03-28T00:00:00"/>
        <d v="2024-01-05T00:00:00"/>
        <d v="2024-08-19T00:00:00"/>
        <d v="2026-06-14T00:00:00"/>
        <d v="2024-06-12T00:00:00"/>
        <d v="2025-05-06T00:00:00"/>
        <d v="2024-04-10T00:00:00"/>
        <d v="2024-02-18T00:00:00"/>
        <d v="2025-02-25T00:00:00"/>
        <d v="2025-11-26T00:00:00"/>
        <d v="2024-09-10T00:00:00"/>
        <d v="2024-01-15T00:00:00"/>
        <d v="2026-04-16T00:00:00"/>
        <d v="2024-07-02T00:00:00"/>
        <d v="2024-01-14T00:00:00"/>
        <d v="2024-03-24T00:00:00"/>
        <d v="2024-05-27T00:00:00"/>
        <d v="2024-04-07T00:00:00"/>
        <d v="2025-04-03T00:00:00"/>
        <d v="2024-12-09T00:00:00"/>
        <d v="2025-11-23T00:00:00"/>
        <d v="2025-01-07T00:00:00"/>
        <d v="2024-03-23T00:00:00"/>
        <d v="2024-01-17T00:00:00"/>
        <d v="2024-12-10T00:00:00"/>
        <d v="2024-02-17T00:00:00"/>
        <d v="2026-06-17T00:00:00"/>
        <d v="2024-02-09T00:00:00"/>
        <d v="2024-02-16T00:00:00"/>
        <d v="2026-01-25T00:00:00"/>
        <d v="2024-01-07T00:00:00"/>
        <d v="2024-08-11T00:00:00"/>
        <d v="2026-04-05T00:00:00"/>
        <d v="2026-06-11T00:00:00"/>
        <d v="2025-04-25T00:00:00"/>
        <d v="2025-09-21T00:00:00"/>
        <d v="2025-08-19T00:00:00"/>
        <d v="2025-06-01T00:00:00"/>
        <d v="2025-08-24T00:00:00"/>
        <d v="2025-01-18T00:00:00"/>
        <d v="2025-11-22T00:00:00"/>
        <d v="2024-04-15T00:00:00"/>
        <d v="2025-10-31T00:00:00"/>
        <d v="2024-05-04T00:00:00"/>
        <d v="2025-12-10T00:00:00"/>
        <d v="2026-01-31T00:00:00"/>
        <d v="2026-02-22T00:00:00"/>
        <d v="2026-01-10T00:00:00"/>
        <d v="2024-08-10T00:00:00"/>
        <d v="2025-01-25T00:00:00"/>
        <d v="2024-04-01T00:00:00"/>
        <d v="2026-01-03T00:00:00"/>
        <d v="2026-02-01T00:00:00"/>
        <d v="2026-04-09T00:00:00"/>
        <d v="2025-01-23T00:00:00"/>
        <d v="2024-05-28T00:00:00"/>
        <d v="2024-03-07T00:00:00"/>
        <d v="2026-06-20T00:00:00"/>
        <d v="2024-11-06T00:00:00"/>
        <d v="2025-07-09T00:00:00"/>
        <d v="2024-06-29T00:00:00"/>
        <d v="2024-12-06T00:00:00"/>
        <d v="2024-09-04T00:00:00"/>
        <d v="2025-07-04T00:00:00"/>
        <d v="2025-12-06T00:00:00"/>
        <d v="2024-08-15T00:00:00"/>
        <d v="2025-09-04T00:00:00"/>
        <d v="2024-09-12T00:00:00"/>
        <d v="2026-04-22T00:00:00"/>
        <d v="2025-04-14T00:00:00"/>
        <d v="2026-04-24T00:00:00"/>
        <d v="2024-10-07T00:00:00"/>
        <d v="2025-05-29T00:00:00"/>
        <d v="2025-05-30T00:00:00"/>
        <d v="2024-09-30T00:00:00"/>
        <d v="2026-03-04T00:00:00"/>
        <d v="2025-09-29T00:00:00"/>
        <d v="2026-03-18T00:00:00"/>
        <d v="2025-08-15T00:00:00"/>
        <d v="2024-02-13T00:00:00"/>
        <d v="2024-04-30T00:00:00"/>
        <d v="2024-10-21T00:00:00"/>
        <d v="2026-04-13T00:00:00"/>
        <d v="2025-07-11T00:00:00"/>
        <d v="2025-07-02T00:00:00"/>
        <d v="2024-11-04T00:00:00"/>
        <d v="2025-03-09T00:00:00"/>
        <d v="2024-04-25T00:00:00"/>
        <d v="2026-06-03T00:00:00"/>
        <d v="2026-03-30T00:00:00"/>
        <d v="2025-12-17T00:00:00"/>
        <d v="2025-08-01T00:00:00"/>
        <d v="2024-02-26T00:00:00"/>
        <d v="2024-05-07T00:00:00"/>
        <d v="2024-03-13T00:00:00"/>
        <d v="2025-12-04T00:00:00"/>
        <d v="2025-05-31T00:00:00"/>
        <d v="2024-09-17T00:00:00"/>
        <d v="2024-05-09T00:00:00"/>
        <d v="2024-05-06T00:00:00"/>
        <d v="2025-08-07T00:00:00"/>
        <d v="2024-09-15T00:00:00"/>
        <d v="2024-07-15T00:00:00"/>
        <d v="2026-01-18T00:00:00"/>
        <d v="2024-07-10T00:00:00"/>
        <d v="2025-09-01T00:00:00"/>
        <d v="2025-09-14T00:00:00"/>
        <d v="2025-03-14T00:00:00"/>
        <d v="2024-05-26T00:00:00"/>
        <d v="2024-05-08T00:00:00"/>
        <d v="2024-12-01T00:00:00"/>
        <d v="2025-12-26T00:00:00"/>
        <d v="2024-05-24T00:00:00"/>
        <d v="2024-04-18T00:00:00"/>
        <d v="2025-11-20T00:00:00"/>
        <d v="2024-08-31T00:00:00"/>
        <d v="2026-06-22T00:00:00"/>
        <d v="2024-12-25T00:00:00"/>
      </sharedItems>
    </cacheField>
    <cacheField name="ProductID" numFmtId="0">
      <sharedItems containsSemiMixedTypes="0" containsString="0" containsNumber="1" containsInteger="1" minValue="0" maxValue="2020" count="20">
        <n v="2003"/>
        <n v="2014"/>
        <n v="2002"/>
        <n v="2012"/>
        <n v="2008"/>
        <n v="2011"/>
        <n v="2017"/>
        <n v="2004"/>
        <n v="2001"/>
        <n v="2005"/>
        <n v="2013"/>
        <n v="2006"/>
        <n v="2010"/>
        <n v="2019"/>
        <n v="2007"/>
        <n v="2020"/>
        <n v="2018"/>
        <n v="2009"/>
        <n v="2015"/>
        <n v="2016"/>
      </sharedItems>
    </cacheField>
    <cacheField name="Quantity" numFmtId="0">
      <sharedItems containsSemiMixedTypes="0" containsString="0" containsNumber="1" containsInteger="1" minValue="-1" maxValue="5" count="6">
        <n v="4"/>
        <n v="1"/>
        <n v="2"/>
        <n v="3"/>
        <n v="5"/>
        <n v="-1"/>
      </sharedItems>
    </cacheField>
    <cacheField name="Discount" numFmtId="0">
      <sharedItems containsSemiMixedTypes="0" containsString="0" containsNumber="1" containsInteger="1" minValue="0" maxValue="30" count="6">
        <n v="10"/>
        <n v="20"/>
        <n v="0"/>
        <n v="5"/>
        <n v="30"/>
        <n v="15"/>
      </sharedItems>
    </cacheField>
    <cacheField name="PaymentMethod" numFmtId="0">
      <sharedItems count="4">
        <s v="Gateway"/>
        <s v="Wallet"/>
        <s v="CardToCard"/>
        <s v="Cash"/>
      </sharedItems>
    </cacheField>
    <cacheField name="Status" numFmtId="0">
      <sharedItems count="3">
        <s v="Completed"/>
        <s v="Returned"/>
        <s v="Cancelled"/>
      </sharedItems>
    </cacheField>
    <cacheField name="Age" numFmtId="0">
      <sharedItems containsSemiMixedTypes="0" containsString="0" containsNumber="1" containsInteger="1" minValue="0" maxValue="65" count="48">
        <n v="36"/>
        <n v="49"/>
        <n v="45"/>
        <n v="24"/>
        <n v="28"/>
        <n v="23"/>
        <n v="41"/>
        <n v="40"/>
        <n v="43"/>
        <n v="37"/>
        <n v="33"/>
        <n v="39"/>
        <n v="44"/>
        <n v="31"/>
        <n v="58"/>
        <n v="48"/>
        <n v="42"/>
        <n v="61"/>
        <n v="26"/>
        <n v="65"/>
        <n v="34"/>
        <n v="38"/>
        <n v="55"/>
        <n v="19"/>
        <n v="32"/>
        <n v="18"/>
        <n v="46"/>
        <n v="29"/>
        <n v="27"/>
        <n v="52"/>
        <n v="50"/>
        <n v="35"/>
        <n v="21"/>
        <n v="30"/>
        <n v="53"/>
        <n v="64"/>
        <n v="20"/>
        <n v="51"/>
        <n v="22"/>
        <n v="56"/>
        <n v="57"/>
        <n v="63"/>
        <n v="25"/>
        <n v="47"/>
        <n v="54"/>
        <n v="60"/>
        <n v="59"/>
        <n v="62"/>
      </sharedItems>
    </cacheField>
    <cacheField name="City" numFmtId="0">
      <sharedItems count="10">
        <s v="Qom"/>
        <s v="Kerman"/>
        <s v="Tehran"/>
        <s v="Shiraz"/>
        <s v="Karaj"/>
        <s v="Isfahan"/>
        <s v="Mashhad"/>
        <s v="Tabriz"/>
        <s v="Rasht"/>
        <s v="Ahvaz"/>
      </sharedItems>
    </cacheField>
    <cacheField name="SignupDate" numFmtId="182">
      <sharedItems containsSemiMixedTypes="0" containsString="0" containsNonDate="0" containsDate="1" minDate="2023-01-02T00:00:00" maxDate="2025-12-29T00:00:00" count="637">
        <d v="2024-03-05T00:00:00"/>
        <d v="2025-06-04T00:00:00"/>
        <d v="2025-10-19T00:00:00"/>
        <d v="2023-12-07T00:00:00"/>
        <d v="2023-12-02T00:00:00"/>
        <d v="2024-08-07T00:00:00"/>
        <d v="2023-03-09T00:00:00"/>
        <d v="2025-11-20T00:00:00"/>
        <d v="2025-05-04T00:00:00"/>
        <d v="2024-06-20T00:00:00"/>
        <d v="2024-01-19T00:00:00"/>
        <d v="2024-10-31T00:00:00"/>
        <d v="2025-08-14T00:00:00"/>
        <d v="2025-12-10T00:00:00"/>
        <d v="2023-05-20T00:00:00"/>
        <d v="2024-09-29T00:00:00"/>
        <d v="2025-09-13T00:00:00"/>
        <d v="2023-10-20T00:00:00"/>
        <d v="2024-05-03T00:00:00"/>
        <d v="2023-05-27T00:00:00"/>
        <d v="2025-09-04T00:00:00"/>
        <d v="2025-08-30T00:00:00"/>
        <d v="2024-04-23T00:00:00"/>
        <d v="2025-01-01T00:00:00"/>
        <d v="2024-12-18T00:00:00"/>
        <d v="2024-05-08T00:00:00"/>
        <d v="2023-04-11T00:00:00"/>
        <d v="2024-04-13T00:00:00"/>
        <d v="2024-04-06T00:00:00"/>
        <d v="2025-04-27T00:00:00"/>
        <d v="2023-10-02T00:00:00"/>
        <d v="2025-12-15T00:00:00"/>
        <d v="2025-11-02T00:00:00"/>
        <d v="2024-07-05T00:00:00"/>
        <d v="2023-03-30T00:00:00"/>
        <d v="2023-06-04T00:00:00"/>
        <d v="2023-01-29T00:00:00"/>
        <d v="2025-07-30T00:00:00"/>
        <d v="2025-10-27T00:00:00"/>
        <d v="2023-02-17T00:00:00"/>
        <d v="2024-12-19T00:00:00"/>
        <d v="2024-02-02T00:00:00"/>
        <d v="2023-12-20T00:00:00"/>
        <d v="2024-06-02T00:00:00"/>
        <d v="2023-11-13T00:00:00"/>
        <d v="2025-01-03T00:00:00"/>
        <d v="2025-09-25T00:00:00"/>
        <d v="2025-07-26T00:00:00"/>
        <d v="2024-09-17T00:00:00"/>
        <d v="2023-02-26T00:00:00"/>
        <d v="2025-08-07T00:00:00"/>
        <d v="2024-11-07T00:00:00"/>
        <d v="2023-01-17T00:00:00"/>
        <d v="2025-03-13T00:00:00"/>
        <d v="2024-06-05T00:00:00"/>
        <d v="2024-07-08T00:00:00"/>
        <d v="2023-04-25T00:00:00"/>
        <d v="2023-01-04T00:00:00"/>
        <d v="2023-05-07T00:00:00"/>
        <d v="2025-07-19T00:00:00"/>
        <d v="2023-06-14T00:00:00"/>
        <d v="2024-01-11T00:00:00"/>
        <d v="2023-12-30T00:00:00"/>
        <d v="2023-08-31T00:00:00"/>
        <d v="2025-10-25T00:00:00"/>
        <d v="2024-06-22T00:00:00"/>
        <d v="2024-11-06T00:00:00"/>
        <d v="2024-02-27T00:00:00"/>
        <d v="2023-05-11T00:00:00"/>
        <d v="2023-02-22T00:00:00"/>
        <d v="2025-06-11T00:00:00"/>
        <d v="2025-01-18T00:00:00"/>
        <d v="2024-12-10T00:00:00"/>
        <d v="2025-06-06T00:00:00"/>
        <d v="2025-01-20T00:00:00"/>
        <d v="2023-06-13T00:00:00"/>
        <d v="2025-04-22T00:00:00"/>
        <d v="2023-09-24T00:00:00"/>
        <d v="2023-06-02T00:00:00"/>
        <d v="2023-05-21T00:00:00"/>
        <d v="2023-02-23T00:00:00"/>
        <d v="2025-05-24T00:00:00"/>
        <d v="2024-07-24T00:00:00"/>
        <d v="2025-11-11T00:00:00"/>
        <d v="2025-12-28T00:00:00"/>
        <d v="2024-01-23T00:00:00"/>
        <d v="2025-08-29T00:00:00"/>
        <d v="2025-02-06T00:00:00"/>
        <d v="2025-12-06T00:00:00"/>
        <d v="2025-11-03T00:00:00"/>
        <d v="2025-04-30T00:00:00"/>
        <d v="2023-12-19T00:00:00"/>
        <d v="2025-03-28T00:00:00"/>
        <d v="2024-03-24T00:00:00"/>
        <d v="2024-08-22T00:00:00"/>
        <d v="2023-10-25T00:00:00"/>
        <d v="2024-08-26T00:00:00"/>
        <d v="2024-12-04T00:00:00"/>
        <d v="2023-04-02T00:00:00"/>
        <d v="2024-11-02T00:00:00"/>
        <d v="2023-06-25T00:00:00"/>
        <d v="2023-02-09T00:00:00"/>
        <d v="2023-08-15T00:00:00"/>
        <d v="2025-08-05T00:00:00"/>
        <d v="2025-08-03T00:00:00"/>
        <d v="2023-10-28T00:00:00"/>
        <d v="2023-11-11T00:00:00"/>
        <d v="2024-07-27T00:00:00"/>
        <d v="2024-08-27T00:00:00"/>
        <d v="2024-05-19T00:00:00"/>
        <d v="2023-01-21T00:00:00"/>
        <d v="2025-01-22T00:00:00"/>
        <d v="2025-06-24T00:00:00"/>
        <d v="2023-10-30T00:00:00"/>
        <d v="2025-03-18T00:00:00"/>
        <d v="2025-04-23T00:00:00"/>
        <d v="2025-05-15T00:00:00"/>
        <d v="2025-02-02T00:00:00"/>
        <d v="2025-10-14T00:00:00"/>
        <d v="2023-07-25T00:00:00"/>
        <d v="2024-06-28T00:00:00"/>
        <d v="2023-05-08T00:00:00"/>
        <d v="2023-04-23T00:00:00"/>
        <d v="2024-02-21T00:00:00"/>
        <d v="2024-12-03T00:00:00"/>
        <d v="2024-08-01T00:00:00"/>
        <d v="2025-02-10T00:00:00"/>
        <d v="2023-06-09T00:00:00"/>
        <d v="2024-09-12T00:00:00"/>
        <d v="2023-12-09T00:00:00"/>
        <d v="2025-10-24T00:00:00"/>
        <d v="2024-01-16T00:00:00"/>
        <d v="2025-10-26T00:00:00"/>
        <d v="2024-11-16T00:00:00"/>
        <d v="2024-12-01T00:00:00"/>
        <d v="2023-10-22T00:00:00"/>
        <d v="2025-04-26T00:00:00"/>
        <d v="2024-02-13T00:00:00"/>
        <d v="2024-10-23T00:00:00"/>
        <d v="2023-08-02T00:00:00"/>
        <d v="2025-07-31T00:00:00"/>
        <d v="2024-10-01T00:00:00"/>
        <d v="2024-10-09T00:00:00"/>
        <d v="2023-03-15T00:00:00"/>
        <d v="2025-08-01T00:00:00"/>
        <d v="2023-07-19T00:00:00"/>
        <d v="2024-03-13T00:00:00"/>
        <d v="2023-09-12T00:00:00"/>
        <d v="2023-11-25T00:00:00"/>
        <d v="2023-09-03T00:00:00"/>
        <d v="2023-11-21T00:00:00"/>
        <d v="2024-10-24T00:00:00"/>
        <d v="2024-08-25T00:00:00"/>
        <d v="2024-03-27T00:00:00"/>
        <d v="2023-04-26T00:00:00"/>
        <d v="2024-05-05T00:00:00"/>
        <d v="2025-01-11T00:00:00"/>
        <d v="2023-02-24T00:00:00"/>
        <d v="2025-03-23T00:00:00"/>
        <d v="2024-06-04T00:00:00"/>
        <d v="2023-08-20T00:00:00"/>
        <d v="2025-07-04T00:00:00"/>
        <d v="2023-09-05T00:00:00"/>
        <d v="2023-09-21T00:00:00"/>
        <d v="2023-03-10T00:00:00"/>
        <d v="2024-12-23T00:00:00"/>
        <d v="2024-11-28T00:00:00"/>
        <d v="2025-10-04T00:00:00"/>
        <d v="2024-08-20T00:00:00"/>
        <d v="2025-12-07T00:00:00"/>
        <d v="2025-07-08T00:00:00"/>
        <d v="2025-11-25T00:00:00"/>
        <d v="2025-11-17T00:00:00"/>
        <d v="2024-03-09T00:00:00"/>
        <d v="2024-03-31T00:00:00"/>
        <d v="2025-05-29T00:00:00"/>
        <d v="2025-11-26T00:00:00"/>
        <d v="2024-08-17T00:00:00"/>
        <d v="2023-12-03T00:00:00"/>
        <d v="2025-08-28T00:00:00"/>
        <d v="2024-06-24T00:00:00"/>
        <d v="2025-06-08T00:00:00"/>
        <d v="2024-10-11T00:00:00"/>
        <d v="2025-02-25T00:00:00"/>
        <d v="2025-06-18T00:00:00"/>
        <d v="2024-12-07T00:00:00"/>
        <d v="2025-06-20T00:00:00"/>
        <d v="2024-01-24T00:00:00"/>
        <d v="2023-03-28T00:00:00"/>
        <d v="2024-08-16T00:00:00"/>
        <d v="2024-12-09T00:00:00"/>
        <d v="2025-07-15T00:00:00"/>
        <d v="2023-05-17T00:00:00"/>
        <d v="2025-01-10T00:00:00"/>
        <d v="2023-06-30T00:00:00"/>
        <d v="2024-09-13T00:00:00"/>
        <d v="2025-07-03T00:00:00"/>
        <d v="2024-02-14T00:00:00"/>
        <d v="2023-01-30T00:00:00"/>
        <d v="2023-03-02T00:00:00"/>
        <d v="2024-09-24T00:00:00"/>
        <d v="2023-01-27T00:00:00"/>
        <d v="2023-01-05T00:00:00"/>
        <d v="2025-04-11T00:00:00"/>
        <d v="2024-03-12T00:00:00"/>
        <d v="2024-10-17T00:00:00"/>
        <d v="2025-01-12T00:00:00"/>
        <d v="2023-09-26T00:00:00"/>
        <d v="2025-08-10T00:00:00"/>
        <d v="2025-03-29T00:00:00"/>
        <d v="2024-01-09T00:00:00"/>
        <d v="2023-08-24T00:00:00"/>
        <d v="2025-07-24T00:00:00"/>
        <d v="2024-01-31T00:00:00"/>
        <d v="2023-07-17T00:00:00"/>
        <d v="2023-10-11T00:00:00"/>
        <d v="2025-10-15T00:00:00"/>
        <d v="2023-08-22T00:00:00"/>
        <d v="2023-07-26T00:00:00"/>
        <d v="2024-02-19T00:00:00"/>
        <d v="2025-09-18T00:00:00"/>
        <d v="2024-01-08T00:00:00"/>
        <d v="2024-07-04T00:00:00"/>
        <d v="2024-09-27T00:00:00"/>
        <d v="2025-01-13T00:00:00"/>
        <d v="2023-06-19T00:00:00"/>
        <d v="2025-03-30T00:00:00"/>
        <d v="2023-11-28T00:00:00"/>
        <d v="2023-10-27T00:00:00"/>
        <d v="2024-09-05T00:00:00"/>
        <d v="2023-03-11T00:00:00"/>
        <d v="2023-07-28T00:00:00"/>
        <d v="2025-03-16T00:00:00"/>
        <d v="2025-04-16T00:00:00"/>
        <d v="2024-12-02T00:00:00"/>
        <d v="2023-10-06T00:00:00"/>
        <d v="2025-01-06T00:00:00"/>
        <d v="2025-03-03T00:00:00"/>
        <d v="2023-05-05T00:00:00"/>
        <d v="2024-04-18T00:00:00"/>
        <d v="2023-08-06T00:00:00"/>
        <d v="2025-06-21T00:00:00"/>
        <d v="2025-04-15T00:00:00"/>
        <d v="2024-07-25T00:00:00"/>
        <d v="2023-11-08T00:00:00"/>
        <d v="2025-12-25T00:00:00"/>
        <d v="2024-12-30T00:00:00"/>
        <d v="2023-05-24T00:00:00"/>
        <d v="2025-10-13T00:00:00"/>
        <d v="2023-08-29T00:00:00"/>
        <d v="2023-07-20T00:00:00"/>
        <d v="2023-08-12T00:00:00"/>
        <d v="2023-09-15T00:00:00"/>
        <d v="2025-11-04T00:00:00"/>
        <d v="2024-09-28T00:00:00"/>
        <d v="2023-12-10T00:00:00"/>
        <d v="2023-10-19T00:00:00"/>
        <d v="2025-01-05T00:00:00"/>
        <d v="2024-07-14T00:00:00"/>
        <d v="2023-01-15T00:00:00"/>
        <d v="2024-11-27T00:00:00"/>
        <d v="2025-12-04T00:00:00"/>
        <d v="2023-03-20T00:00:00"/>
        <d v="2023-03-27T00:00:00"/>
        <d v="2023-08-01T00:00:00"/>
        <d v="2025-03-10T00:00:00"/>
        <d v="2024-05-17T00:00:00"/>
        <d v="2023-01-26T00:00:00"/>
        <d v="2024-06-21T00:00:00"/>
        <d v="2023-02-03T00:00:00"/>
        <d v="2025-03-17T00:00:00"/>
        <d v="2025-11-10T00:00:00"/>
        <d v="2024-11-05T00:00:00"/>
        <d v="2023-05-16T00:00:00"/>
        <d v="2023-10-29T00:00:00"/>
        <d v="2025-08-13T00:00:00"/>
        <d v="2024-09-14T00:00:00"/>
        <d v="2024-06-08T00:00:00"/>
        <d v="2025-04-17T00:00:00"/>
        <d v="2023-07-10T00:00:00"/>
        <d v="2025-06-22T00:00:00"/>
        <d v="2025-11-22T00:00:00"/>
        <d v="2024-04-15T00:00:00"/>
        <d v="2024-10-21T00:00:00"/>
        <d v="2024-04-25T00:00:00"/>
        <d v="2024-07-16T00:00:00"/>
        <d v="2025-07-02T00:00:00"/>
        <d v="2024-03-10T00:00:00"/>
        <d v="2024-06-06T00:00:00"/>
        <d v="2025-09-06T00:00:00"/>
        <d v="2024-08-21T00:00:00"/>
        <d v="2023-02-14T00:00:00"/>
        <d v="2023-03-22T00:00:00"/>
        <d v="2025-03-09T00:00:00"/>
        <d v="2024-07-13T00:00:00"/>
        <d v="2023-05-18T00:00:00"/>
        <d v="2024-06-12T00:00:00"/>
        <d v="2023-01-07T00:00:00"/>
        <d v="2023-08-03T00:00:00"/>
        <d v="2023-07-14T00:00:00"/>
        <d v="2024-12-11T00:00:00"/>
        <d v="2024-11-19T00:00:00"/>
        <d v="2025-12-27T00:00:00"/>
        <d v="2024-07-03T00:00:00"/>
        <d v="2025-02-15T00:00:00"/>
        <d v="2023-11-01T00:00:00"/>
        <d v="2025-05-10T00:00:00"/>
        <d v="2025-10-23T00:00:00"/>
        <d v="2025-09-12T00:00:00"/>
        <d v="2024-10-14T00:00:00"/>
        <d v="2024-11-12T00:00:00"/>
        <d v="2025-08-23T00:00:00"/>
        <d v="2024-06-10T00:00:00"/>
        <d v="2023-03-14T00:00:00"/>
        <d v="2025-02-14T00:00:00"/>
        <d v="2023-08-23T00:00:00"/>
        <d v="2023-10-21T00:00:00"/>
        <d v="2023-09-23T00:00:00"/>
        <d v="2023-06-11T00:00:00"/>
        <d v="2025-08-27T00:00:00"/>
        <d v="2025-04-10T00:00:00"/>
        <d v="2025-07-23T00:00:00"/>
        <d v="2023-06-28T00:00:00"/>
        <d v="2025-11-08T00:00:00"/>
        <d v="2025-11-21T00:00:00"/>
        <d v="2025-12-09T00:00:00"/>
        <d v="2024-05-28T00:00:00"/>
        <d v="2023-06-12T00:00:00"/>
        <d v="2023-11-07T00:00:00"/>
        <d v="2023-06-24T00:00:00"/>
        <d v="2023-04-07T00:00:00"/>
        <d v="2023-02-28T00:00:00"/>
        <d v="2024-04-07T00:00:00"/>
        <d v="2025-05-12T00:00:00"/>
        <d v="2024-05-11T00:00:00"/>
        <d v="2024-08-29T00:00:00"/>
        <d v="2023-07-18T00:00:00"/>
        <d v="2023-07-01T00:00:00"/>
        <d v="2024-12-17T00:00:00"/>
        <d v="2025-01-21T00:00:00"/>
        <d v="2025-11-05T00:00:00"/>
        <d v="2023-04-14T00:00:00"/>
        <d v="2024-02-07T00:00:00"/>
        <d v="2024-03-29T00:00:00"/>
        <d v="2023-03-06T00:00:00"/>
        <d v="2023-04-24T00:00:00"/>
        <d v="2025-11-23T00:00:00"/>
        <d v="2024-09-20T00:00:00"/>
        <d v="2025-11-19T00:00:00"/>
        <d v="2024-06-23T00:00:00"/>
        <d v="2023-11-14T00:00:00"/>
        <d v="2025-02-26T00:00:00"/>
        <d v="2024-09-26T00:00:00"/>
        <d v="2025-02-16T00:00:00"/>
        <d v="2024-03-17T00:00:00"/>
        <d v="2025-06-19T00:00:00"/>
        <d v="2024-05-31T00:00:00"/>
        <d v="2024-11-17T00:00:00"/>
        <d v="2024-08-04T00:00:00"/>
        <d v="2023-02-20T00:00:00"/>
        <d v="2023-01-19T00:00:00"/>
        <d v="2024-03-22T00:00:00"/>
        <d v="2023-06-29T00:00:00"/>
        <d v="2025-05-27T00:00:00"/>
        <d v="2025-12-29T00:00:00"/>
        <d v="2024-02-17T00:00:00"/>
        <d v="2023-10-18T00:00:00"/>
        <d v="2024-05-16T00:00:00"/>
        <d v="2023-07-02T00:00:00"/>
        <d v="2024-08-02T00:00:00"/>
        <d v="2025-12-01T00:00:00"/>
        <d v="2025-06-17T00:00:00"/>
        <d v="2024-11-29T00:00:00"/>
        <d v="2025-09-08T00:00:00"/>
        <d v="2025-03-04T00:00:00"/>
        <d v="2024-08-24T00:00:00"/>
        <d v="2025-04-04T00:00:00"/>
        <d v="2023-08-09T00:00:00"/>
        <d v="2024-08-28T00:00:00"/>
        <d v="2023-01-25T00:00:00"/>
        <d v="2025-05-03T00:00:00"/>
        <d v="2025-01-30T00:00:00"/>
        <d v="2023-03-07T00:00:00"/>
        <d v="2024-12-15T00:00:00"/>
        <d v="2023-08-18T00:00:00"/>
        <d v="2025-09-05T00:00:00"/>
        <d v="2023-09-11T00:00:00"/>
        <d v="2025-09-19T00:00:00"/>
        <d v="2024-12-08T00:00:00"/>
        <d v="2024-06-07T00:00:00"/>
        <d v="2024-04-22T00:00:00"/>
        <d v="2025-09-27T00:00:00"/>
        <d v="2024-02-24T00:00:00"/>
        <d v="2025-06-05T00:00:00"/>
        <d v="2023-08-10T00:00:00"/>
        <d v="2025-07-12T00:00:00"/>
        <d v="2025-12-18T00:00:00"/>
        <d v="2023-09-02T00:00:00"/>
        <d v="2023-01-11T00:00:00"/>
        <d v="2025-10-12T00:00:00"/>
        <d v="2024-02-16T00:00:00"/>
        <d v="2024-08-05T00:00:00"/>
        <d v="2025-12-26T00:00:00"/>
        <d v="2025-12-21T00:00:00"/>
        <d v="2025-08-18T00:00:00"/>
        <d v="2025-06-25T00:00:00"/>
        <d v="2024-09-22T00:00:00"/>
        <d v="2025-01-09T00:00:00"/>
        <d v="2025-02-22T00:00:00"/>
        <d v="2023-02-02T00:00:00"/>
        <d v="2023-12-12T00:00:00"/>
        <d v="2025-03-02T00:00:00"/>
        <d v="2024-03-26T00:00:00"/>
        <d v="2025-09-11T00:00:00"/>
        <d v="2023-04-17T00:00:00"/>
        <d v="2023-05-31T00:00:00"/>
        <d v="2025-07-27T00:00:00"/>
        <d v="2024-07-15T00:00:00"/>
        <d v="2025-04-28T00:00:00"/>
        <d v="2024-02-08T00:00:00"/>
        <d v="2023-03-08T00:00:00"/>
        <d v="2023-10-24T00:00:00"/>
        <d v="2025-04-12T00:00:00"/>
        <d v="2024-08-23T00:00:00"/>
        <d v="2023-07-07T00:00:00"/>
        <d v="2024-09-08T00:00:00"/>
        <d v="2023-12-06T00:00:00"/>
        <d v="2024-02-12T00:00:00"/>
        <d v="2025-06-30T00:00:00"/>
        <d v="2023-02-21T00:00:00"/>
        <d v="2025-09-14T00:00:00"/>
        <d v="2024-12-16T00:00:00"/>
        <d v="2024-05-07T00:00:00"/>
        <d v="2023-04-30T00:00:00"/>
        <d v="2025-04-07T00:00:00"/>
        <d v="2025-11-16T00:00:00"/>
        <d v="2024-03-14T00:00:00"/>
        <d v="2024-09-03T00:00:00"/>
        <d v="2024-11-21T00:00:00"/>
        <d v="2024-08-15T00:00:00"/>
        <d v="2024-12-24T00:00:00"/>
        <d v="2023-07-16T00:00:00"/>
        <d v="2024-03-16T00:00:00"/>
        <d v="2023-05-04T00:00:00"/>
        <d v="2024-09-07T00:00:00"/>
        <d v="2025-04-09T00:00:00"/>
        <d v="2023-10-04T00:00:00"/>
        <d v="2025-03-27T00:00:00"/>
        <d v="2025-10-09T00:00:00"/>
        <d v="2023-12-21T00:00:00"/>
        <d v="2024-10-27T00:00:00"/>
        <d v="2023-04-10T00:00:00"/>
        <d v="2024-10-10T00:00:00"/>
        <d v="2023-06-01T00:00:00"/>
        <d v="2025-03-25T00:00:00"/>
        <d v="2025-09-29T00:00:00"/>
        <d v="2023-09-25T00:00:00"/>
        <d v="2023-11-02T00:00:00"/>
        <d v="2025-05-05T00:00:00"/>
        <d v="2023-09-04T00:00:00"/>
        <d v="2025-12-13T00:00:00"/>
        <d v="2024-04-05T00:00:00"/>
        <d v="2023-10-15T00:00:00"/>
        <d v="2024-04-20T00:00:00"/>
        <d v="2023-03-04T00:00:00"/>
        <d v="2024-05-24T00:00:00"/>
        <d v="2023-10-05T00:00:00"/>
        <d v="2025-08-21T00:00:00"/>
        <d v="2023-08-27T00:00:00"/>
        <d v="2025-01-14T00:00:00"/>
        <d v="2025-03-08T00:00:00"/>
        <d v="2023-12-26T00:00:00"/>
        <d v="2025-10-06T00:00:00"/>
        <d v="2024-06-27T00:00:00"/>
        <d v="2024-04-04T00:00:00"/>
        <d v="2023-10-10T00:00:00"/>
        <d v="2025-12-23T00:00:00"/>
        <d v="2024-12-13T00:00:00"/>
        <d v="2024-04-27T00:00:00"/>
        <d v="2025-08-19T00:00:00"/>
        <d v="2024-03-19T00:00:00"/>
        <d v="2025-08-06T00:00:00"/>
        <d v="2024-01-06T00:00:00"/>
        <d v="2023-03-12T00:00:00"/>
        <d v="2023-02-01T00:00:00"/>
        <d v="2023-05-12T00:00:00"/>
        <d v="2023-01-08T00:00:00"/>
        <d v="2024-07-06T00:00:00"/>
        <d v="2025-05-25T00:00:00"/>
        <d v="2023-06-18T00:00:00"/>
        <d v="2023-02-06T00:00:00"/>
        <d v="2025-12-22T00:00:00"/>
        <d v="2025-11-14T00:00:00"/>
        <d v="2023-12-28T00:00:00"/>
        <d v="2025-06-16T00:00:00"/>
        <d v="2023-01-22T00:00:00"/>
        <d v="2024-11-26T00:00:00"/>
        <d v="2023-01-20T00:00:00"/>
        <d v="2024-05-04T00:00:00"/>
        <d v="2023-04-16T00:00:00"/>
        <d v="2025-05-20T00:00:00"/>
        <d v="2025-05-11T00:00:00"/>
        <d v="2025-11-12T00:00:00"/>
        <d v="2023-12-11T00:00:00"/>
        <d v="2023-05-25T00:00:00"/>
        <d v="2025-11-13T00:00:00"/>
        <d v="2024-01-18T00:00:00"/>
        <d v="2023-09-08T00:00:00"/>
        <d v="2025-06-15T00:00:00"/>
        <d v="2025-01-23T00:00:00"/>
        <d v="2025-06-07T00:00:00"/>
        <d v="2025-01-16T00:00:00"/>
        <d v="2025-04-05T00:00:00"/>
        <d v="2025-02-19T00:00:00"/>
        <d v="2023-09-19T00:00:00"/>
        <d v="2023-02-18T00:00:00"/>
        <d v="2025-05-30T00:00:00"/>
        <d v="2023-02-27T00:00:00"/>
        <d v="2025-08-08T00:00:00"/>
        <d v="2024-04-10T00:00:00"/>
        <d v="2025-12-17T00:00:00"/>
        <d v="2024-02-29T00:00:00"/>
        <d v="2023-07-06T00:00:00"/>
        <d v="2024-07-11T00:00:00"/>
        <d v="2024-07-26T00:00:00"/>
        <d v="2023-01-18T00:00:00"/>
        <d v="2023-05-15T00:00:00"/>
        <d v="2024-08-31T00:00:00"/>
        <d v="2025-05-02T00:00:00"/>
        <d v="2024-06-17T00:00:00"/>
        <d v="2023-06-23T00:00:00"/>
        <d v="2024-08-03T00:00:00"/>
        <d v="2025-01-17T00:00:00"/>
        <d v="2023-04-15T00:00:00"/>
        <d v="2025-07-20T00:00:00"/>
        <d v="2024-06-18T00:00:00"/>
        <d v="2023-02-08T00:00:00"/>
        <d v="2025-09-28T00:00:00"/>
        <d v="2023-09-07T00:00:00"/>
        <d v="2023-05-14T00:00:00"/>
        <d v="2024-01-15T00:00:00"/>
        <d v="2023-05-09T00:00:00"/>
        <d v="2023-06-21T00:00:00"/>
        <d v="2025-06-01T00:00:00"/>
        <d v="2023-10-31T00:00:00"/>
        <d v="2024-06-03T00:00:00"/>
        <d v="2025-06-29T00:00:00"/>
        <d v="2023-09-20T00:00:00"/>
        <d v="2023-01-02T00:00:00"/>
        <d v="2024-05-21T00:00:00"/>
        <d v="2025-01-29T00:00:00"/>
        <d v="2025-07-25T00:00:00"/>
        <d v="2024-03-11T00:00:00"/>
        <d v="2024-09-16T00:00:00"/>
        <d v="2023-08-16T00:00:00"/>
        <d v="2023-06-17T00:00:00"/>
        <d v="2024-08-08T00:00:00"/>
        <d v="2023-12-15T00:00:00"/>
        <d v="2024-11-20T00:00:00"/>
        <d v="2024-05-06T00:00:00"/>
        <d v="2024-06-15T00:00:00"/>
        <d v="2025-05-06T00:00:00"/>
        <d v="2024-07-17T00:00:00"/>
        <d v="2024-10-28T00:00:00"/>
        <d v="2024-11-11T00:00:00"/>
        <d v="2025-05-17T00:00:00"/>
        <d v="2025-02-17T00:00:00"/>
        <d v="2023-11-05T00:00:00"/>
        <d v="2024-09-02T00:00:00"/>
        <d v="2025-10-18T00:00:00"/>
        <d v="2025-08-04T00:00:00"/>
        <d v="2024-09-15T00:00:00"/>
        <d v="2025-05-16T00:00:00"/>
        <d v="2025-05-21T00:00:00"/>
        <d v="2025-01-24T00:00:00"/>
        <d v="2023-02-10T00:00:00"/>
        <d v="2023-04-01T00:00:00"/>
        <d v="2025-06-12T00:00:00"/>
        <d v="2023-05-30T00:00:00"/>
        <d v="2024-10-16T00:00:00"/>
        <d v="2025-02-28T00:00:00"/>
        <d v="2024-07-07T00:00:00"/>
        <d v="2024-09-09T00:00:00"/>
        <d v="2023-02-11T00:00:00"/>
        <d v="2024-04-21T00:00:00"/>
        <d v="2024-12-20T00:00:00"/>
        <d v="2025-03-22T00:00:00"/>
        <d v="2025-04-14T00:00:00"/>
        <d v="2024-05-02T00:00:00"/>
        <d v="2025-04-25T00:00:00"/>
        <d v="2024-10-18T00:00:00"/>
        <d v="2025-02-13T00:00:00"/>
        <d v="2024-01-30T00:00:00"/>
        <d v="2024-11-10T00:00:00"/>
        <d v="2025-02-23T00:00:00"/>
        <d v="2023-04-21T00:00:00"/>
        <d v="2023-07-03T00:00:00"/>
        <d v="2023-09-10T00:00:00"/>
        <d v="2024-08-09T00:00:00"/>
        <d v="2023-12-29T00:00:00"/>
        <d v="2025-02-21T00:00:00"/>
        <d v="2023-04-06T00:00:00"/>
        <d v="2023-08-11T00:00:00"/>
        <d v="2025-10-31T00:00:00"/>
        <d v="2025-11-29T00:00:00"/>
        <d v="2025-12-12T00:00:00"/>
        <d v="2025-10-08T00:00:00"/>
        <d v="2024-05-09T00:00:00"/>
        <d v="2023-09-13T00:00:00"/>
        <d v="2024-07-22T00:00:00"/>
        <d v="2024-03-20T00:00:00"/>
        <d v="2024-06-11T00:00:00"/>
        <d v="2024-05-10T00:00:00"/>
        <d v="2024-03-07T00:00:00"/>
        <d v="2023-06-20T00:00:00"/>
        <d v="2025-04-13T00:00:00"/>
        <d v="2023-11-27T00:00:00"/>
        <d v="2025-04-03T00:00:00"/>
        <d v="2024-09-04T00:00:00"/>
        <d v="2023-07-31T00:00:00"/>
        <d v="2023-02-12T00:00:00"/>
        <d v="2024-02-18T00:00:00"/>
        <d v="2023-08-04T00:00:00"/>
        <d v="2023-12-04T00:00:00"/>
        <d v="2023-05-03T00:00:00"/>
        <d v="2025-05-22T00:00:00"/>
        <d v="2025-05-26T00:00:00"/>
        <d v="2024-02-01T00:00:00"/>
        <d v="2025-02-09T00:00:00"/>
        <d v="2024-07-31T00:00:00"/>
        <d v="2023-03-16T00:00:00"/>
        <d v="2024-12-25T00:00:00"/>
        <d v="2024-04-03T00:00:00"/>
        <d v="2024-11-25T00:00:00"/>
        <d v="2025-06-27T00:00:00"/>
        <d v="2023-10-23T00:00:00"/>
        <d v="2025-08-11T00:00:00"/>
      </sharedItems>
    </cacheField>
    <cacheField name="CustomerSegment" numFmtId="0">
      <sharedItems count="3">
        <s v="Regular"/>
        <s v="New"/>
        <s v="VIP"/>
      </sharedItems>
    </cacheField>
    <cacheField name="ProductName" numFmtId="0">
      <sharedItems count="20">
        <s v="USB-C Cable"/>
        <s v="Backpack"/>
        <s v="Mechanical Keyboard"/>
        <s v="Office Chair"/>
        <s v="Phone Case"/>
        <s v="Desk Lamp"/>
        <s v="HDMI Cable"/>
        <s v="Power Bank"/>
        <s v="Wireless Mouse"/>
        <s v="Laptop Stand"/>
        <s v="Notebook"/>
        <s v="Webcam"/>
        <s v="Fitness Band"/>
        <s v="Tablet"/>
        <s v="Headphones"/>
        <s v="Gaming Controller"/>
        <s v="Microphone"/>
        <s v="Smart Watch"/>
        <s v="Bluetooth Speaker"/>
        <s v="Monitor"/>
      </sharedItems>
    </cacheField>
    <cacheField name="Category" numFmtId="0">
      <sharedItems count="6">
        <s v="Accessories"/>
        <s v="Electronics"/>
        <s v="Home Office"/>
        <s v="Stationery"/>
        <s v="Wearables"/>
        <s v="Gaming"/>
      </sharedItems>
    </cacheField>
    <cacheField name="UnitPrice" numFmtId="0">
      <sharedItems containsSemiMixedTypes="0" containsString="0" containsNumber="1" containsInteger="1" minValue="0" maxValue="260" count="20">
        <n v="9"/>
        <n v="42"/>
        <n v="62"/>
        <n v="180"/>
        <n v="14"/>
        <n v="32"/>
        <n v="11"/>
        <n v="35"/>
        <n v="18"/>
        <n v="28"/>
        <n v="7"/>
        <n v="48"/>
        <n v="55"/>
        <n v="260"/>
        <n v="75"/>
        <n v="68"/>
        <n v="85"/>
        <n v="120"/>
        <n v="58"/>
        <n v="21"/>
      </sharedItems>
    </cacheField>
    <cacheField name="Sales" numFmtId="0">
      <sharedItems containsSemiMixedTypes="0" containsString="0" containsNumber="1" containsInteger="1" minValue="-11" maxValue="936" count="178">
        <n v="32"/>
        <n v="38"/>
        <n v="50"/>
        <n v="162"/>
        <n v="28"/>
        <n v="128"/>
        <n v="10"/>
        <n v="42"/>
        <n v="80"/>
        <n v="74"/>
        <n v="17"/>
        <n v="76"/>
        <n v="34"/>
        <n v="11"/>
        <n v="186"/>
        <n v="14"/>
        <n v="7"/>
        <n v="18"/>
        <n v="22"/>
        <n v="21"/>
        <n v="6"/>
        <n v="104"/>
        <n v="86"/>
        <n v="62"/>
        <n v="56"/>
        <n v="494"/>
        <n v="64"/>
        <n v="214"/>
        <n v="66"/>
        <n v="63"/>
        <n v="61"/>
        <n v="33"/>
        <n v="115"/>
        <n v="77"/>
        <n v="43"/>
        <n v="68"/>
        <n v="59"/>
        <n v="27"/>
        <n v="110"/>
        <n v="19"/>
        <n v="26"/>
        <n v="54"/>
        <n v="170"/>
        <n v="9"/>
        <n v="204"/>
        <n v="13"/>
        <n v="118"/>
        <n v="189"/>
        <n v="71"/>
        <n v="120"/>
        <n v="87"/>
        <n v="93"/>
        <n v="20"/>
        <n v="116"/>
        <n v="40"/>
        <n v="8"/>
        <n v="81"/>
        <n v="58"/>
        <n v="85"/>
        <n v="24"/>
        <n v="151"/>
        <n v="84"/>
        <n v="55"/>
        <n v="25"/>
        <n v="49"/>
        <n v="225"/>
        <n v="202"/>
        <n v="340"/>
        <n v="90"/>
        <n v="306"/>
        <n v="12"/>
        <n v="210"/>
        <n v="106"/>
        <n v="150"/>
        <n v="260"/>
        <n v="126"/>
        <n v="15"/>
        <n v="31"/>
        <n v="75"/>
        <n v="122"/>
        <n v="480"/>
        <n v="220"/>
        <n v="168"/>
        <n v="182"/>
        <n v="180"/>
        <n v="36"/>
        <n v="48"/>
        <n v="70"/>
        <n v="112"/>
        <n v="360"/>
        <n v="52"/>
        <n v="30"/>
        <n v="240"/>
        <n v="136"/>
        <n v="41"/>
        <n v="113"/>
        <n v="99"/>
        <n v="255"/>
        <n v="91"/>
        <n v="29"/>
        <n v="140"/>
        <n v="35"/>
        <n v="153"/>
        <n v="16"/>
        <n v="60"/>
        <n v="39"/>
        <n v="96"/>
        <n v="356"/>
        <n v="94"/>
        <n v="600"/>
        <n v="72"/>
        <n v="184"/>
        <n v="174"/>
        <n v="102"/>
        <n v="46"/>
        <n v="238"/>
        <n v="884"/>
        <n v="520"/>
        <n v="160"/>
        <n v="-11"/>
        <n v="245"/>
        <n v="135"/>
        <n v="936"/>
        <n v="51"/>
        <n v="741"/>
        <n v="221"/>
        <n v="223"/>
        <n v="540"/>
        <n v="67"/>
        <n v="23"/>
        <n v="124"/>
        <n v="513"/>
        <n v="45"/>
        <n v="510"/>
        <n v="720"/>
        <n v="177"/>
        <n v="65"/>
        <n v="53"/>
        <n v="234"/>
        <n v="149"/>
        <n v="142"/>
        <n v="364"/>
        <n v="191"/>
        <n v="137"/>
        <n v="248"/>
        <n v="165"/>
        <n v="100"/>
        <n v="192"/>
        <n v="82"/>
        <n v="780"/>
        <n v="232"/>
        <n v="47"/>
        <n v="300"/>
        <n v="247"/>
        <n v="88"/>
        <n v="324"/>
        <n v="209"/>
        <n v="570"/>
        <n v="107"/>
        <n v="105"/>
        <n v="133"/>
        <n v="148"/>
        <n v="228"/>
        <n v="338"/>
        <n v="342"/>
        <n v="468"/>
        <n v="163"/>
        <n v="272"/>
        <n v="285"/>
        <n v="216"/>
        <n v="132"/>
        <n v="144"/>
        <n v="154"/>
        <n v="114"/>
        <n v="504"/>
        <n v="119"/>
        <n v="143"/>
        <n v="197"/>
      </sharedItems>
    </cacheField>
    <cacheField name="OrderValue" numFmtId="0">
      <sharedItems containsSemiMixedTypes="0" containsString="0" containsNumber="1" containsInteger="1" minValue="-11" maxValue="936" count="178">
        <n v="32"/>
        <n v="38"/>
        <n v="50"/>
        <n v="162"/>
        <n v="28"/>
        <n v="128"/>
        <n v="10"/>
        <n v="42"/>
        <n v="80"/>
        <n v="74"/>
        <n v="17"/>
        <n v="76"/>
        <n v="34"/>
        <n v="11"/>
        <n v="186"/>
        <n v="14"/>
        <n v="7"/>
        <n v="18"/>
        <n v="22"/>
        <n v="21"/>
        <n v="6"/>
        <n v="104"/>
        <n v="86"/>
        <n v="62"/>
        <n v="56"/>
        <n v="494"/>
        <n v="64"/>
        <n v="214"/>
        <n v="66"/>
        <n v="63"/>
        <n v="61"/>
        <n v="33"/>
        <n v="115"/>
        <n v="77"/>
        <n v="43"/>
        <n v="68"/>
        <n v="59"/>
        <n v="27"/>
        <n v="110"/>
        <n v="19"/>
        <n v="26"/>
        <n v="54"/>
        <n v="170"/>
        <n v="9"/>
        <n v="204"/>
        <n v="13"/>
        <n v="118"/>
        <n v="189"/>
        <n v="71"/>
        <n v="120"/>
        <n v="87"/>
        <n v="93"/>
        <n v="20"/>
        <n v="116"/>
        <n v="40"/>
        <n v="8"/>
        <n v="81"/>
        <n v="58"/>
        <n v="85"/>
        <n v="24"/>
        <n v="151"/>
        <n v="84"/>
        <n v="55"/>
        <n v="25"/>
        <n v="49"/>
        <n v="225"/>
        <n v="202"/>
        <n v="340"/>
        <n v="90"/>
        <n v="306"/>
        <n v="12"/>
        <n v="210"/>
        <n v="106"/>
        <n v="150"/>
        <n v="260"/>
        <n v="126"/>
        <n v="15"/>
        <n v="31"/>
        <n v="75"/>
        <n v="122"/>
        <n v="480"/>
        <n v="220"/>
        <n v="168"/>
        <n v="182"/>
        <n v="180"/>
        <n v="36"/>
        <n v="48"/>
        <n v="70"/>
        <n v="112"/>
        <n v="360"/>
        <n v="52"/>
        <n v="30"/>
        <n v="240"/>
        <n v="136"/>
        <n v="41"/>
        <n v="113"/>
        <n v="99"/>
        <n v="255"/>
        <n v="91"/>
        <n v="29"/>
        <n v="140"/>
        <n v="35"/>
        <n v="153"/>
        <n v="16"/>
        <n v="60"/>
        <n v="39"/>
        <n v="96"/>
        <n v="356"/>
        <n v="94"/>
        <n v="600"/>
        <n v="72"/>
        <n v="184"/>
        <n v="174"/>
        <n v="102"/>
        <n v="46"/>
        <n v="238"/>
        <n v="884"/>
        <n v="520"/>
        <n v="160"/>
        <n v="-11"/>
        <n v="245"/>
        <n v="135"/>
        <n v="936"/>
        <n v="51"/>
        <n v="741"/>
        <n v="221"/>
        <n v="223"/>
        <n v="540"/>
        <n v="67"/>
        <n v="23"/>
        <n v="124"/>
        <n v="513"/>
        <n v="45"/>
        <n v="510"/>
        <n v="720"/>
        <n v="177"/>
        <n v="65"/>
        <n v="53"/>
        <n v="234"/>
        <n v="149"/>
        <n v="142"/>
        <n v="364"/>
        <n v="191"/>
        <n v="137"/>
        <n v="248"/>
        <n v="165"/>
        <n v="100"/>
        <n v="192"/>
        <n v="82"/>
        <n v="780"/>
        <n v="232"/>
        <n v="47"/>
        <n v="300"/>
        <n v="247"/>
        <n v="88"/>
        <n v="324"/>
        <n v="209"/>
        <n v="570"/>
        <n v="107"/>
        <n v="105"/>
        <n v="133"/>
        <n v="148"/>
        <n v="228"/>
        <n v="338"/>
        <n v="342"/>
        <n v="468"/>
        <n v="163"/>
        <n v="272"/>
        <n v="285"/>
        <n v="216"/>
        <n v="132"/>
        <n v="144"/>
        <n v="154"/>
        <n v="114"/>
        <n v="504"/>
        <n v="119"/>
        <n v="143"/>
        <n v="197"/>
      </sharedItems>
    </cacheField>
    <cacheField name="Customer Status" numFmtId="0">
      <sharedItems count="2">
        <s v="Active Customer"/>
        <s v="Inactive Customer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0"/>
    <x v="1"/>
    <x v="1"/>
    <x v="1"/>
    <x v="0"/>
    <x v="1"/>
    <x v="0"/>
    <x v="1"/>
    <x v="1"/>
    <x v="1"/>
  </r>
  <r>
    <x v="2"/>
    <x v="2"/>
    <x v="2"/>
    <x v="2"/>
    <x v="1"/>
    <x v="1"/>
    <x v="2"/>
    <x v="0"/>
    <x v="0"/>
    <x v="2"/>
    <x v="2"/>
    <x v="0"/>
    <x v="2"/>
    <x v="1"/>
    <x v="2"/>
    <x v="2"/>
    <x v="2"/>
  </r>
  <r>
    <x v="3"/>
    <x v="3"/>
    <x v="3"/>
    <x v="3"/>
    <x v="1"/>
    <x v="0"/>
    <x v="0"/>
    <x v="0"/>
    <x v="2"/>
    <x v="3"/>
    <x v="3"/>
    <x v="0"/>
    <x v="3"/>
    <x v="2"/>
    <x v="3"/>
    <x v="3"/>
    <x v="3"/>
  </r>
  <r>
    <x v="4"/>
    <x v="4"/>
    <x v="4"/>
    <x v="4"/>
    <x v="2"/>
    <x v="2"/>
    <x v="0"/>
    <x v="0"/>
    <x v="3"/>
    <x v="4"/>
    <x v="4"/>
    <x v="0"/>
    <x v="4"/>
    <x v="0"/>
    <x v="4"/>
    <x v="4"/>
    <x v="4"/>
  </r>
  <r>
    <x v="5"/>
    <x v="5"/>
    <x v="5"/>
    <x v="5"/>
    <x v="0"/>
    <x v="2"/>
    <x v="0"/>
    <x v="1"/>
    <x v="4"/>
    <x v="2"/>
    <x v="5"/>
    <x v="1"/>
    <x v="5"/>
    <x v="2"/>
    <x v="5"/>
    <x v="5"/>
    <x v="5"/>
  </r>
  <r>
    <x v="6"/>
    <x v="6"/>
    <x v="6"/>
    <x v="6"/>
    <x v="1"/>
    <x v="3"/>
    <x v="1"/>
    <x v="0"/>
    <x v="5"/>
    <x v="5"/>
    <x v="6"/>
    <x v="1"/>
    <x v="6"/>
    <x v="0"/>
    <x v="6"/>
    <x v="6"/>
    <x v="6"/>
  </r>
  <r>
    <x v="7"/>
    <x v="7"/>
    <x v="7"/>
    <x v="1"/>
    <x v="1"/>
    <x v="2"/>
    <x v="0"/>
    <x v="0"/>
    <x v="6"/>
    <x v="6"/>
    <x v="7"/>
    <x v="0"/>
    <x v="1"/>
    <x v="0"/>
    <x v="1"/>
    <x v="7"/>
    <x v="7"/>
  </r>
  <r>
    <x v="8"/>
    <x v="8"/>
    <x v="8"/>
    <x v="7"/>
    <x v="1"/>
    <x v="0"/>
    <x v="0"/>
    <x v="0"/>
    <x v="7"/>
    <x v="5"/>
    <x v="8"/>
    <x v="1"/>
    <x v="7"/>
    <x v="1"/>
    <x v="7"/>
    <x v="0"/>
    <x v="0"/>
  </r>
  <r>
    <x v="9"/>
    <x v="9"/>
    <x v="9"/>
    <x v="1"/>
    <x v="2"/>
    <x v="3"/>
    <x v="0"/>
    <x v="2"/>
    <x v="8"/>
    <x v="6"/>
    <x v="9"/>
    <x v="1"/>
    <x v="1"/>
    <x v="0"/>
    <x v="1"/>
    <x v="8"/>
    <x v="8"/>
  </r>
  <r>
    <x v="10"/>
    <x v="10"/>
    <x v="10"/>
    <x v="7"/>
    <x v="3"/>
    <x v="4"/>
    <x v="0"/>
    <x v="0"/>
    <x v="9"/>
    <x v="2"/>
    <x v="4"/>
    <x v="1"/>
    <x v="7"/>
    <x v="1"/>
    <x v="7"/>
    <x v="9"/>
    <x v="9"/>
  </r>
  <r>
    <x v="11"/>
    <x v="11"/>
    <x v="11"/>
    <x v="8"/>
    <x v="1"/>
    <x v="3"/>
    <x v="1"/>
    <x v="0"/>
    <x v="10"/>
    <x v="7"/>
    <x v="10"/>
    <x v="2"/>
    <x v="8"/>
    <x v="1"/>
    <x v="8"/>
    <x v="10"/>
    <x v="10"/>
  </r>
  <r>
    <x v="12"/>
    <x v="12"/>
    <x v="12"/>
    <x v="9"/>
    <x v="3"/>
    <x v="0"/>
    <x v="2"/>
    <x v="0"/>
    <x v="11"/>
    <x v="5"/>
    <x v="11"/>
    <x v="0"/>
    <x v="9"/>
    <x v="0"/>
    <x v="9"/>
    <x v="11"/>
    <x v="11"/>
  </r>
  <r>
    <x v="13"/>
    <x v="13"/>
    <x v="13"/>
    <x v="8"/>
    <x v="2"/>
    <x v="3"/>
    <x v="2"/>
    <x v="0"/>
    <x v="12"/>
    <x v="2"/>
    <x v="12"/>
    <x v="1"/>
    <x v="8"/>
    <x v="1"/>
    <x v="8"/>
    <x v="12"/>
    <x v="12"/>
  </r>
  <r>
    <x v="14"/>
    <x v="14"/>
    <x v="14"/>
    <x v="6"/>
    <x v="1"/>
    <x v="2"/>
    <x v="1"/>
    <x v="0"/>
    <x v="13"/>
    <x v="2"/>
    <x v="13"/>
    <x v="0"/>
    <x v="6"/>
    <x v="0"/>
    <x v="6"/>
    <x v="13"/>
    <x v="13"/>
  </r>
  <r>
    <x v="15"/>
    <x v="15"/>
    <x v="15"/>
    <x v="2"/>
    <x v="3"/>
    <x v="2"/>
    <x v="0"/>
    <x v="0"/>
    <x v="9"/>
    <x v="8"/>
    <x v="14"/>
    <x v="1"/>
    <x v="2"/>
    <x v="1"/>
    <x v="2"/>
    <x v="14"/>
    <x v="14"/>
  </r>
  <r>
    <x v="16"/>
    <x v="16"/>
    <x v="16"/>
    <x v="8"/>
    <x v="2"/>
    <x v="3"/>
    <x v="0"/>
    <x v="0"/>
    <x v="14"/>
    <x v="2"/>
    <x v="15"/>
    <x v="2"/>
    <x v="8"/>
    <x v="1"/>
    <x v="8"/>
    <x v="12"/>
    <x v="12"/>
  </r>
  <r>
    <x v="17"/>
    <x v="17"/>
    <x v="17"/>
    <x v="10"/>
    <x v="2"/>
    <x v="2"/>
    <x v="0"/>
    <x v="0"/>
    <x v="15"/>
    <x v="8"/>
    <x v="16"/>
    <x v="1"/>
    <x v="10"/>
    <x v="3"/>
    <x v="10"/>
    <x v="15"/>
    <x v="15"/>
  </r>
  <r>
    <x v="18"/>
    <x v="18"/>
    <x v="18"/>
    <x v="10"/>
    <x v="1"/>
    <x v="2"/>
    <x v="2"/>
    <x v="0"/>
    <x v="16"/>
    <x v="9"/>
    <x v="17"/>
    <x v="0"/>
    <x v="10"/>
    <x v="3"/>
    <x v="10"/>
    <x v="16"/>
    <x v="16"/>
  </r>
  <r>
    <x v="19"/>
    <x v="19"/>
    <x v="19"/>
    <x v="6"/>
    <x v="2"/>
    <x v="1"/>
    <x v="3"/>
    <x v="0"/>
    <x v="9"/>
    <x v="8"/>
    <x v="18"/>
    <x v="1"/>
    <x v="6"/>
    <x v="0"/>
    <x v="6"/>
    <x v="17"/>
    <x v="17"/>
  </r>
  <r>
    <x v="20"/>
    <x v="20"/>
    <x v="20"/>
    <x v="6"/>
    <x v="2"/>
    <x v="2"/>
    <x v="0"/>
    <x v="0"/>
    <x v="1"/>
    <x v="4"/>
    <x v="19"/>
    <x v="0"/>
    <x v="6"/>
    <x v="0"/>
    <x v="6"/>
    <x v="18"/>
    <x v="18"/>
  </r>
  <r>
    <x v="21"/>
    <x v="21"/>
    <x v="21"/>
    <x v="10"/>
    <x v="2"/>
    <x v="2"/>
    <x v="0"/>
    <x v="0"/>
    <x v="2"/>
    <x v="5"/>
    <x v="20"/>
    <x v="0"/>
    <x v="10"/>
    <x v="3"/>
    <x v="10"/>
    <x v="15"/>
    <x v="15"/>
  </r>
  <r>
    <x v="22"/>
    <x v="22"/>
    <x v="22"/>
    <x v="11"/>
    <x v="1"/>
    <x v="1"/>
    <x v="3"/>
    <x v="0"/>
    <x v="17"/>
    <x v="2"/>
    <x v="21"/>
    <x v="1"/>
    <x v="11"/>
    <x v="1"/>
    <x v="11"/>
    <x v="1"/>
    <x v="1"/>
  </r>
  <r>
    <x v="23"/>
    <x v="23"/>
    <x v="23"/>
    <x v="10"/>
    <x v="3"/>
    <x v="2"/>
    <x v="0"/>
    <x v="0"/>
    <x v="18"/>
    <x v="2"/>
    <x v="22"/>
    <x v="0"/>
    <x v="10"/>
    <x v="3"/>
    <x v="10"/>
    <x v="19"/>
    <x v="19"/>
  </r>
  <r>
    <x v="24"/>
    <x v="24"/>
    <x v="24"/>
    <x v="10"/>
    <x v="1"/>
    <x v="5"/>
    <x v="0"/>
    <x v="0"/>
    <x v="19"/>
    <x v="9"/>
    <x v="23"/>
    <x v="1"/>
    <x v="10"/>
    <x v="3"/>
    <x v="10"/>
    <x v="20"/>
    <x v="20"/>
  </r>
  <r>
    <x v="25"/>
    <x v="25"/>
    <x v="25"/>
    <x v="12"/>
    <x v="2"/>
    <x v="3"/>
    <x v="2"/>
    <x v="0"/>
    <x v="20"/>
    <x v="6"/>
    <x v="24"/>
    <x v="1"/>
    <x v="12"/>
    <x v="4"/>
    <x v="12"/>
    <x v="21"/>
    <x v="21"/>
  </r>
  <r>
    <x v="26"/>
    <x v="26"/>
    <x v="11"/>
    <x v="11"/>
    <x v="2"/>
    <x v="0"/>
    <x v="3"/>
    <x v="0"/>
    <x v="8"/>
    <x v="2"/>
    <x v="25"/>
    <x v="0"/>
    <x v="11"/>
    <x v="1"/>
    <x v="11"/>
    <x v="22"/>
    <x v="22"/>
  </r>
  <r>
    <x v="27"/>
    <x v="27"/>
    <x v="26"/>
    <x v="2"/>
    <x v="1"/>
    <x v="2"/>
    <x v="0"/>
    <x v="0"/>
    <x v="21"/>
    <x v="9"/>
    <x v="26"/>
    <x v="0"/>
    <x v="2"/>
    <x v="1"/>
    <x v="2"/>
    <x v="23"/>
    <x v="23"/>
  </r>
  <r>
    <x v="28"/>
    <x v="28"/>
    <x v="27"/>
    <x v="2"/>
    <x v="1"/>
    <x v="0"/>
    <x v="1"/>
    <x v="0"/>
    <x v="22"/>
    <x v="2"/>
    <x v="27"/>
    <x v="0"/>
    <x v="2"/>
    <x v="1"/>
    <x v="2"/>
    <x v="24"/>
    <x v="24"/>
  </r>
  <r>
    <x v="29"/>
    <x v="29"/>
    <x v="28"/>
    <x v="13"/>
    <x v="2"/>
    <x v="3"/>
    <x v="2"/>
    <x v="0"/>
    <x v="12"/>
    <x v="2"/>
    <x v="28"/>
    <x v="2"/>
    <x v="13"/>
    <x v="1"/>
    <x v="13"/>
    <x v="25"/>
    <x v="25"/>
  </r>
  <r>
    <x v="30"/>
    <x v="30"/>
    <x v="29"/>
    <x v="5"/>
    <x v="2"/>
    <x v="2"/>
    <x v="0"/>
    <x v="0"/>
    <x v="23"/>
    <x v="3"/>
    <x v="29"/>
    <x v="0"/>
    <x v="5"/>
    <x v="2"/>
    <x v="5"/>
    <x v="26"/>
    <x v="26"/>
  </r>
  <r>
    <x v="31"/>
    <x v="31"/>
    <x v="30"/>
    <x v="4"/>
    <x v="2"/>
    <x v="2"/>
    <x v="1"/>
    <x v="0"/>
    <x v="24"/>
    <x v="4"/>
    <x v="30"/>
    <x v="0"/>
    <x v="4"/>
    <x v="0"/>
    <x v="4"/>
    <x v="4"/>
    <x v="4"/>
  </r>
  <r>
    <x v="32"/>
    <x v="32"/>
    <x v="31"/>
    <x v="14"/>
    <x v="3"/>
    <x v="3"/>
    <x v="0"/>
    <x v="0"/>
    <x v="19"/>
    <x v="1"/>
    <x v="31"/>
    <x v="0"/>
    <x v="14"/>
    <x v="1"/>
    <x v="14"/>
    <x v="27"/>
    <x v="27"/>
  </r>
  <r>
    <x v="33"/>
    <x v="33"/>
    <x v="32"/>
    <x v="7"/>
    <x v="2"/>
    <x v="3"/>
    <x v="0"/>
    <x v="0"/>
    <x v="16"/>
    <x v="2"/>
    <x v="32"/>
    <x v="1"/>
    <x v="7"/>
    <x v="1"/>
    <x v="7"/>
    <x v="28"/>
    <x v="28"/>
  </r>
  <r>
    <x v="34"/>
    <x v="34"/>
    <x v="33"/>
    <x v="4"/>
    <x v="4"/>
    <x v="0"/>
    <x v="1"/>
    <x v="0"/>
    <x v="1"/>
    <x v="7"/>
    <x v="33"/>
    <x v="0"/>
    <x v="4"/>
    <x v="0"/>
    <x v="4"/>
    <x v="29"/>
    <x v="29"/>
  </r>
  <r>
    <x v="35"/>
    <x v="35"/>
    <x v="34"/>
    <x v="10"/>
    <x v="1"/>
    <x v="2"/>
    <x v="0"/>
    <x v="0"/>
    <x v="16"/>
    <x v="2"/>
    <x v="34"/>
    <x v="2"/>
    <x v="10"/>
    <x v="3"/>
    <x v="10"/>
    <x v="16"/>
    <x v="16"/>
  </r>
  <r>
    <x v="36"/>
    <x v="36"/>
    <x v="35"/>
    <x v="8"/>
    <x v="0"/>
    <x v="5"/>
    <x v="0"/>
    <x v="0"/>
    <x v="25"/>
    <x v="4"/>
    <x v="35"/>
    <x v="0"/>
    <x v="8"/>
    <x v="1"/>
    <x v="8"/>
    <x v="30"/>
    <x v="30"/>
  </r>
  <r>
    <x v="37"/>
    <x v="37"/>
    <x v="36"/>
    <x v="10"/>
    <x v="4"/>
    <x v="3"/>
    <x v="0"/>
    <x v="1"/>
    <x v="3"/>
    <x v="4"/>
    <x v="36"/>
    <x v="1"/>
    <x v="10"/>
    <x v="3"/>
    <x v="10"/>
    <x v="31"/>
    <x v="31"/>
  </r>
  <r>
    <x v="38"/>
    <x v="38"/>
    <x v="37"/>
    <x v="5"/>
    <x v="0"/>
    <x v="0"/>
    <x v="0"/>
    <x v="2"/>
    <x v="26"/>
    <x v="2"/>
    <x v="37"/>
    <x v="2"/>
    <x v="5"/>
    <x v="2"/>
    <x v="5"/>
    <x v="32"/>
    <x v="32"/>
  </r>
  <r>
    <x v="39"/>
    <x v="39"/>
    <x v="38"/>
    <x v="12"/>
    <x v="2"/>
    <x v="4"/>
    <x v="0"/>
    <x v="0"/>
    <x v="23"/>
    <x v="2"/>
    <x v="38"/>
    <x v="0"/>
    <x v="12"/>
    <x v="4"/>
    <x v="12"/>
    <x v="33"/>
    <x v="33"/>
  </r>
  <r>
    <x v="40"/>
    <x v="40"/>
    <x v="39"/>
    <x v="11"/>
    <x v="1"/>
    <x v="0"/>
    <x v="0"/>
    <x v="0"/>
    <x v="27"/>
    <x v="1"/>
    <x v="39"/>
    <x v="0"/>
    <x v="11"/>
    <x v="1"/>
    <x v="11"/>
    <x v="34"/>
    <x v="34"/>
  </r>
  <r>
    <x v="41"/>
    <x v="41"/>
    <x v="40"/>
    <x v="15"/>
    <x v="1"/>
    <x v="2"/>
    <x v="0"/>
    <x v="0"/>
    <x v="25"/>
    <x v="7"/>
    <x v="40"/>
    <x v="0"/>
    <x v="15"/>
    <x v="5"/>
    <x v="15"/>
    <x v="35"/>
    <x v="35"/>
  </r>
  <r>
    <x v="42"/>
    <x v="42"/>
    <x v="41"/>
    <x v="9"/>
    <x v="1"/>
    <x v="2"/>
    <x v="2"/>
    <x v="0"/>
    <x v="26"/>
    <x v="6"/>
    <x v="41"/>
    <x v="0"/>
    <x v="9"/>
    <x v="0"/>
    <x v="9"/>
    <x v="4"/>
    <x v="4"/>
  </r>
  <r>
    <x v="43"/>
    <x v="43"/>
    <x v="42"/>
    <x v="6"/>
    <x v="2"/>
    <x v="3"/>
    <x v="0"/>
    <x v="0"/>
    <x v="3"/>
    <x v="2"/>
    <x v="42"/>
    <x v="0"/>
    <x v="6"/>
    <x v="0"/>
    <x v="6"/>
    <x v="19"/>
    <x v="19"/>
  </r>
  <r>
    <x v="44"/>
    <x v="44"/>
    <x v="43"/>
    <x v="2"/>
    <x v="1"/>
    <x v="3"/>
    <x v="2"/>
    <x v="0"/>
    <x v="1"/>
    <x v="6"/>
    <x v="43"/>
    <x v="0"/>
    <x v="2"/>
    <x v="1"/>
    <x v="2"/>
    <x v="36"/>
    <x v="36"/>
  </r>
  <r>
    <x v="45"/>
    <x v="45"/>
    <x v="44"/>
    <x v="0"/>
    <x v="3"/>
    <x v="2"/>
    <x v="2"/>
    <x v="0"/>
    <x v="19"/>
    <x v="7"/>
    <x v="4"/>
    <x v="0"/>
    <x v="0"/>
    <x v="0"/>
    <x v="0"/>
    <x v="37"/>
    <x v="37"/>
  </r>
  <r>
    <x v="46"/>
    <x v="46"/>
    <x v="45"/>
    <x v="12"/>
    <x v="2"/>
    <x v="2"/>
    <x v="3"/>
    <x v="0"/>
    <x v="0"/>
    <x v="2"/>
    <x v="44"/>
    <x v="1"/>
    <x v="12"/>
    <x v="4"/>
    <x v="12"/>
    <x v="38"/>
    <x v="38"/>
  </r>
  <r>
    <x v="47"/>
    <x v="47"/>
    <x v="46"/>
    <x v="0"/>
    <x v="2"/>
    <x v="2"/>
    <x v="2"/>
    <x v="0"/>
    <x v="11"/>
    <x v="0"/>
    <x v="45"/>
    <x v="2"/>
    <x v="0"/>
    <x v="0"/>
    <x v="0"/>
    <x v="17"/>
    <x v="17"/>
  </r>
  <r>
    <x v="48"/>
    <x v="48"/>
    <x v="47"/>
    <x v="6"/>
    <x v="1"/>
    <x v="3"/>
    <x v="0"/>
    <x v="0"/>
    <x v="28"/>
    <x v="2"/>
    <x v="46"/>
    <x v="0"/>
    <x v="6"/>
    <x v="0"/>
    <x v="6"/>
    <x v="6"/>
    <x v="6"/>
  </r>
  <r>
    <x v="49"/>
    <x v="49"/>
    <x v="48"/>
    <x v="5"/>
    <x v="1"/>
    <x v="2"/>
    <x v="0"/>
    <x v="0"/>
    <x v="14"/>
    <x v="8"/>
    <x v="47"/>
    <x v="1"/>
    <x v="5"/>
    <x v="2"/>
    <x v="5"/>
    <x v="0"/>
    <x v="0"/>
  </r>
  <r>
    <x v="50"/>
    <x v="50"/>
    <x v="11"/>
    <x v="10"/>
    <x v="3"/>
    <x v="0"/>
    <x v="1"/>
    <x v="0"/>
    <x v="29"/>
    <x v="6"/>
    <x v="48"/>
    <x v="2"/>
    <x v="10"/>
    <x v="3"/>
    <x v="10"/>
    <x v="39"/>
    <x v="39"/>
  </r>
  <r>
    <x v="51"/>
    <x v="51"/>
    <x v="49"/>
    <x v="10"/>
    <x v="1"/>
    <x v="2"/>
    <x v="1"/>
    <x v="0"/>
    <x v="30"/>
    <x v="2"/>
    <x v="49"/>
    <x v="1"/>
    <x v="10"/>
    <x v="3"/>
    <x v="10"/>
    <x v="16"/>
    <x v="16"/>
  </r>
  <r>
    <x v="52"/>
    <x v="52"/>
    <x v="50"/>
    <x v="5"/>
    <x v="1"/>
    <x v="1"/>
    <x v="1"/>
    <x v="1"/>
    <x v="18"/>
    <x v="7"/>
    <x v="50"/>
    <x v="1"/>
    <x v="5"/>
    <x v="2"/>
    <x v="5"/>
    <x v="40"/>
    <x v="40"/>
  </r>
  <r>
    <x v="53"/>
    <x v="53"/>
    <x v="51"/>
    <x v="5"/>
    <x v="2"/>
    <x v="5"/>
    <x v="3"/>
    <x v="0"/>
    <x v="8"/>
    <x v="2"/>
    <x v="51"/>
    <x v="1"/>
    <x v="5"/>
    <x v="2"/>
    <x v="5"/>
    <x v="41"/>
    <x v="41"/>
  </r>
  <r>
    <x v="54"/>
    <x v="54"/>
    <x v="52"/>
    <x v="16"/>
    <x v="2"/>
    <x v="2"/>
    <x v="1"/>
    <x v="0"/>
    <x v="26"/>
    <x v="2"/>
    <x v="52"/>
    <x v="1"/>
    <x v="16"/>
    <x v="1"/>
    <x v="16"/>
    <x v="42"/>
    <x v="42"/>
  </r>
  <r>
    <x v="55"/>
    <x v="55"/>
    <x v="53"/>
    <x v="5"/>
    <x v="1"/>
    <x v="2"/>
    <x v="0"/>
    <x v="0"/>
    <x v="31"/>
    <x v="5"/>
    <x v="53"/>
    <x v="1"/>
    <x v="5"/>
    <x v="2"/>
    <x v="5"/>
    <x v="0"/>
    <x v="0"/>
  </r>
  <r>
    <x v="56"/>
    <x v="56"/>
    <x v="54"/>
    <x v="12"/>
    <x v="2"/>
    <x v="2"/>
    <x v="0"/>
    <x v="0"/>
    <x v="10"/>
    <x v="2"/>
    <x v="54"/>
    <x v="1"/>
    <x v="12"/>
    <x v="4"/>
    <x v="12"/>
    <x v="38"/>
    <x v="38"/>
  </r>
  <r>
    <x v="57"/>
    <x v="57"/>
    <x v="55"/>
    <x v="0"/>
    <x v="1"/>
    <x v="2"/>
    <x v="1"/>
    <x v="0"/>
    <x v="29"/>
    <x v="2"/>
    <x v="55"/>
    <x v="1"/>
    <x v="0"/>
    <x v="0"/>
    <x v="0"/>
    <x v="43"/>
    <x v="43"/>
  </r>
  <r>
    <x v="58"/>
    <x v="58"/>
    <x v="56"/>
    <x v="17"/>
    <x v="2"/>
    <x v="5"/>
    <x v="1"/>
    <x v="0"/>
    <x v="32"/>
    <x v="5"/>
    <x v="56"/>
    <x v="0"/>
    <x v="17"/>
    <x v="4"/>
    <x v="17"/>
    <x v="44"/>
    <x v="44"/>
  </r>
  <r>
    <x v="59"/>
    <x v="59"/>
    <x v="57"/>
    <x v="5"/>
    <x v="2"/>
    <x v="2"/>
    <x v="3"/>
    <x v="0"/>
    <x v="33"/>
    <x v="6"/>
    <x v="57"/>
    <x v="1"/>
    <x v="5"/>
    <x v="2"/>
    <x v="5"/>
    <x v="26"/>
    <x v="26"/>
  </r>
  <r>
    <x v="60"/>
    <x v="60"/>
    <x v="58"/>
    <x v="14"/>
    <x v="3"/>
    <x v="3"/>
    <x v="0"/>
    <x v="0"/>
    <x v="34"/>
    <x v="7"/>
    <x v="58"/>
    <x v="1"/>
    <x v="14"/>
    <x v="1"/>
    <x v="14"/>
    <x v="27"/>
    <x v="27"/>
  </r>
  <r>
    <x v="61"/>
    <x v="61"/>
    <x v="59"/>
    <x v="5"/>
    <x v="1"/>
    <x v="2"/>
    <x v="0"/>
    <x v="0"/>
    <x v="12"/>
    <x v="7"/>
    <x v="59"/>
    <x v="0"/>
    <x v="5"/>
    <x v="2"/>
    <x v="5"/>
    <x v="0"/>
    <x v="0"/>
  </r>
  <r>
    <x v="62"/>
    <x v="62"/>
    <x v="60"/>
    <x v="18"/>
    <x v="2"/>
    <x v="0"/>
    <x v="2"/>
    <x v="0"/>
    <x v="35"/>
    <x v="2"/>
    <x v="60"/>
    <x v="0"/>
    <x v="18"/>
    <x v="1"/>
    <x v="18"/>
    <x v="21"/>
    <x v="21"/>
  </r>
  <r>
    <x v="63"/>
    <x v="63"/>
    <x v="61"/>
    <x v="1"/>
    <x v="1"/>
    <x v="2"/>
    <x v="2"/>
    <x v="0"/>
    <x v="36"/>
    <x v="6"/>
    <x v="61"/>
    <x v="0"/>
    <x v="1"/>
    <x v="0"/>
    <x v="1"/>
    <x v="7"/>
    <x v="7"/>
  </r>
  <r>
    <x v="64"/>
    <x v="64"/>
    <x v="62"/>
    <x v="6"/>
    <x v="1"/>
    <x v="3"/>
    <x v="0"/>
    <x v="0"/>
    <x v="37"/>
    <x v="6"/>
    <x v="62"/>
    <x v="1"/>
    <x v="6"/>
    <x v="0"/>
    <x v="6"/>
    <x v="6"/>
    <x v="6"/>
  </r>
  <r>
    <x v="65"/>
    <x v="65"/>
    <x v="63"/>
    <x v="10"/>
    <x v="1"/>
    <x v="3"/>
    <x v="0"/>
    <x v="0"/>
    <x v="34"/>
    <x v="4"/>
    <x v="63"/>
    <x v="0"/>
    <x v="10"/>
    <x v="3"/>
    <x v="10"/>
    <x v="16"/>
    <x v="16"/>
  </r>
  <r>
    <x v="66"/>
    <x v="66"/>
    <x v="64"/>
    <x v="2"/>
    <x v="1"/>
    <x v="3"/>
    <x v="1"/>
    <x v="2"/>
    <x v="31"/>
    <x v="2"/>
    <x v="64"/>
    <x v="0"/>
    <x v="2"/>
    <x v="1"/>
    <x v="2"/>
    <x v="36"/>
    <x v="36"/>
  </r>
  <r>
    <x v="67"/>
    <x v="67"/>
    <x v="65"/>
    <x v="5"/>
    <x v="0"/>
    <x v="0"/>
    <x v="0"/>
    <x v="1"/>
    <x v="15"/>
    <x v="7"/>
    <x v="65"/>
    <x v="1"/>
    <x v="5"/>
    <x v="2"/>
    <x v="5"/>
    <x v="32"/>
    <x v="32"/>
  </r>
  <r>
    <x v="68"/>
    <x v="68"/>
    <x v="66"/>
    <x v="0"/>
    <x v="3"/>
    <x v="2"/>
    <x v="0"/>
    <x v="0"/>
    <x v="5"/>
    <x v="0"/>
    <x v="66"/>
    <x v="1"/>
    <x v="0"/>
    <x v="0"/>
    <x v="0"/>
    <x v="37"/>
    <x v="37"/>
  </r>
  <r>
    <x v="69"/>
    <x v="69"/>
    <x v="67"/>
    <x v="4"/>
    <x v="1"/>
    <x v="0"/>
    <x v="1"/>
    <x v="0"/>
    <x v="31"/>
    <x v="3"/>
    <x v="67"/>
    <x v="0"/>
    <x v="4"/>
    <x v="0"/>
    <x v="4"/>
    <x v="45"/>
    <x v="45"/>
  </r>
  <r>
    <x v="70"/>
    <x v="70"/>
    <x v="68"/>
    <x v="6"/>
    <x v="1"/>
    <x v="1"/>
    <x v="2"/>
    <x v="0"/>
    <x v="38"/>
    <x v="6"/>
    <x v="68"/>
    <x v="1"/>
    <x v="6"/>
    <x v="0"/>
    <x v="6"/>
    <x v="43"/>
    <x v="43"/>
  </r>
  <r>
    <x v="71"/>
    <x v="71"/>
    <x v="69"/>
    <x v="2"/>
    <x v="2"/>
    <x v="3"/>
    <x v="0"/>
    <x v="0"/>
    <x v="39"/>
    <x v="3"/>
    <x v="69"/>
    <x v="1"/>
    <x v="2"/>
    <x v="1"/>
    <x v="2"/>
    <x v="46"/>
    <x v="46"/>
  </r>
  <r>
    <x v="72"/>
    <x v="72"/>
    <x v="70"/>
    <x v="1"/>
    <x v="4"/>
    <x v="0"/>
    <x v="0"/>
    <x v="0"/>
    <x v="22"/>
    <x v="1"/>
    <x v="70"/>
    <x v="0"/>
    <x v="1"/>
    <x v="0"/>
    <x v="1"/>
    <x v="47"/>
    <x v="47"/>
  </r>
  <r>
    <x v="73"/>
    <x v="73"/>
    <x v="71"/>
    <x v="14"/>
    <x v="1"/>
    <x v="3"/>
    <x v="1"/>
    <x v="0"/>
    <x v="10"/>
    <x v="2"/>
    <x v="71"/>
    <x v="1"/>
    <x v="14"/>
    <x v="1"/>
    <x v="14"/>
    <x v="48"/>
    <x v="48"/>
  </r>
  <r>
    <x v="74"/>
    <x v="74"/>
    <x v="72"/>
    <x v="1"/>
    <x v="3"/>
    <x v="3"/>
    <x v="0"/>
    <x v="0"/>
    <x v="1"/>
    <x v="5"/>
    <x v="72"/>
    <x v="0"/>
    <x v="1"/>
    <x v="0"/>
    <x v="1"/>
    <x v="49"/>
    <x v="49"/>
  </r>
  <r>
    <x v="75"/>
    <x v="75"/>
    <x v="73"/>
    <x v="0"/>
    <x v="2"/>
    <x v="4"/>
    <x v="0"/>
    <x v="0"/>
    <x v="34"/>
    <x v="2"/>
    <x v="73"/>
    <x v="0"/>
    <x v="0"/>
    <x v="0"/>
    <x v="0"/>
    <x v="45"/>
    <x v="45"/>
  </r>
  <r>
    <x v="76"/>
    <x v="76"/>
    <x v="74"/>
    <x v="2"/>
    <x v="2"/>
    <x v="4"/>
    <x v="2"/>
    <x v="0"/>
    <x v="1"/>
    <x v="0"/>
    <x v="74"/>
    <x v="1"/>
    <x v="2"/>
    <x v="1"/>
    <x v="2"/>
    <x v="50"/>
    <x v="50"/>
  </r>
  <r>
    <x v="77"/>
    <x v="77"/>
    <x v="75"/>
    <x v="18"/>
    <x v="2"/>
    <x v="1"/>
    <x v="1"/>
    <x v="0"/>
    <x v="34"/>
    <x v="3"/>
    <x v="75"/>
    <x v="1"/>
    <x v="18"/>
    <x v="1"/>
    <x v="18"/>
    <x v="51"/>
    <x v="51"/>
  </r>
  <r>
    <x v="78"/>
    <x v="78"/>
    <x v="76"/>
    <x v="10"/>
    <x v="1"/>
    <x v="2"/>
    <x v="0"/>
    <x v="2"/>
    <x v="18"/>
    <x v="5"/>
    <x v="76"/>
    <x v="1"/>
    <x v="10"/>
    <x v="3"/>
    <x v="10"/>
    <x v="16"/>
    <x v="16"/>
  </r>
  <r>
    <x v="79"/>
    <x v="23"/>
    <x v="47"/>
    <x v="16"/>
    <x v="2"/>
    <x v="2"/>
    <x v="0"/>
    <x v="0"/>
    <x v="18"/>
    <x v="2"/>
    <x v="22"/>
    <x v="0"/>
    <x v="16"/>
    <x v="1"/>
    <x v="16"/>
    <x v="42"/>
    <x v="42"/>
  </r>
  <r>
    <x v="80"/>
    <x v="79"/>
    <x v="77"/>
    <x v="14"/>
    <x v="3"/>
    <x v="3"/>
    <x v="2"/>
    <x v="0"/>
    <x v="32"/>
    <x v="2"/>
    <x v="77"/>
    <x v="0"/>
    <x v="14"/>
    <x v="1"/>
    <x v="14"/>
    <x v="27"/>
    <x v="27"/>
  </r>
  <r>
    <x v="81"/>
    <x v="80"/>
    <x v="25"/>
    <x v="4"/>
    <x v="1"/>
    <x v="2"/>
    <x v="1"/>
    <x v="0"/>
    <x v="15"/>
    <x v="2"/>
    <x v="78"/>
    <x v="0"/>
    <x v="4"/>
    <x v="0"/>
    <x v="4"/>
    <x v="15"/>
    <x v="15"/>
  </r>
  <r>
    <x v="82"/>
    <x v="81"/>
    <x v="78"/>
    <x v="10"/>
    <x v="3"/>
    <x v="3"/>
    <x v="2"/>
    <x v="0"/>
    <x v="38"/>
    <x v="6"/>
    <x v="79"/>
    <x v="1"/>
    <x v="10"/>
    <x v="3"/>
    <x v="10"/>
    <x v="52"/>
    <x v="52"/>
  </r>
  <r>
    <x v="83"/>
    <x v="82"/>
    <x v="79"/>
    <x v="0"/>
    <x v="1"/>
    <x v="2"/>
    <x v="0"/>
    <x v="0"/>
    <x v="6"/>
    <x v="2"/>
    <x v="80"/>
    <x v="1"/>
    <x v="0"/>
    <x v="0"/>
    <x v="0"/>
    <x v="43"/>
    <x v="43"/>
  </r>
  <r>
    <x v="84"/>
    <x v="83"/>
    <x v="80"/>
    <x v="8"/>
    <x v="1"/>
    <x v="2"/>
    <x v="0"/>
    <x v="0"/>
    <x v="16"/>
    <x v="3"/>
    <x v="81"/>
    <x v="0"/>
    <x v="8"/>
    <x v="1"/>
    <x v="8"/>
    <x v="17"/>
    <x v="17"/>
  </r>
  <r>
    <x v="85"/>
    <x v="84"/>
    <x v="81"/>
    <x v="18"/>
    <x v="2"/>
    <x v="2"/>
    <x v="0"/>
    <x v="0"/>
    <x v="22"/>
    <x v="6"/>
    <x v="82"/>
    <x v="1"/>
    <x v="18"/>
    <x v="1"/>
    <x v="18"/>
    <x v="53"/>
    <x v="53"/>
  </r>
  <r>
    <x v="86"/>
    <x v="85"/>
    <x v="47"/>
    <x v="4"/>
    <x v="3"/>
    <x v="3"/>
    <x v="2"/>
    <x v="0"/>
    <x v="40"/>
    <x v="7"/>
    <x v="83"/>
    <x v="0"/>
    <x v="4"/>
    <x v="0"/>
    <x v="4"/>
    <x v="54"/>
    <x v="54"/>
  </r>
  <r>
    <x v="87"/>
    <x v="86"/>
    <x v="82"/>
    <x v="13"/>
    <x v="2"/>
    <x v="3"/>
    <x v="0"/>
    <x v="0"/>
    <x v="11"/>
    <x v="6"/>
    <x v="84"/>
    <x v="0"/>
    <x v="13"/>
    <x v="1"/>
    <x v="13"/>
    <x v="25"/>
    <x v="25"/>
  </r>
  <r>
    <x v="88"/>
    <x v="87"/>
    <x v="83"/>
    <x v="0"/>
    <x v="0"/>
    <x v="0"/>
    <x v="1"/>
    <x v="0"/>
    <x v="41"/>
    <x v="8"/>
    <x v="85"/>
    <x v="1"/>
    <x v="0"/>
    <x v="0"/>
    <x v="0"/>
    <x v="0"/>
    <x v="0"/>
  </r>
  <r>
    <x v="89"/>
    <x v="88"/>
    <x v="84"/>
    <x v="0"/>
    <x v="1"/>
    <x v="0"/>
    <x v="3"/>
    <x v="2"/>
    <x v="23"/>
    <x v="9"/>
    <x v="86"/>
    <x v="0"/>
    <x v="0"/>
    <x v="0"/>
    <x v="0"/>
    <x v="55"/>
    <x v="55"/>
  </r>
  <r>
    <x v="90"/>
    <x v="89"/>
    <x v="85"/>
    <x v="8"/>
    <x v="4"/>
    <x v="3"/>
    <x v="2"/>
    <x v="0"/>
    <x v="14"/>
    <x v="0"/>
    <x v="87"/>
    <x v="0"/>
    <x v="8"/>
    <x v="1"/>
    <x v="8"/>
    <x v="22"/>
    <x v="22"/>
  </r>
  <r>
    <x v="91"/>
    <x v="90"/>
    <x v="86"/>
    <x v="18"/>
    <x v="2"/>
    <x v="4"/>
    <x v="0"/>
    <x v="0"/>
    <x v="6"/>
    <x v="2"/>
    <x v="88"/>
    <x v="0"/>
    <x v="18"/>
    <x v="1"/>
    <x v="18"/>
    <x v="56"/>
    <x v="56"/>
  </r>
  <r>
    <x v="92"/>
    <x v="91"/>
    <x v="87"/>
    <x v="15"/>
    <x v="1"/>
    <x v="5"/>
    <x v="0"/>
    <x v="0"/>
    <x v="6"/>
    <x v="5"/>
    <x v="89"/>
    <x v="0"/>
    <x v="15"/>
    <x v="5"/>
    <x v="15"/>
    <x v="57"/>
    <x v="57"/>
  </r>
  <r>
    <x v="93"/>
    <x v="92"/>
    <x v="88"/>
    <x v="16"/>
    <x v="1"/>
    <x v="2"/>
    <x v="2"/>
    <x v="0"/>
    <x v="1"/>
    <x v="8"/>
    <x v="90"/>
    <x v="0"/>
    <x v="16"/>
    <x v="1"/>
    <x v="16"/>
    <x v="58"/>
    <x v="58"/>
  </r>
  <r>
    <x v="94"/>
    <x v="93"/>
    <x v="89"/>
    <x v="7"/>
    <x v="1"/>
    <x v="4"/>
    <x v="0"/>
    <x v="0"/>
    <x v="42"/>
    <x v="5"/>
    <x v="91"/>
    <x v="0"/>
    <x v="7"/>
    <x v="1"/>
    <x v="7"/>
    <x v="59"/>
    <x v="59"/>
  </r>
  <r>
    <x v="95"/>
    <x v="94"/>
    <x v="90"/>
    <x v="6"/>
    <x v="3"/>
    <x v="2"/>
    <x v="0"/>
    <x v="2"/>
    <x v="13"/>
    <x v="7"/>
    <x v="92"/>
    <x v="0"/>
    <x v="6"/>
    <x v="0"/>
    <x v="6"/>
    <x v="31"/>
    <x v="31"/>
  </r>
  <r>
    <x v="96"/>
    <x v="95"/>
    <x v="91"/>
    <x v="1"/>
    <x v="0"/>
    <x v="0"/>
    <x v="2"/>
    <x v="0"/>
    <x v="12"/>
    <x v="5"/>
    <x v="93"/>
    <x v="1"/>
    <x v="1"/>
    <x v="0"/>
    <x v="1"/>
    <x v="60"/>
    <x v="60"/>
  </r>
  <r>
    <x v="97"/>
    <x v="96"/>
    <x v="92"/>
    <x v="9"/>
    <x v="3"/>
    <x v="2"/>
    <x v="2"/>
    <x v="0"/>
    <x v="23"/>
    <x v="2"/>
    <x v="32"/>
    <x v="1"/>
    <x v="9"/>
    <x v="0"/>
    <x v="9"/>
    <x v="61"/>
    <x v="61"/>
  </r>
  <r>
    <x v="98"/>
    <x v="97"/>
    <x v="93"/>
    <x v="4"/>
    <x v="2"/>
    <x v="5"/>
    <x v="0"/>
    <x v="0"/>
    <x v="9"/>
    <x v="2"/>
    <x v="94"/>
    <x v="0"/>
    <x v="4"/>
    <x v="0"/>
    <x v="4"/>
    <x v="59"/>
    <x v="59"/>
  </r>
  <r>
    <x v="99"/>
    <x v="98"/>
    <x v="94"/>
    <x v="12"/>
    <x v="1"/>
    <x v="2"/>
    <x v="0"/>
    <x v="0"/>
    <x v="25"/>
    <x v="4"/>
    <x v="95"/>
    <x v="0"/>
    <x v="12"/>
    <x v="4"/>
    <x v="12"/>
    <x v="62"/>
    <x v="62"/>
  </r>
  <r>
    <x v="100"/>
    <x v="99"/>
    <x v="95"/>
    <x v="9"/>
    <x v="1"/>
    <x v="3"/>
    <x v="0"/>
    <x v="0"/>
    <x v="2"/>
    <x v="7"/>
    <x v="96"/>
    <x v="1"/>
    <x v="9"/>
    <x v="0"/>
    <x v="9"/>
    <x v="37"/>
    <x v="37"/>
  </r>
  <r>
    <x v="101"/>
    <x v="100"/>
    <x v="96"/>
    <x v="9"/>
    <x v="1"/>
    <x v="0"/>
    <x v="2"/>
    <x v="0"/>
    <x v="40"/>
    <x v="8"/>
    <x v="97"/>
    <x v="0"/>
    <x v="9"/>
    <x v="0"/>
    <x v="9"/>
    <x v="63"/>
    <x v="63"/>
  </r>
  <r>
    <x v="102"/>
    <x v="101"/>
    <x v="97"/>
    <x v="18"/>
    <x v="1"/>
    <x v="5"/>
    <x v="0"/>
    <x v="0"/>
    <x v="12"/>
    <x v="7"/>
    <x v="98"/>
    <x v="0"/>
    <x v="18"/>
    <x v="1"/>
    <x v="18"/>
    <x v="64"/>
    <x v="64"/>
  </r>
  <r>
    <x v="103"/>
    <x v="102"/>
    <x v="79"/>
    <x v="14"/>
    <x v="3"/>
    <x v="2"/>
    <x v="0"/>
    <x v="0"/>
    <x v="43"/>
    <x v="5"/>
    <x v="99"/>
    <x v="0"/>
    <x v="14"/>
    <x v="1"/>
    <x v="14"/>
    <x v="65"/>
    <x v="65"/>
  </r>
  <r>
    <x v="104"/>
    <x v="103"/>
    <x v="98"/>
    <x v="14"/>
    <x v="3"/>
    <x v="0"/>
    <x v="1"/>
    <x v="0"/>
    <x v="42"/>
    <x v="5"/>
    <x v="100"/>
    <x v="0"/>
    <x v="14"/>
    <x v="1"/>
    <x v="14"/>
    <x v="66"/>
    <x v="66"/>
  </r>
  <r>
    <x v="105"/>
    <x v="104"/>
    <x v="99"/>
    <x v="16"/>
    <x v="0"/>
    <x v="2"/>
    <x v="1"/>
    <x v="0"/>
    <x v="13"/>
    <x v="6"/>
    <x v="101"/>
    <x v="0"/>
    <x v="16"/>
    <x v="1"/>
    <x v="16"/>
    <x v="67"/>
    <x v="67"/>
  </r>
  <r>
    <x v="106"/>
    <x v="105"/>
    <x v="100"/>
    <x v="6"/>
    <x v="2"/>
    <x v="3"/>
    <x v="0"/>
    <x v="0"/>
    <x v="4"/>
    <x v="6"/>
    <x v="102"/>
    <x v="1"/>
    <x v="6"/>
    <x v="0"/>
    <x v="6"/>
    <x v="19"/>
    <x v="19"/>
  </r>
  <r>
    <x v="107"/>
    <x v="106"/>
    <x v="101"/>
    <x v="0"/>
    <x v="1"/>
    <x v="5"/>
    <x v="0"/>
    <x v="2"/>
    <x v="6"/>
    <x v="4"/>
    <x v="41"/>
    <x v="0"/>
    <x v="0"/>
    <x v="0"/>
    <x v="0"/>
    <x v="55"/>
    <x v="55"/>
  </r>
  <r>
    <x v="108"/>
    <x v="107"/>
    <x v="17"/>
    <x v="0"/>
    <x v="3"/>
    <x v="2"/>
    <x v="0"/>
    <x v="0"/>
    <x v="42"/>
    <x v="0"/>
    <x v="103"/>
    <x v="2"/>
    <x v="0"/>
    <x v="0"/>
    <x v="0"/>
    <x v="37"/>
    <x v="37"/>
  </r>
  <r>
    <x v="109"/>
    <x v="108"/>
    <x v="102"/>
    <x v="9"/>
    <x v="2"/>
    <x v="0"/>
    <x v="0"/>
    <x v="0"/>
    <x v="34"/>
    <x v="7"/>
    <x v="104"/>
    <x v="0"/>
    <x v="9"/>
    <x v="0"/>
    <x v="9"/>
    <x v="2"/>
    <x v="2"/>
  </r>
  <r>
    <x v="110"/>
    <x v="109"/>
    <x v="103"/>
    <x v="10"/>
    <x v="1"/>
    <x v="5"/>
    <x v="0"/>
    <x v="2"/>
    <x v="8"/>
    <x v="5"/>
    <x v="57"/>
    <x v="2"/>
    <x v="10"/>
    <x v="3"/>
    <x v="10"/>
    <x v="20"/>
    <x v="20"/>
  </r>
  <r>
    <x v="111"/>
    <x v="110"/>
    <x v="104"/>
    <x v="14"/>
    <x v="3"/>
    <x v="2"/>
    <x v="0"/>
    <x v="0"/>
    <x v="44"/>
    <x v="3"/>
    <x v="105"/>
    <x v="0"/>
    <x v="14"/>
    <x v="1"/>
    <x v="14"/>
    <x v="65"/>
    <x v="65"/>
  </r>
  <r>
    <x v="112"/>
    <x v="111"/>
    <x v="105"/>
    <x v="4"/>
    <x v="2"/>
    <x v="2"/>
    <x v="0"/>
    <x v="0"/>
    <x v="28"/>
    <x v="5"/>
    <x v="106"/>
    <x v="1"/>
    <x v="4"/>
    <x v="0"/>
    <x v="4"/>
    <x v="4"/>
    <x v="4"/>
  </r>
  <r>
    <x v="113"/>
    <x v="112"/>
    <x v="106"/>
    <x v="8"/>
    <x v="1"/>
    <x v="3"/>
    <x v="0"/>
    <x v="0"/>
    <x v="28"/>
    <x v="3"/>
    <x v="107"/>
    <x v="0"/>
    <x v="8"/>
    <x v="1"/>
    <x v="8"/>
    <x v="10"/>
    <x v="10"/>
  </r>
  <r>
    <x v="114"/>
    <x v="113"/>
    <x v="9"/>
    <x v="4"/>
    <x v="2"/>
    <x v="5"/>
    <x v="1"/>
    <x v="1"/>
    <x v="14"/>
    <x v="2"/>
    <x v="108"/>
    <x v="0"/>
    <x v="4"/>
    <x v="0"/>
    <x v="4"/>
    <x v="59"/>
    <x v="59"/>
  </r>
  <r>
    <x v="115"/>
    <x v="114"/>
    <x v="107"/>
    <x v="9"/>
    <x v="1"/>
    <x v="3"/>
    <x v="0"/>
    <x v="0"/>
    <x v="6"/>
    <x v="4"/>
    <x v="87"/>
    <x v="0"/>
    <x v="9"/>
    <x v="0"/>
    <x v="9"/>
    <x v="37"/>
    <x v="37"/>
  </r>
  <r>
    <x v="116"/>
    <x v="115"/>
    <x v="108"/>
    <x v="14"/>
    <x v="3"/>
    <x v="2"/>
    <x v="0"/>
    <x v="0"/>
    <x v="6"/>
    <x v="7"/>
    <x v="109"/>
    <x v="0"/>
    <x v="14"/>
    <x v="1"/>
    <x v="14"/>
    <x v="65"/>
    <x v="65"/>
  </r>
  <r>
    <x v="117"/>
    <x v="116"/>
    <x v="109"/>
    <x v="8"/>
    <x v="4"/>
    <x v="2"/>
    <x v="0"/>
    <x v="0"/>
    <x v="32"/>
    <x v="8"/>
    <x v="110"/>
    <x v="0"/>
    <x v="8"/>
    <x v="1"/>
    <x v="8"/>
    <x v="68"/>
    <x v="68"/>
  </r>
  <r>
    <x v="118"/>
    <x v="117"/>
    <x v="110"/>
    <x v="4"/>
    <x v="3"/>
    <x v="2"/>
    <x v="2"/>
    <x v="0"/>
    <x v="13"/>
    <x v="0"/>
    <x v="102"/>
    <x v="2"/>
    <x v="4"/>
    <x v="0"/>
    <x v="4"/>
    <x v="7"/>
    <x v="7"/>
  </r>
  <r>
    <x v="119"/>
    <x v="118"/>
    <x v="36"/>
    <x v="3"/>
    <x v="2"/>
    <x v="5"/>
    <x v="0"/>
    <x v="0"/>
    <x v="5"/>
    <x v="9"/>
    <x v="111"/>
    <x v="2"/>
    <x v="3"/>
    <x v="2"/>
    <x v="3"/>
    <x v="69"/>
    <x v="69"/>
  </r>
  <r>
    <x v="120"/>
    <x v="119"/>
    <x v="111"/>
    <x v="4"/>
    <x v="1"/>
    <x v="5"/>
    <x v="0"/>
    <x v="0"/>
    <x v="25"/>
    <x v="9"/>
    <x v="112"/>
    <x v="1"/>
    <x v="4"/>
    <x v="0"/>
    <x v="4"/>
    <x v="70"/>
    <x v="70"/>
  </r>
  <r>
    <x v="121"/>
    <x v="120"/>
    <x v="112"/>
    <x v="2"/>
    <x v="1"/>
    <x v="4"/>
    <x v="2"/>
    <x v="0"/>
    <x v="44"/>
    <x v="5"/>
    <x v="113"/>
    <x v="1"/>
    <x v="2"/>
    <x v="1"/>
    <x v="2"/>
    <x v="34"/>
    <x v="34"/>
  </r>
  <r>
    <x v="122"/>
    <x v="121"/>
    <x v="113"/>
    <x v="14"/>
    <x v="0"/>
    <x v="4"/>
    <x v="0"/>
    <x v="0"/>
    <x v="28"/>
    <x v="4"/>
    <x v="114"/>
    <x v="0"/>
    <x v="14"/>
    <x v="1"/>
    <x v="14"/>
    <x v="71"/>
    <x v="71"/>
  </r>
  <r>
    <x v="123"/>
    <x v="122"/>
    <x v="114"/>
    <x v="9"/>
    <x v="0"/>
    <x v="3"/>
    <x v="3"/>
    <x v="0"/>
    <x v="20"/>
    <x v="2"/>
    <x v="12"/>
    <x v="1"/>
    <x v="9"/>
    <x v="0"/>
    <x v="9"/>
    <x v="72"/>
    <x v="72"/>
  </r>
  <r>
    <x v="124"/>
    <x v="123"/>
    <x v="115"/>
    <x v="14"/>
    <x v="2"/>
    <x v="2"/>
    <x v="2"/>
    <x v="0"/>
    <x v="40"/>
    <x v="1"/>
    <x v="115"/>
    <x v="2"/>
    <x v="14"/>
    <x v="1"/>
    <x v="14"/>
    <x v="73"/>
    <x v="73"/>
  </r>
  <r>
    <x v="125"/>
    <x v="124"/>
    <x v="116"/>
    <x v="1"/>
    <x v="1"/>
    <x v="3"/>
    <x v="2"/>
    <x v="0"/>
    <x v="40"/>
    <x v="2"/>
    <x v="116"/>
    <x v="1"/>
    <x v="1"/>
    <x v="0"/>
    <x v="1"/>
    <x v="54"/>
    <x v="54"/>
  </r>
  <r>
    <x v="126"/>
    <x v="125"/>
    <x v="117"/>
    <x v="13"/>
    <x v="1"/>
    <x v="2"/>
    <x v="0"/>
    <x v="0"/>
    <x v="32"/>
    <x v="5"/>
    <x v="117"/>
    <x v="0"/>
    <x v="13"/>
    <x v="1"/>
    <x v="13"/>
    <x v="74"/>
    <x v="74"/>
  </r>
  <r>
    <x v="127"/>
    <x v="126"/>
    <x v="118"/>
    <x v="3"/>
    <x v="1"/>
    <x v="4"/>
    <x v="0"/>
    <x v="0"/>
    <x v="45"/>
    <x v="2"/>
    <x v="118"/>
    <x v="0"/>
    <x v="3"/>
    <x v="2"/>
    <x v="3"/>
    <x v="75"/>
    <x v="75"/>
  </r>
  <r>
    <x v="128"/>
    <x v="127"/>
    <x v="119"/>
    <x v="14"/>
    <x v="1"/>
    <x v="3"/>
    <x v="1"/>
    <x v="0"/>
    <x v="8"/>
    <x v="9"/>
    <x v="119"/>
    <x v="2"/>
    <x v="14"/>
    <x v="1"/>
    <x v="14"/>
    <x v="48"/>
    <x v="48"/>
  </r>
  <r>
    <x v="129"/>
    <x v="128"/>
    <x v="120"/>
    <x v="4"/>
    <x v="1"/>
    <x v="3"/>
    <x v="0"/>
    <x v="0"/>
    <x v="28"/>
    <x v="2"/>
    <x v="120"/>
    <x v="1"/>
    <x v="4"/>
    <x v="0"/>
    <x v="4"/>
    <x v="45"/>
    <x v="45"/>
  </r>
  <r>
    <x v="130"/>
    <x v="129"/>
    <x v="121"/>
    <x v="6"/>
    <x v="2"/>
    <x v="0"/>
    <x v="0"/>
    <x v="0"/>
    <x v="11"/>
    <x v="6"/>
    <x v="121"/>
    <x v="0"/>
    <x v="6"/>
    <x v="0"/>
    <x v="6"/>
    <x v="52"/>
    <x v="52"/>
  </r>
  <r>
    <x v="131"/>
    <x v="130"/>
    <x v="122"/>
    <x v="6"/>
    <x v="1"/>
    <x v="2"/>
    <x v="2"/>
    <x v="0"/>
    <x v="11"/>
    <x v="7"/>
    <x v="122"/>
    <x v="1"/>
    <x v="6"/>
    <x v="0"/>
    <x v="6"/>
    <x v="13"/>
    <x v="13"/>
  </r>
  <r>
    <x v="132"/>
    <x v="131"/>
    <x v="123"/>
    <x v="6"/>
    <x v="2"/>
    <x v="4"/>
    <x v="2"/>
    <x v="0"/>
    <x v="13"/>
    <x v="0"/>
    <x v="70"/>
    <x v="1"/>
    <x v="6"/>
    <x v="0"/>
    <x v="6"/>
    <x v="76"/>
    <x v="76"/>
  </r>
  <r>
    <x v="133"/>
    <x v="132"/>
    <x v="124"/>
    <x v="16"/>
    <x v="2"/>
    <x v="2"/>
    <x v="0"/>
    <x v="0"/>
    <x v="6"/>
    <x v="6"/>
    <x v="123"/>
    <x v="1"/>
    <x v="16"/>
    <x v="1"/>
    <x v="16"/>
    <x v="42"/>
    <x v="42"/>
  </r>
  <r>
    <x v="134"/>
    <x v="133"/>
    <x v="125"/>
    <x v="6"/>
    <x v="3"/>
    <x v="3"/>
    <x v="2"/>
    <x v="0"/>
    <x v="46"/>
    <x v="7"/>
    <x v="124"/>
    <x v="1"/>
    <x v="6"/>
    <x v="0"/>
    <x v="6"/>
    <x v="77"/>
    <x v="77"/>
  </r>
  <r>
    <x v="135"/>
    <x v="134"/>
    <x v="126"/>
    <x v="14"/>
    <x v="1"/>
    <x v="2"/>
    <x v="0"/>
    <x v="0"/>
    <x v="46"/>
    <x v="4"/>
    <x v="125"/>
    <x v="0"/>
    <x v="14"/>
    <x v="1"/>
    <x v="14"/>
    <x v="78"/>
    <x v="78"/>
  </r>
  <r>
    <x v="136"/>
    <x v="135"/>
    <x v="127"/>
    <x v="5"/>
    <x v="0"/>
    <x v="3"/>
    <x v="2"/>
    <x v="0"/>
    <x v="41"/>
    <x v="4"/>
    <x v="64"/>
    <x v="0"/>
    <x v="5"/>
    <x v="2"/>
    <x v="5"/>
    <x v="79"/>
    <x v="79"/>
  </r>
  <r>
    <x v="137"/>
    <x v="136"/>
    <x v="128"/>
    <x v="4"/>
    <x v="1"/>
    <x v="1"/>
    <x v="1"/>
    <x v="0"/>
    <x v="6"/>
    <x v="2"/>
    <x v="126"/>
    <x v="0"/>
    <x v="4"/>
    <x v="0"/>
    <x v="4"/>
    <x v="13"/>
    <x v="13"/>
  </r>
  <r>
    <x v="138"/>
    <x v="137"/>
    <x v="129"/>
    <x v="12"/>
    <x v="2"/>
    <x v="3"/>
    <x v="0"/>
    <x v="0"/>
    <x v="18"/>
    <x v="4"/>
    <x v="127"/>
    <x v="1"/>
    <x v="12"/>
    <x v="4"/>
    <x v="12"/>
    <x v="21"/>
    <x v="21"/>
  </r>
  <r>
    <x v="139"/>
    <x v="138"/>
    <x v="130"/>
    <x v="12"/>
    <x v="1"/>
    <x v="0"/>
    <x v="2"/>
    <x v="0"/>
    <x v="6"/>
    <x v="2"/>
    <x v="128"/>
    <x v="2"/>
    <x v="12"/>
    <x v="4"/>
    <x v="12"/>
    <x v="2"/>
    <x v="2"/>
  </r>
  <r>
    <x v="140"/>
    <x v="139"/>
    <x v="131"/>
    <x v="19"/>
    <x v="2"/>
    <x v="0"/>
    <x v="0"/>
    <x v="0"/>
    <x v="25"/>
    <x v="4"/>
    <x v="129"/>
    <x v="0"/>
    <x v="19"/>
    <x v="1"/>
    <x v="19"/>
    <x v="1"/>
    <x v="1"/>
  </r>
  <r>
    <x v="141"/>
    <x v="140"/>
    <x v="132"/>
    <x v="4"/>
    <x v="2"/>
    <x v="5"/>
    <x v="2"/>
    <x v="0"/>
    <x v="15"/>
    <x v="7"/>
    <x v="130"/>
    <x v="0"/>
    <x v="4"/>
    <x v="0"/>
    <x v="4"/>
    <x v="59"/>
    <x v="59"/>
  </r>
  <r>
    <x v="142"/>
    <x v="140"/>
    <x v="133"/>
    <x v="17"/>
    <x v="0"/>
    <x v="2"/>
    <x v="3"/>
    <x v="0"/>
    <x v="15"/>
    <x v="7"/>
    <x v="130"/>
    <x v="0"/>
    <x v="17"/>
    <x v="4"/>
    <x v="17"/>
    <x v="80"/>
    <x v="80"/>
  </r>
  <r>
    <x v="143"/>
    <x v="141"/>
    <x v="134"/>
    <x v="12"/>
    <x v="0"/>
    <x v="2"/>
    <x v="1"/>
    <x v="0"/>
    <x v="13"/>
    <x v="5"/>
    <x v="131"/>
    <x v="1"/>
    <x v="12"/>
    <x v="4"/>
    <x v="12"/>
    <x v="81"/>
    <x v="81"/>
  </r>
  <r>
    <x v="144"/>
    <x v="142"/>
    <x v="135"/>
    <x v="10"/>
    <x v="3"/>
    <x v="0"/>
    <x v="1"/>
    <x v="0"/>
    <x v="40"/>
    <x v="2"/>
    <x v="132"/>
    <x v="1"/>
    <x v="10"/>
    <x v="3"/>
    <x v="10"/>
    <x v="39"/>
    <x v="39"/>
  </r>
  <r>
    <x v="145"/>
    <x v="143"/>
    <x v="136"/>
    <x v="17"/>
    <x v="2"/>
    <x v="4"/>
    <x v="2"/>
    <x v="0"/>
    <x v="21"/>
    <x v="5"/>
    <x v="133"/>
    <x v="0"/>
    <x v="17"/>
    <x v="4"/>
    <x v="17"/>
    <x v="82"/>
    <x v="82"/>
  </r>
  <r>
    <x v="146"/>
    <x v="144"/>
    <x v="137"/>
    <x v="1"/>
    <x v="1"/>
    <x v="3"/>
    <x v="2"/>
    <x v="0"/>
    <x v="44"/>
    <x v="2"/>
    <x v="22"/>
    <x v="0"/>
    <x v="1"/>
    <x v="0"/>
    <x v="1"/>
    <x v="54"/>
    <x v="54"/>
  </r>
  <r>
    <x v="147"/>
    <x v="145"/>
    <x v="138"/>
    <x v="11"/>
    <x v="0"/>
    <x v="3"/>
    <x v="0"/>
    <x v="0"/>
    <x v="14"/>
    <x v="3"/>
    <x v="134"/>
    <x v="0"/>
    <x v="11"/>
    <x v="1"/>
    <x v="11"/>
    <x v="83"/>
    <x v="83"/>
  </r>
  <r>
    <x v="148"/>
    <x v="146"/>
    <x v="139"/>
    <x v="3"/>
    <x v="1"/>
    <x v="2"/>
    <x v="1"/>
    <x v="0"/>
    <x v="18"/>
    <x v="5"/>
    <x v="135"/>
    <x v="0"/>
    <x v="3"/>
    <x v="2"/>
    <x v="3"/>
    <x v="84"/>
    <x v="84"/>
  </r>
  <r>
    <x v="149"/>
    <x v="147"/>
    <x v="140"/>
    <x v="16"/>
    <x v="1"/>
    <x v="2"/>
    <x v="2"/>
    <x v="0"/>
    <x v="45"/>
    <x v="5"/>
    <x v="136"/>
    <x v="1"/>
    <x v="16"/>
    <x v="1"/>
    <x v="16"/>
    <x v="58"/>
    <x v="58"/>
  </r>
  <r>
    <x v="150"/>
    <x v="148"/>
    <x v="141"/>
    <x v="14"/>
    <x v="1"/>
    <x v="5"/>
    <x v="1"/>
    <x v="0"/>
    <x v="43"/>
    <x v="7"/>
    <x v="137"/>
    <x v="1"/>
    <x v="14"/>
    <x v="1"/>
    <x v="14"/>
    <x v="26"/>
    <x v="26"/>
  </r>
  <r>
    <x v="151"/>
    <x v="149"/>
    <x v="142"/>
    <x v="0"/>
    <x v="2"/>
    <x v="3"/>
    <x v="1"/>
    <x v="1"/>
    <x v="23"/>
    <x v="9"/>
    <x v="138"/>
    <x v="0"/>
    <x v="0"/>
    <x v="0"/>
    <x v="0"/>
    <x v="10"/>
    <x v="10"/>
  </r>
  <r>
    <x v="152"/>
    <x v="150"/>
    <x v="143"/>
    <x v="1"/>
    <x v="1"/>
    <x v="0"/>
    <x v="0"/>
    <x v="0"/>
    <x v="39"/>
    <x v="3"/>
    <x v="139"/>
    <x v="0"/>
    <x v="1"/>
    <x v="0"/>
    <x v="1"/>
    <x v="1"/>
    <x v="1"/>
  </r>
  <r>
    <x v="153"/>
    <x v="151"/>
    <x v="144"/>
    <x v="1"/>
    <x v="1"/>
    <x v="5"/>
    <x v="0"/>
    <x v="0"/>
    <x v="42"/>
    <x v="2"/>
    <x v="140"/>
    <x v="1"/>
    <x v="1"/>
    <x v="0"/>
    <x v="1"/>
    <x v="85"/>
    <x v="85"/>
  </r>
  <r>
    <x v="154"/>
    <x v="152"/>
    <x v="145"/>
    <x v="17"/>
    <x v="2"/>
    <x v="4"/>
    <x v="2"/>
    <x v="0"/>
    <x v="6"/>
    <x v="2"/>
    <x v="141"/>
    <x v="1"/>
    <x v="17"/>
    <x v="4"/>
    <x v="17"/>
    <x v="82"/>
    <x v="82"/>
  </r>
  <r>
    <x v="155"/>
    <x v="153"/>
    <x v="146"/>
    <x v="0"/>
    <x v="2"/>
    <x v="3"/>
    <x v="0"/>
    <x v="0"/>
    <x v="1"/>
    <x v="1"/>
    <x v="142"/>
    <x v="0"/>
    <x v="0"/>
    <x v="0"/>
    <x v="0"/>
    <x v="10"/>
    <x v="10"/>
  </r>
  <r>
    <x v="156"/>
    <x v="154"/>
    <x v="147"/>
    <x v="14"/>
    <x v="3"/>
    <x v="2"/>
    <x v="3"/>
    <x v="0"/>
    <x v="33"/>
    <x v="2"/>
    <x v="143"/>
    <x v="0"/>
    <x v="14"/>
    <x v="1"/>
    <x v="14"/>
    <x v="65"/>
    <x v="65"/>
  </r>
  <r>
    <x v="157"/>
    <x v="155"/>
    <x v="148"/>
    <x v="19"/>
    <x v="1"/>
    <x v="0"/>
    <x v="3"/>
    <x v="0"/>
    <x v="23"/>
    <x v="6"/>
    <x v="144"/>
    <x v="2"/>
    <x v="19"/>
    <x v="1"/>
    <x v="19"/>
    <x v="39"/>
    <x v="39"/>
  </r>
  <r>
    <x v="158"/>
    <x v="156"/>
    <x v="149"/>
    <x v="1"/>
    <x v="1"/>
    <x v="1"/>
    <x v="0"/>
    <x v="0"/>
    <x v="20"/>
    <x v="2"/>
    <x v="145"/>
    <x v="0"/>
    <x v="1"/>
    <x v="0"/>
    <x v="1"/>
    <x v="12"/>
    <x v="12"/>
  </r>
  <r>
    <x v="159"/>
    <x v="157"/>
    <x v="150"/>
    <x v="11"/>
    <x v="1"/>
    <x v="2"/>
    <x v="2"/>
    <x v="0"/>
    <x v="43"/>
    <x v="8"/>
    <x v="146"/>
    <x v="1"/>
    <x v="11"/>
    <x v="1"/>
    <x v="11"/>
    <x v="86"/>
    <x v="86"/>
  </r>
  <r>
    <x v="160"/>
    <x v="158"/>
    <x v="151"/>
    <x v="7"/>
    <x v="2"/>
    <x v="3"/>
    <x v="0"/>
    <x v="0"/>
    <x v="16"/>
    <x v="5"/>
    <x v="89"/>
    <x v="0"/>
    <x v="7"/>
    <x v="1"/>
    <x v="7"/>
    <x v="28"/>
    <x v="28"/>
  </r>
  <r>
    <x v="161"/>
    <x v="159"/>
    <x v="152"/>
    <x v="0"/>
    <x v="1"/>
    <x v="1"/>
    <x v="2"/>
    <x v="0"/>
    <x v="37"/>
    <x v="4"/>
    <x v="147"/>
    <x v="0"/>
    <x v="0"/>
    <x v="0"/>
    <x v="0"/>
    <x v="16"/>
    <x v="16"/>
  </r>
  <r>
    <x v="162"/>
    <x v="160"/>
    <x v="153"/>
    <x v="14"/>
    <x v="3"/>
    <x v="2"/>
    <x v="0"/>
    <x v="0"/>
    <x v="6"/>
    <x v="6"/>
    <x v="85"/>
    <x v="1"/>
    <x v="14"/>
    <x v="1"/>
    <x v="14"/>
    <x v="65"/>
    <x v="65"/>
  </r>
  <r>
    <x v="163"/>
    <x v="161"/>
    <x v="154"/>
    <x v="7"/>
    <x v="2"/>
    <x v="2"/>
    <x v="3"/>
    <x v="2"/>
    <x v="21"/>
    <x v="2"/>
    <x v="148"/>
    <x v="1"/>
    <x v="7"/>
    <x v="1"/>
    <x v="7"/>
    <x v="87"/>
    <x v="87"/>
  </r>
  <r>
    <x v="164"/>
    <x v="162"/>
    <x v="155"/>
    <x v="4"/>
    <x v="4"/>
    <x v="2"/>
    <x v="0"/>
    <x v="0"/>
    <x v="34"/>
    <x v="0"/>
    <x v="149"/>
    <x v="0"/>
    <x v="4"/>
    <x v="0"/>
    <x v="4"/>
    <x v="87"/>
    <x v="87"/>
  </r>
  <r>
    <x v="165"/>
    <x v="163"/>
    <x v="156"/>
    <x v="0"/>
    <x v="1"/>
    <x v="2"/>
    <x v="1"/>
    <x v="0"/>
    <x v="16"/>
    <x v="3"/>
    <x v="150"/>
    <x v="1"/>
    <x v="0"/>
    <x v="0"/>
    <x v="0"/>
    <x v="43"/>
    <x v="43"/>
  </r>
  <r>
    <x v="166"/>
    <x v="164"/>
    <x v="157"/>
    <x v="4"/>
    <x v="1"/>
    <x v="0"/>
    <x v="3"/>
    <x v="0"/>
    <x v="22"/>
    <x v="2"/>
    <x v="151"/>
    <x v="0"/>
    <x v="4"/>
    <x v="0"/>
    <x v="4"/>
    <x v="45"/>
    <x v="45"/>
  </r>
  <r>
    <x v="167"/>
    <x v="165"/>
    <x v="158"/>
    <x v="5"/>
    <x v="2"/>
    <x v="2"/>
    <x v="2"/>
    <x v="0"/>
    <x v="13"/>
    <x v="2"/>
    <x v="152"/>
    <x v="1"/>
    <x v="5"/>
    <x v="2"/>
    <x v="5"/>
    <x v="26"/>
    <x v="26"/>
  </r>
  <r>
    <x v="168"/>
    <x v="166"/>
    <x v="125"/>
    <x v="8"/>
    <x v="1"/>
    <x v="3"/>
    <x v="0"/>
    <x v="0"/>
    <x v="9"/>
    <x v="6"/>
    <x v="153"/>
    <x v="2"/>
    <x v="8"/>
    <x v="1"/>
    <x v="8"/>
    <x v="10"/>
    <x v="10"/>
  </r>
  <r>
    <x v="169"/>
    <x v="167"/>
    <x v="159"/>
    <x v="4"/>
    <x v="1"/>
    <x v="5"/>
    <x v="0"/>
    <x v="2"/>
    <x v="47"/>
    <x v="2"/>
    <x v="154"/>
    <x v="1"/>
    <x v="4"/>
    <x v="0"/>
    <x v="4"/>
    <x v="70"/>
    <x v="70"/>
  </r>
  <r>
    <x v="170"/>
    <x v="168"/>
    <x v="160"/>
    <x v="19"/>
    <x v="1"/>
    <x v="0"/>
    <x v="0"/>
    <x v="0"/>
    <x v="6"/>
    <x v="2"/>
    <x v="155"/>
    <x v="1"/>
    <x v="19"/>
    <x v="1"/>
    <x v="19"/>
    <x v="39"/>
    <x v="39"/>
  </r>
  <r>
    <x v="171"/>
    <x v="169"/>
    <x v="161"/>
    <x v="9"/>
    <x v="0"/>
    <x v="2"/>
    <x v="0"/>
    <x v="0"/>
    <x v="29"/>
    <x v="7"/>
    <x v="156"/>
    <x v="0"/>
    <x v="9"/>
    <x v="0"/>
    <x v="9"/>
    <x v="88"/>
    <x v="88"/>
  </r>
  <r>
    <x v="172"/>
    <x v="170"/>
    <x v="39"/>
    <x v="6"/>
    <x v="1"/>
    <x v="3"/>
    <x v="3"/>
    <x v="0"/>
    <x v="44"/>
    <x v="2"/>
    <x v="142"/>
    <x v="0"/>
    <x v="6"/>
    <x v="0"/>
    <x v="6"/>
    <x v="6"/>
    <x v="6"/>
  </r>
  <r>
    <x v="173"/>
    <x v="171"/>
    <x v="162"/>
    <x v="2"/>
    <x v="2"/>
    <x v="0"/>
    <x v="2"/>
    <x v="0"/>
    <x v="17"/>
    <x v="6"/>
    <x v="157"/>
    <x v="1"/>
    <x v="2"/>
    <x v="1"/>
    <x v="2"/>
    <x v="88"/>
    <x v="88"/>
  </r>
  <r>
    <x v="174"/>
    <x v="172"/>
    <x v="163"/>
    <x v="10"/>
    <x v="1"/>
    <x v="5"/>
    <x v="1"/>
    <x v="0"/>
    <x v="6"/>
    <x v="4"/>
    <x v="135"/>
    <x v="0"/>
    <x v="10"/>
    <x v="3"/>
    <x v="10"/>
    <x v="20"/>
    <x v="20"/>
  </r>
  <r>
    <x v="175"/>
    <x v="173"/>
    <x v="164"/>
    <x v="4"/>
    <x v="1"/>
    <x v="2"/>
    <x v="0"/>
    <x v="0"/>
    <x v="11"/>
    <x v="0"/>
    <x v="158"/>
    <x v="0"/>
    <x v="4"/>
    <x v="0"/>
    <x v="4"/>
    <x v="15"/>
    <x v="15"/>
  </r>
  <r>
    <x v="176"/>
    <x v="174"/>
    <x v="165"/>
    <x v="1"/>
    <x v="1"/>
    <x v="3"/>
    <x v="2"/>
    <x v="0"/>
    <x v="26"/>
    <x v="4"/>
    <x v="159"/>
    <x v="1"/>
    <x v="1"/>
    <x v="0"/>
    <x v="1"/>
    <x v="54"/>
    <x v="54"/>
  </r>
  <r>
    <x v="177"/>
    <x v="175"/>
    <x v="166"/>
    <x v="12"/>
    <x v="2"/>
    <x v="2"/>
    <x v="0"/>
    <x v="0"/>
    <x v="27"/>
    <x v="3"/>
    <x v="160"/>
    <x v="0"/>
    <x v="12"/>
    <x v="4"/>
    <x v="12"/>
    <x v="38"/>
    <x v="38"/>
  </r>
  <r>
    <x v="178"/>
    <x v="176"/>
    <x v="167"/>
    <x v="0"/>
    <x v="1"/>
    <x v="0"/>
    <x v="3"/>
    <x v="0"/>
    <x v="41"/>
    <x v="0"/>
    <x v="161"/>
    <x v="0"/>
    <x v="0"/>
    <x v="0"/>
    <x v="0"/>
    <x v="55"/>
    <x v="55"/>
  </r>
  <r>
    <x v="179"/>
    <x v="177"/>
    <x v="168"/>
    <x v="19"/>
    <x v="1"/>
    <x v="3"/>
    <x v="0"/>
    <x v="0"/>
    <x v="42"/>
    <x v="6"/>
    <x v="162"/>
    <x v="0"/>
    <x v="19"/>
    <x v="1"/>
    <x v="19"/>
    <x v="52"/>
    <x v="52"/>
  </r>
  <r>
    <x v="180"/>
    <x v="178"/>
    <x v="89"/>
    <x v="6"/>
    <x v="3"/>
    <x v="3"/>
    <x v="0"/>
    <x v="0"/>
    <x v="8"/>
    <x v="2"/>
    <x v="98"/>
    <x v="1"/>
    <x v="6"/>
    <x v="0"/>
    <x v="6"/>
    <x v="77"/>
    <x v="77"/>
  </r>
  <r>
    <x v="181"/>
    <x v="179"/>
    <x v="169"/>
    <x v="10"/>
    <x v="1"/>
    <x v="2"/>
    <x v="0"/>
    <x v="0"/>
    <x v="25"/>
    <x v="1"/>
    <x v="163"/>
    <x v="1"/>
    <x v="10"/>
    <x v="3"/>
    <x v="10"/>
    <x v="16"/>
    <x v="16"/>
  </r>
  <r>
    <x v="182"/>
    <x v="180"/>
    <x v="118"/>
    <x v="14"/>
    <x v="1"/>
    <x v="2"/>
    <x v="0"/>
    <x v="0"/>
    <x v="36"/>
    <x v="2"/>
    <x v="164"/>
    <x v="0"/>
    <x v="14"/>
    <x v="1"/>
    <x v="14"/>
    <x v="78"/>
    <x v="78"/>
  </r>
  <r>
    <x v="183"/>
    <x v="181"/>
    <x v="135"/>
    <x v="0"/>
    <x v="3"/>
    <x v="1"/>
    <x v="0"/>
    <x v="0"/>
    <x v="6"/>
    <x v="5"/>
    <x v="165"/>
    <x v="0"/>
    <x v="0"/>
    <x v="0"/>
    <x v="0"/>
    <x v="18"/>
    <x v="18"/>
  </r>
  <r>
    <x v="184"/>
    <x v="182"/>
    <x v="170"/>
    <x v="2"/>
    <x v="1"/>
    <x v="3"/>
    <x v="3"/>
    <x v="0"/>
    <x v="6"/>
    <x v="6"/>
    <x v="166"/>
    <x v="0"/>
    <x v="2"/>
    <x v="1"/>
    <x v="2"/>
    <x v="36"/>
    <x v="36"/>
  </r>
  <r>
    <x v="185"/>
    <x v="183"/>
    <x v="171"/>
    <x v="1"/>
    <x v="2"/>
    <x v="5"/>
    <x v="0"/>
    <x v="0"/>
    <x v="3"/>
    <x v="7"/>
    <x v="126"/>
    <x v="0"/>
    <x v="1"/>
    <x v="0"/>
    <x v="1"/>
    <x v="48"/>
    <x v="48"/>
  </r>
  <r>
    <x v="186"/>
    <x v="184"/>
    <x v="172"/>
    <x v="7"/>
    <x v="1"/>
    <x v="0"/>
    <x v="1"/>
    <x v="0"/>
    <x v="11"/>
    <x v="2"/>
    <x v="167"/>
    <x v="2"/>
    <x v="7"/>
    <x v="1"/>
    <x v="7"/>
    <x v="0"/>
    <x v="0"/>
  </r>
  <r>
    <x v="187"/>
    <x v="185"/>
    <x v="173"/>
    <x v="3"/>
    <x v="2"/>
    <x v="2"/>
    <x v="3"/>
    <x v="0"/>
    <x v="15"/>
    <x v="7"/>
    <x v="70"/>
    <x v="1"/>
    <x v="3"/>
    <x v="2"/>
    <x v="3"/>
    <x v="89"/>
    <x v="89"/>
  </r>
  <r>
    <x v="188"/>
    <x v="186"/>
    <x v="174"/>
    <x v="18"/>
    <x v="1"/>
    <x v="0"/>
    <x v="1"/>
    <x v="0"/>
    <x v="42"/>
    <x v="7"/>
    <x v="168"/>
    <x v="0"/>
    <x v="18"/>
    <x v="1"/>
    <x v="18"/>
    <x v="90"/>
    <x v="90"/>
  </r>
  <r>
    <x v="189"/>
    <x v="187"/>
    <x v="175"/>
    <x v="4"/>
    <x v="1"/>
    <x v="3"/>
    <x v="0"/>
    <x v="0"/>
    <x v="14"/>
    <x v="6"/>
    <x v="169"/>
    <x v="1"/>
    <x v="4"/>
    <x v="0"/>
    <x v="4"/>
    <x v="45"/>
    <x v="45"/>
  </r>
  <r>
    <x v="190"/>
    <x v="188"/>
    <x v="176"/>
    <x v="10"/>
    <x v="2"/>
    <x v="3"/>
    <x v="2"/>
    <x v="0"/>
    <x v="47"/>
    <x v="2"/>
    <x v="170"/>
    <x v="0"/>
    <x v="10"/>
    <x v="3"/>
    <x v="10"/>
    <x v="45"/>
    <x v="45"/>
  </r>
  <r>
    <x v="191"/>
    <x v="189"/>
    <x v="56"/>
    <x v="9"/>
    <x v="1"/>
    <x v="3"/>
    <x v="2"/>
    <x v="0"/>
    <x v="32"/>
    <x v="2"/>
    <x v="171"/>
    <x v="1"/>
    <x v="9"/>
    <x v="0"/>
    <x v="9"/>
    <x v="37"/>
    <x v="37"/>
  </r>
  <r>
    <x v="192"/>
    <x v="190"/>
    <x v="163"/>
    <x v="4"/>
    <x v="1"/>
    <x v="3"/>
    <x v="0"/>
    <x v="0"/>
    <x v="11"/>
    <x v="2"/>
    <x v="172"/>
    <x v="0"/>
    <x v="4"/>
    <x v="0"/>
    <x v="4"/>
    <x v="45"/>
    <x v="45"/>
  </r>
  <r>
    <x v="193"/>
    <x v="191"/>
    <x v="177"/>
    <x v="4"/>
    <x v="2"/>
    <x v="0"/>
    <x v="2"/>
    <x v="1"/>
    <x v="12"/>
    <x v="3"/>
    <x v="173"/>
    <x v="0"/>
    <x v="4"/>
    <x v="0"/>
    <x v="4"/>
    <x v="63"/>
    <x v="63"/>
  </r>
  <r>
    <x v="194"/>
    <x v="192"/>
    <x v="178"/>
    <x v="5"/>
    <x v="1"/>
    <x v="3"/>
    <x v="0"/>
    <x v="0"/>
    <x v="24"/>
    <x v="2"/>
    <x v="31"/>
    <x v="0"/>
    <x v="5"/>
    <x v="2"/>
    <x v="5"/>
    <x v="91"/>
    <x v="91"/>
  </r>
  <r>
    <x v="195"/>
    <x v="193"/>
    <x v="179"/>
    <x v="5"/>
    <x v="2"/>
    <x v="2"/>
    <x v="0"/>
    <x v="0"/>
    <x v="26"/>
    <x v="5"/>
    <x v="174"/>
    <x v="1"/>
    <x v="5"/>
    <x v="2"/>
    <x v="5"/>
    <x v="26"/>
    <x v="26"/>
  </r>
  <r>
    <x v="196"/>
    <x v="194"/>
    <x v="173"/>
    <x v="4"/>
    <x v="2"/>
    <x v="0"/>
    <x v="2"/>
    <x v="0"/>
    <x v="25"/>
    <x v="7"/>
    <x v="175"/>
    <x v="2"/>
    <x v="4"/>
    <x v="0"/>
    <x v="4"/>
    <x v="63"/>
    <x v="63"/>
  </r>
  <r>
    <x v="197"/>
    <x v="195"/>
    <x v="149"/>
    <x v="8"/>
    <x v="3"/>
    <x v="2"/>
    <x v="0"/>
    <x v="0"/>
    <x v="27"/>
    <x v="5"/>
    <x v="176"/>
    <x v="1"/>
    <x v="8"/>
    <x v="1"/>
    <x v="8"/>
    <x v="41"/>
    <x v="41"/>
  </r>
  <r>
    <x v="198"/>
    <x v="196"/>
    <x v="180"/>
    <x v="17"/>
    <x v="2"/>
    <x v="2"/>
    <x v="0"/>
    <x v="2"/>
    <x v="24"/>
    <x v="4"/>
    <x v="177"/>
    <x v="1"/>
    <x v="17"/>
    <x v="4"/>
    <x v="17"/>
    <x v="92"/>
    <x v="92"/>
  </r>
  <r>
    <x v="199"/>
    <x v="197"/>
    <x v="181"/>
    <x v="4"/>
    <x v="1"/>
    <x v="2"/>
    <x v="3"/>
    <x v="0"/>
    <x v="12"/>
    <x v="2"/>
    <x v="178"/>
    <x v="1"/>
    <x v="4"/>
    <x v="0"/>
    <x v="4"/>
    <x v="15"/>
    <x v="15"/>
  </r>
  <r>
    <x v="200"/>
    <x v="198"/>
    <x v="182"/>
    <x v="10"/>
    <x v="1"/>
    <x v="5"/>
    <x v="0"/>
    <x v="0"/>
    <x v="13"/>
    <x v="1"/>
    <x v="132"/>
    <x v="1"/>
    <x v="10"/>
    <x v="3"/>
    <x v="10"/>
    <x v="20"/>
    <x v="20"/>
  </r>
  <r>
    <x v="201"/>
    <x v="199"/>
    <x v="183"/>
    <x v="0"/>
    <x v="1"/>
    <x v="2"/>
    <x v="2"/>
    <x v="0"/>
    <x v="36"/>
    <x v="3"/>
    <x v="179"/>
    <x v="2"/>
    <x v="0"/>
    <x v="0"/>
    <x v="0"/>
    <x v="43"/>
    <x v="43"/>
  </r>
  <r>
    <x v="202"/>
    <x v="200"/>
    <x v="184"/>
    <x v="15"/>
    <x v="2"/>
    <x v="2"/>
    <x v="2"/>
    <x v="0"/>
    <x v="37"/>
    <x v="0"/>
    <x v="72"/>
    <x v="0"/>
    <x v="15"/>
    <x v="5"/>
    <x v="15"/>
    <x v="93"/>
    <x v="93"/>
  </r>
  <r>
    <x v="203"/>
    <x v="201"/>
    <x v="45"/>
    <x v="16"/>
    <x v="1"/>
    <x v="3"/>
    <x v="0"/>
    <x v="0"/>
    <x v="14"/>
    <x v="6"/>
    <x v="74"/>
    <x v="0"/>
    <x v="16"/>
    <x v="1"/>
    <x v="16"/>
    <x v="56"/>
    <x v="56"/>
  </r>
  <r>
    <x v="204"/>
    <x v="202"/>
    <x v="185"/>
    <x v="1"/>
    <x v="3"/>
    <x v="3"/>
    <x v="1"/>
    <x v="0"/>
    <x v="36"/>
    <x v="2"/>
    <x v="180"/>
    <x v="1"/>
    <x v="1"/>
    <x v="0"/>
    <x v="1"/>
    <x v="49"/>
    <x v="49"/>
  </r>
  <r>
    <x v="205"/>
    <x v="203"/>
    <x v="186"/>
    <x v="11"/>
    <x v="1"/>
    <x v="5"/>
    <x v="3"/>
    <x v="0"/>
    <x v="3"/>
    <x v="5"/>
    <x v="181"/>
    <x v="0"/>
    <x v="11"/>
    <x v="1"/>
    <x v="11"/>
    <x v="94"/>
    <x v="94"/>
  </r>
  <r>
    <x v="206"/>
    <x v="204"/>
    <x v="187"/>
    <x v="17"/>
    <x v="1"/>
    <x v="2"/>
    <x v="1"/>
    <x v="0"/>
    <x v="5"/>
    <x v="2"/>
    <x v="182"/>
    <x v="0"/>
    <x v="17"/>
    <x v="4"/>
    <x v="17"/>
    <x v="49"/>
    <x v="49"/>
  </r>
  <r>
    <x v="207"/>
    <x v="205"/>
    <x v="188"/>
    <x v="1"/>
    <x v="2"/>
    <x v="2"/>
    <x v="0"/>
    <x v="0"/>
    <x v="30"/>
    <x v="2"/>
    <x v="183"/>
    <x v="1"/>
    <x v="1"/>
    <x v="0"/>
    <x v="1"/>
    <x v="61"/>
    <x v="61"/>
  </r>
  <r>
    <x v="208"/>
    <x v="206"/>
    <x v="66"/>
    <x v="4"/>
    <x v="1"/>
    <x v="0"/>
    <x v="0"/>
    <x v="0"/>
    <x v="3"/>
    <x v="2"/>
    <x v="184"/>
    <x v="1"/>
    <x v="4"/>
    <x v="0"/>
    <x v="4"/>
    <x v="45"/>
    <x v="45"/>
  </r>
  <r>
    <x v="209"/>
    <x v="207"/>
    <x v="40"/>
    <x v="4"/>
    <x v="1"/>
    <x v="0"/>
    <x v="0"/>
    <x v="0"/>
    <x v="16"/>
    <x v="2"/>
    <x v="155"/>
    <x v="0"/>
    <x v="4"/>
    <x v="0"/>
    <x v="4"/>
    <x v="45"/>
    <x v="45"/>
  </r>
  <r>
    <x v="210"/>
    <x v="208"/>
    <x v="189"/>
    <x v="1"/>
    <x v="1"/>
    <x v="0"/>
    <x v="0"/>
    <x v="0"/>
    <x v="14"/>
    <x v="0"/>
    <x v="185"/>
    <x v="0"/>
    <x v="1"/>
    <x v="0"/>
    <x v="1"/>
    <x v="1"/>
    <x v="1"/>
  </r>
  <r>
    <x v="211"/>
    <x v="209"/>
    <x v="190"/>
    <x v="4"/>
    <x v="1"/>
    <x v="0"/>
    <x v="1"/>
    <x v="0"/>
    <x v="18"/>
    <x v="6"/>
    <x v="186"/>
    <x v="2"/>
    <x v="4"/>
    <x v="0"/>
    <x v="4"/>
    <x v="45"/>
    <x v="45"/>
  </r>
  <r>
    <x v="212"/>
    <x v="210"/>
    <x v="191"/>
    <x v="1"/>
    <x v="3"/>
    <x v="0"/>
    <x v="0"/>
    <x v="0"/>
    <x v="32"/>
    <x v="6"/>
    <x v="187"/>
    <x v="1"/>
    <x v="1"/>
    <x v="0"/>
    <x v="1"/>
    <x v="95"/>
    <x v="95"/>
  </r>
  <r>
    <x v="213"/>
    <x v="211"/>
    <x v="192"/>
    <x v="10"/>
    <x v="1"/>
    <x v="3"/>
    <x v="0"/>
    <x v="0"/>
    <x v="19"/>
    <x v="9"/>
    <x v="188"/>
    <x v="2"/>
    <x v="10"/>
    <x v="3"/>
    <x v="10"/>
    <x v="16"/>
    <x v="16"/>
  </r>
  <r>
    <x v="214"/>
    <x v="212"/>
    <x v="193"/>
    <x v="14"/>
    <x v="1"/>
    <x v="5"/>
    <x v="0"/>
    <x v="0"/>
    <x v="10"/>
    <x v="2"/>
    <x v="189"/>
    <x v="0"/>
    <x v="14"/>
    <x v="1"/>
    <x v="14"/>
    <x v="26"/>
    <x v="26"/>
  </r>
  <r>
    <x v="215"/>
    <x v="213"/>
    <x v="145"/>
    <x v="1"/>
    <x v="2"/>
    <x v="2"/>
    <x v="2"/>
    <x v="0"/>
    <x v="6"/>
    <x v="4"/>
    <x v="190"/>
    <x v="0"/>
    <x v="1"/>
    <x v="0"/>
    <x v="1"/>
    <x v="61"/>
    <x v="61"/>
  </r>
  <r>
    <x v="216"/>
    <x v="214"/>
    <x v="194"/>
    <x v="10"/>
    <x v="1"/>
    <x v="5"/>
    <x v="1"/>
    <x v="2"/>
    <x v="14"/>
    <x v="6"/>
    <x v="191"/>
    <x v="0"/>
    <x v="10"/>
    <x v="3"/>
    <x v="10"/>
    <x v="20"/>
    <x v="20"/>
  </r>
  <r>
    <x v="217"/>
    <x v="215"/>
    <x v="195"/>
    <x v="18"/>
    <x v="2"/>
    <x v="5"/>
    <x v="2"/>
    <x v="0"/>
    <x v="0"/>
    <x v="4"/>
    <x v="192"/>
    <x v="1"/>
    <x v="18"/>
    <x v="1"/>
    <x v="18"/>
    <x v="96"/>
    <x v="96"/>
  </r>
  <r>
    <x v="218"/>
    <x v="216"/>
    <x v="196"/>
    <x v="14"/>
    <x v="0"/>
    <x v="5"/>
    <x v="0"/>
    <x v="0"/>
    <x v="32"/>
    <x v="8"/>
    <x v="108"/>
    <x v="0"/>
    <x v="14"/>
    <x v="1"/>
    <x v="14"/>
    <x v="97"/>
    <x v="97"/>
  </r>
  <r>
    <x v="219"/>
    <x v="217"/>
    <x v="197"/>
    <x v="9"/>
    <x v="3"/>
    <x v="5"/>
    <x v="0"/>
    <x v="0"/>
    <x v="43"/>
    <x v="5"/>
    <x v="193"/>
    <x v="2"/>
    <x v="9"/>
    <x v="0"/>
    <x v="9"/>
    <x v="48"/>
    <x v="48"/>
  </r>
  <r>
    <x v="220"/>
    <x v="218"/>
    <x v="198"/>
    <x v="8"/>
    <x v="1"/>
    <x v="2"/>
    <x v="2"/>
    <x v="0"/>
    <x v="46"/>
    <x v="9"/>
    <x v="31"/>
    <x v="1"/>
    <x v="8"/>
    <x v="1"/>
    <x v="8"/>
    <x v="17"/>
    <x v="17"/>
  </r>
  <r>
    <x v="221"/>
    <x v="219"/>
    <x v="199"/>
    <x v="12"/>
    <x v="1"/>
    <x v="0"/>
    <x v="0"/>
    <x v="0"/>
    <x v="35"/>
    <x v="4"/>
    <x v="65"/>
    <x v="0"/>
    <x v="12"/>
    <x v="4"/>
    <x v="12"/>
    <x v="2"/>
    <x v="2"/>
  </r>
  <r>
    <x v="222"/>
    <x v="220"/>
    <x v="200"/>
    <x v="1"/>
    <x v="2"/>
    <x v="0"/>
    <x v="3"/>
    <x v="2"/>
    <x v="20"/>
    <x v="2"/>
    <x v="194"/>
    <x v="0"/>
    <x v="1"/>
    <x v="0"/>
    <x v="1"/>
    <x v="11"/>
    <x v="11"/>
  </r>
  <r>
    <x v="223"/>
    <x v="221"/>
    <x v="201"/>
    <x v="10"/>
    <x v="1"/>
    <x v="5"/>
    <x v="0"/>
    <x v="0"/>
    <x v="22"/>
    <x v="6"/>
    <x v="69"/>
    <x v="0"/>
    <x v="10"/>
    <x v="3"/>
    <x v="10"/>
    <x v="20"/>
    <x v="20"/>
  </r>
  <r>
    <x v="224"/>
    <x v="222"/>
    <x v="202"/>
    <x v="10"/>
    <x v="1"/>
    <x v="2"/>
    <x v="0"/>
    <x v="0"/>
    <x v="46"/>
    <x v="2"/>
    <x v="40"/>
    <x v="1"/>
    <x v="10"/>
    <x v="3"/>
    <x v="10"/>
    <x v="16"/>
    <x v="16"/>
  </r>
  <r>
    <x v="225"/>
    <x v="223"/>
    <x v="203"/>
    <x v="11"/>
    <x v="2"/>
    <x v="3"/>
    <x v="1"/>
    <x v="0"/>
    <x v="30"/>
    <x v="3"/>
    <x v="149"/>
    <x v="1"/>
    <x v="11"/>
    <x v="1"/>
    <x v="11"/>
    <x v="98"/>
    <x v="98"/>
  </r>
  <r>
    <x v="226"/>
    <x v="224"/>
    <x v="204"/>
    <x v="15"/>
    <x v="2"/>
    <x v="2"/>
    <x v="0"/>
    <x v="0"/>
    <x v="40"/>
    <x v="1"/>
    <x v="195"/>
    <x v="0"/>
    <x v="15"/>
    <x v="5"/>
    <x v="15"/>
    <x v="93"/>
    <x v="93"/>
  </r>
  <r>
    <x v="227"/>
    <x v="225"/>
    <x v="205"/>
    <x v="8"/>
    <x v="1"/>
    <x v="5"/>
    <x v="2"/>
    <x v="0"/>
    <x v="38"/>
    <x v="5"/>
    <x v="196"/>
    <x v="1"/>
    <x v="8"/>
    <x v="1"/>
    <x v="8"/>
    <x v="76"/>
    <x v="76"/>
  </r>
  <r>
    <x v="228"/>
    <x v="226"/>
    <x v="206"/>
    <x v="2"/>
    <x v="1"/>
    <x v="3"/>
    <x v="1"/>
    <x v="0"/>
    <x v="16"/>
    <x v="1"/>
    <x v="197"/>
    <x v="1"/>
    <x v="2"/>
    <x v="1"/>
    <x v="2"/>
    <x v="36"/>
    <x v="36"/>
  </r>
  <r>
    <x v="229"/>
    <x v="227"/>
    <x v="76"/>
    <x v="1"/>
    <x v="3"/>
    <x v="2"/>
    <x v="2"/>
    <x v="0"/>
    <x v="29"/>
    <x v="6"/>
    <x v="198"/>
    <x v="0"/>
    <x v="1"/>
    <x v="0"/>
    <x v="1"/>
    <x v="75"/>
    <x v="75"/>
  </r>
  <r>
    <x v="230"/>
    <x v="228"/>
    <x v="207"/>
    <x v="9"/>
    <x v="2"/>
    <x v="0"/>
    <x v="2"/>
    <x v="0"/>
    <x v="24"/>
    <x v="2"/>
    <x v="65"/>
    <x v="1"/>
    <x v="9"/>
    <x v="0"/>
    <x v="9"/>
    <x v="2"/>
    <x v="2"/>
  </r>
  <r>
    <x v="231"/>
    <x v="229"/>
    <x v="208"/>
    <x v="0"/>
    <x v="2"/>
    <x v="2"/>
    <x v="3"/>
    <x v="0"/>
    <x v="45"/>
    <x v="1"/>
    <x v="173"/>
    <x v="0"/>
    <x v="0"/>
    <x v="0"/>
    <x v="0"/>
    <x v="17"/>
    <x v="17"/>
  </r>
  <r>
    <x v="232"/>
    <x v="230"/>
    <x v="150"/>
    <x v="14"/>
    <x v="1"/>
    <x v="0"/>
    <x v="0"/>
    <x v="0"/>
    <x v="4"/>
    <x v="6"/>
    <x v="199"/>
    <x v="1"/>
    <x v="14"/>
    <x v="1"/>
    <x v="14"/>
    <x v="35"/>
    <x v="35"/>
  </r>
  <r>
    <x v="233"/>
    <x v="231"/>
    <x v="209"/>
    <x v="8"/>
    <x v="2"/>
    <x v="1"/>
    <x v="0"/>
    <x v="2"/>
    <x v="9"/>
    <x v="1"/>
    <x v="200"/>
    <x v="0"/>
    <x v="8"/>
    <x v="1"/>
    <x v="8"/>
    <x v="99"/>
    <x v="99"/>
  </r>
  <r>
    <x v="234"/>
    <x v="232"/>
    <x v="126"/>
    <x v="5"/>
    <x v="2"/>
    <x v="0"/>
    <x v="3"/>
    <x v="0"/>
    <x v="43"/>
    <x v="2"/>
    <x v="201"/>
    <x v="2"/>
    <x v="5"/>
    <x v="2"/>
    <x v="5"/>
    <x v="57"/>
    <x v="57"/>
  </r>
  <r>
    <x v="235"/>
    <x v="233"/>
    <x v="210"/>
    <x v="4"/>
    <x v="1"/>
    <x v="2"/>
    <x v="0"/>
    <x v="0"/>
    <x v="33"/>
    <x v="2"/>
    <x v="202"/>
    <x v="0"/>
    <x v="4"/>
    <x v="0"/>
    <x v="4"/>
    <x v="15"/>
    <x v="15"/>
  </r>
  <r>
    <x v="236"/>
    <x v="234"/>
    <x v="211"/>
    <x v="7"/>
    <x v="2"/>
    <x v="2"/>
    <x v="1"/>
    <x v="1"/>
    <x v="34"/>
    <x v="7"/>
    <x v="203"/>
    <x v="0"/>
    <x v="7"/>
    <x v="1"/>
    <x v="7"/>
    <x v="87"/>
    <x v="87"/>
  </r>
  <r>
    <x v="237"/>
    <x v="235"/>
    <x v="212"/>
    <x v="18"/>
    <x v="1"/>
    <x v="2"/>
    <x v="0"/>
    <x v="0"/>
    <x v="0"/>
    <x v="4"/>
    <x v="204"/>
    <x v="0"/>
    <x v="18"/>
    <x v="1"/>
    <x v="18"/>
    <x v="57"/>
    <x v="57"/>
  </r>
  <r>
    <x v="238"/>
    <x v="236"/>
    <x v="213"/>
    <x v="10"/>
    <x v="1"/>
    <x v="2"/>
    <x v="3"/>
    <x v="0"/>
    <x v="21"/>
    <x v="3"/>
    <x v="205"/>
    <x v="0"/>
    <x v="10"/>
    <x v="3"/>
    <x v="10"/>
    <x v="16"/>
    <x v="16"/>
  </r>
  <r>
    <x v="239"/>
    <x v="237"/>
    <x v="214"/>
    <x v="10"/>
    <x v="2"/>
    <x v="3"/>
    <x v="3"/>
    <x v="0"/>
    <x v="38"/>
    <x v="2"/>
    <x v="206"/>
    <x v="0"/>
    <x v="10"/>
    <x v="3"/>
    <x v="10"/>
    <x v="45"/>
    <x v="45"/>
  </r>
  <r>
    <x v="240"/>
    <x v="238"/>
    <x v="215"/>
    <x v="16"/>
    <x v="1"/>
    <x v="2"/>
    <x v="0"/>
    <x v="0"/>
    <x v="30"/>
    <x v="9"/>
    <x v="207"/>
    <x v="0"/>
    <x v="16"/>
    <x v="1"/>
    <x v="16"/>
    <x v="58"/>
    <x v="58"/>
  </r>
  <r>
    <x v="241"/>
    <x v="239"/>
    <x v="121"/>
    <x v="9"/>
    <x v="3"/>
    <x v="2"/>
    <x v="3"/>
    <x v="0"/>
    <x v="19"/>
    <x v="6"/>
    <x v="208"/>
    <x v="0"/>
    <x v="9"/>
    <x v="0"/>
    <x v="9"/>
    <x v="61"/>
    <x v="61"/>
  </r>
  <r>
    <x v="242"/>
    <x v="240"/>
    <x v="216"/>
    <x v="9"/>
    <x v="1"/>
    <x v="5"/>
    <x v="2"/>
    <x v="0"/>
    <x v="6"/>
    <x v="3"/>
    <x v="209"/>
    <x v="0"/>
    <x v="9"/>
    <x v="0"/>
    <x v="9"/>
    <x v="59"/>
    <x v="59"/>
  </r>
  <r>
    <x v="243"/>
    <x v="241"/>
    <x v="217"/>
    <x v="1"/>
    <x v="2"/>
    <x v="2"/>
    <x v="0"/>
    <x v="0"/>
    <x v="10"/>
    <x v="2"/>
    <x v="171"/>
    <x v="0"/>
    <x v="1"/>
    <x v="0"/>
    <x v="1"/>
    <x v="61"/>
    <x v="61"/>
  </r>
  <r>
    <x v="244"/>
    <x v="242"/>
    <x v="218"/>
    <x v="7"/>
    <x v="1"/>
    <x v="3"/>
    <x v="0"/>
    <x v="0"/>
    <x v="10"/>
    <x v="5"/>
    <x v="210"/>
    <x v="0"/>
    <x v="7"/>
    <x v="1"/>
    <x v="7"/>
    <x v="31"/>
    <x v="31"/>
  </r>
  <r>
    <x v="245"/>
    <x v="243"/>
    <x v="219"/>
    <x v="13"/>
    <x v="1"/>
    <x v="2"/>
    <x v="2"/>
    <x v="2"/>
    <x v="44"/>
    <x v="1"/>
    <x v="211"/>
    <x v="2"/>
    <x v="13"/>
    <x v="1"/>
    <x v="13"/>
    <x v="74"/>
    <x v="74"/>
  </r>
  <r>
    <x v="246"/>
    <x v="244"/>
    <x v="220"/>
    <x v="7"/>
    <x v="2"/>
    <x v="3"/>
    <x v="2"/>
    <x v="0"/>
    <x v="46"/>
    <x v="2"/>
    <x v="212"/>
    <x v="2"/>
    <x v="7"/>
    <x v="1"/>
    <x v="7"/>
    <x v="28"/>
    <x v="28"/>
  </r>
  <r>
    <x v="247"/>
    <x v="245"/>
    <x v="221"/>
    <x v="0"/>
    <x v="3"/>
    <x v="3"/>
    <x v="2"/>
    <x v="0"/>
    <x v="47"/>
    <x v="2"/>
    <x v="213"/>
    <x v="0"/>
    <x v="0"/>
    <x v="0"/>
    <x v="0"/>
    <x v="40"/>
    <x v="40"/>
  </r>
  <r>
    <x v="248"/>
    <x v="246"/>
    <x v="222"/>
    <x v="4"/>
    <x v="1"/>
    <x v="3"/>
    <x v="3"/>
    <x v="0"/>
    <x v="47"/>
    <x v="4"/>
    <x v="203"/>
    <x v="1"/>
    <x v="4"/>
    <x v="0"/>
    <x v="4"/>
    <x v="45"/>
    <x v="45"/>
  </r>
  <r>
    <x v="249"/>
    <x v="247"/>
    <x v="223"/>
    <x v="8"/>
    <x v="3"/>
    <x v="0"/>
    <x v="0"/>
    <x v="0"/>
    <x v="18"/>
    <x v="1"/>
    <x v="214"/>
    <x v="0"/>
    <x v="8"/>
    <x v="1"/>
    <x v="8"/>
    <x v="64"/>
    <x v="64"/>
  </r>
  <r>
    <x v="250"/>
    <x v="248"/>
    <x v="42"/>
    <x v="10"/>
    <x v="0"/>
    <x v="2"/>
    <x v="3"/>
    <x v="0"/>
    <x v="35"/>
    <x v="4"/>
    <x v="176"/>
    <x v="1"/>
    <x v="10"/>
    <x v="3"/>
    <x v="10"/>
    <x v="4"/>
    <x v="4"/>
  </r>
  <r>
    <x v="251"/>
    <x v="249"/>
    <x v="224"/>
    <x v="1"/>
    <x v="1"/>
    <x v="2"/>
    <x v="1"/>
    <x v="0"/>
    <x v="6"/>
    <x v="6"/>
    <x v="215"/>
    <x v="0"/>
    <x v="1"/>
    <x v="0"/>
    <x v="1"/>
    <x v="7"/>
    <x v="7"/>
  </r>
  <r>
    <x v="252"/>
    <x v="250"/>
    <x v="213"/>
    <x v="14"/>
    <x v="1"/>
    <x v="2"/>
    <x v="0"/>
    <x v="0"/>
    <x v="22"/>
    <x v="9"/>
    <x v="216"/>
    <x v="2"/>
    <x v="14"/>
    <x v="1"/>
    <x v="14"/>
    <x v="78"/>
    <x v="78"/>
  </r>
  <r>
    <x v="253"/>
    <x v="251"/>
    <x v="225"/>
    <x v="11"/>
    <x v="2"/>
    <x v="0"/>
    <x v="0"/>
    <x v="2"/>
    <x v="43"/>
    <x v="2"/>
    <x v="217"/>
    <x v="1"/>
    <x v="11"/>
    <x v="1"/>
    <x v="11"/>
    <x v="22"/>
    <x v="22"/>
  </r>
  <r>
    <x v="254"/>
    <x v="252"/>
    <x v="118"/>
    <x v="10"/>
    <x v="1"/>
    <x v="2"/>
    <x v="0"/>
    <x v="0"/>
    <x v="26"/>
    <x v="8"/>
    <x v="218"/>
    <x v="0"/>
    <x v="10"/>
    <x v="3"/>
    <x v="10"/>
    <x v="16"/>
    <x v="16"/>
  </r>
  <r>
    <x v="255"/>
    <x v="253"/>
    <x v="226"/>
    <x v="17"/>
    <x v="3"/>
    <x v="2"/>
    <x v="2"/>
    <x v="0"/>
    <x v="35"/>
    <x v="8"/>
    <x v="219"/>
    <x v="0"/>
    <x v="17"/>
    <x v="4"/>
    <x v="17"/>
    <x v="89"/>
    <x v="89"/>
  </r>
  <r>
    <x v="256"/>
    <x v="254"/>
    <x v="227"/>
    <x v="4"/>
    <x v="1"/>
    <x v="0"/>
    <x v="2"/>
    <x v="0"/>
    <x v="32"/>
    <x v="4"/>
    <x v="78"/>
    <x v="0"/>
    <x v="4"/>
    <x v="0"/>
    <x v="4"/>
    <x v="45"/>
    <x v="45"/>
  </r>
  <r>
    <x v="257"/>
    <x v="255"/>
    <x v="228"/>
    <x v="4"/>
    <x v="3"/>
    <x v="2"/>
    <x v="0"/>
    <x v="0"/>
    <x v="10"/>
    <x v="5"/>
    <x v="220"/>
    <x v="0"/>
    <x v="4"/>
    <x v="0"/>
    <x v="4"/>
    <x v="7"/>
    <x v="7"/>
  </r>
  <r>
    <x v="258"/>
    <x v="256"/>
    <x v="229"/>
    <x v="6"/>
    <x v="4"/>
    <x v="0"/>
    <x v="2"/>
    <x v="0"/>
    <x v="4"/>
    <x v="0"/>
    <x v="221"/>
    <x v="1"/>
    <x v="6"/>
    <x v="0"/>
    <x v="6"/>
    <x v="2"/>
    <x v="2"/>
  </r>
  <r>
    <x v="259"/>
    <x v="257"/>
    <x v="230"/>
    <x v="8"/>
    <x v="2"/>
    <x v="2"/>
    <x v="0"/>
    <x v="0"/>
    <x v="8"/>
    <x v="6"/>
    <x v="69"/>
    <x v="0"/>
    <x v="8"/>
    <x v="1"/>
    <x v="8"/>
    <x v="85"/>
    <x v="85"/>
  </r>
  <r>
    <x v="260"/>
    <x v="258"/>
    <x v="231"/>
    <x v="12"/>
    <x v="1"/>
    <x v="4"/>
    <x v="0"/>
    <x v="0"/>
    <x v="47"/>
    <x v="2"/>
    <x v="222"/>
    <x v="0"/>
    <x v="12"/>
    <x v="4"/>
    <x v="12"/>
    <x v="1"/>
    <x v="1"/>
  </r>
  <r>
    <x v="261"/>
    <x v="259"/>
    <x v="232"/>
    <x v="4"/>
    <x v="1"/>
    <x v="3"/>
    <x v="0"/>
    <x v="0"/>
    <x v="12"/>
    <x v="0"/>
    <x v="223"/>
    <x v="0"/>
    <x v="4"/>
    <x v="0"/>
    <x v="4"/>
    <x v="45"/>
    <x v="45"/>
  </r>
  <r>
    <x v="262"/>
    <x v="260"/>
    <x v="105"/>
    <x v="9"/>
    <x v="1"/>
    <x v="0"/>
    <x v="0"/>
    <x v="0"/>
    <x v="24"/>
    <x v="5"/>
    <x v="224"/>
    <x v="1"/>
    <x v="9"/>
    <x v="0"/>
    <x v="9"/>
    <x v="63"/>
    <x v="63"/>
  </r>
  <r>
    <x v="263"/>
    <x v="261"/>
    <x v="233"/>
    <x v="9"/>
    <x v="0"/>
    <x v="3"/>
    <x v="0"/>
    <x v="0"/>
    <x v="32"/>
    <x v="8"/>
    <x v="225"/>
    <x v="0"/>
    <x v="9"/>
    <x v="0"/>
    <x v="9"/>
    <x v="72"/>
    <x v="72"/>
  </r>
  <r>
    <x v="264"/>
    <x v="262"/>
    <x v="234"/>
    <x v="4"/>
    <x v="2"/>
    <x v="3"/>
    <x v="0"/>
    <x v="1"/>
    <x v="29"/>
    <x v="9"/>
    <x v="226"/>
    <x v="2"/>
    <x v="4"/>
    <x v="0"/>
    <x v="4"/>
    <x v="37"/>
    <x v="37"/>
  </r>
  <r>
    <x v="265"/>
    <x v="263"/>
    <x v="221"/>
    <x v="8"/>
    <x v="1"/>
    <x v="2"/>
    <x v="0"/>
    <x v="0"/>
    <x v="42"/>
    <x v="4"/>
    <x v="227"/>
    <x v="1"/>
    <x v="8"/>
    <x v="1"/>
    <x v="8"/>
    <x v="17"/>
    <x v="17"/>
  </r>
  <r>
    <x v="266"/>
    <x v="264"/>
    <x v="130"/>
    <x v="4"/>
    <x v="1"/>
    <x v="3"/>
    <x v="1"/>
    <x v="0"/>
    <x v="16"/>
    <x v="0"/>
    <x v="228"/>
    <x v="2"/>
    <x v="4"/>
    <x v="0"/>
    <x v="4"/>
    <x v="45"/>
    <x v="45"/>
  </r>
  <r>
    <x v="267"/>
    <x v="265"/>
    <x v="235"/>
    <x v="6"/>
    <x v="1"/>
    <x v="3"/>
    <x v="0"/>
    <x v="0"/>
    <x v="7"/>
    <x v="4"/>
    <x v="229"/>
    <x v="2"/>
    <x v="6"/>
    <x v="0"/>
    <x v="6"/>
    <x v="6"/>
    <x v="6"/>
  </r>
  <r>
    <x v="268"/>
    <x v="266"/>
    <x v="236"/>
    <x v="1"/>
    <x v="1"/>
    <x v="3"/>
    <x v="2"/>
    <x v="1"/>
    <x v="31"/>
    <x v="7"/>
    <x v="230"/>
    <x v="0"/>
    <x v="1"/>
    <x v="0"/>
    <x v="1"/>
    <x v="54"/>
    <x v="54"/>
  </r>
  <r>
    <x v="269"/>
    <x v="267"/>
    <x v="237"/>
    <x v="9"/>
    <x v="1"/>
    <x v="0"/>
    <x v="3"/>
    <x v="0"/>
    <x v="24"/>
    <x v="7"/>
    <x v="231"/>
    <x v="0"/>
    <x v="9"/>
    <x v="0"/>
    <x v="9"/>
    <x v="63"/>
    <x v="63"/>
  </r>
  <r>
    <x v="270"/>
    <x v="268"/>
    <x v="227"/>
    <x v="8"/>
    <x v="1"/>
    <x v="2"/>
    <x v="0"/>
    <x v="0"/>
    <x v="2"/>
    <x v="9"/>
    <x v="232"/>
    <x v="1"/>
    <x v="8"/>
    <x v="1"/>
    <x v="8"/>
    <x v="17"/>
    <x v="17"/>
  </r>
  <r>
    <x v="271"/>
    <x v="269"/>
    <x v="238"/>
    <x v="14"/>
    <x v="1"/>
    <x v="3"/>
    <x v="3"/>
    <x v="0"/>
    <x v="16"/>
    <x v="4"/>
    <x v="233"/>
    <x v="0"/>
    <x v="14"/>
    <x v="1"/>
    <x v="14"/>
    <x v="48"/>
    <x v="48"/>
  </r>
  <r>
    <x v="272"/>
    <x v="270"/>
    <x v="239"/>
    <x v="11"/>
    <x v="1"/>
    <x v="2"/>
    <x v="3"/>
    <x v="0"/>
    <x v="18"/>
    <x v="2"/>
    <x v="234"/>
    <x v="1"/>
    <x v="11"/>
    <x v="1"/>
    <x v="11"/>
    <x v="86"/>
    <x v="86"/>
  </r>
  <r>
    <x v="273"/>
    <x v="271"/>
    <x v="240"/>
    <x v="2"/>
    <x v="1"/>
    <x v="2"/>
    <x v="3"/>
    <x v="0"/>
    <x v="15"/>
    <x v="7"/>
    <x v="212"/>
    <x v="0"/>
    <x v="2"/>
    <x v="1"/>
    <x v="2"/>
    <x v="23"/>
    <x v="23"/>
  </r>
  <r>
    <x v="274"/>
    <x v="272"/>
    <x v="241"/>
    <x v="9"/>
    <x v="2"/>
    <x v="2"/>
    <x v="2"/>
    <x v="0"/>
    <x v="7"/>
    <x v="2"/>
    <x v="235"/>
    <x v="1"/>
    <x v="9"/>
    <x v="0"/>
    <x v="9"/>
    <x v="24"/>
    <x v="24"/>
  </r>
  <r>
    <x v="275"/>
    <x v="273"/>
    <x v="242"/>
    <x v="15"/>
    <x v="1"/>
    <x v="2"/>
    <x v="0"/>
    <x v="0"/>
    <x v="27"/>
    <x v="4"/>
    <x v="37"/>
    <x v="0"/>
    <x v="15"/>
    <x v="5"/>
    <x v="15"/>
    <x v="35"/>
    <x v="35"/>
  </r>
  <r>
    <x v="276"/>
    <x v="274"/>
    <x v="60"/>
    <x v="15"/>
    <x v="1"/>
    <x v="0"/>
    <x v="3"/>
    <x v="1"/>
    <x v="6"/>
    <x v="0"/>
    <x v="236"/>
    <x v="0"/>
    <x v="15"/>
    <x v="5"/>
    <x v="15"/>
    <x v="30"/>
    <x v="30"/>
  </r>
  <r>
    <x v="277"/>
    <x v="275"/>
    <x v="243"/>
    <x v="7"/>
    <x v="2"/>
    <x v="0"/>
    <x v="0"/>
    <x v="0"/>
    <x v="14"/>
    <x v="7"/>
    <x v="237"/>
    <x v="1"/>
    <x v="7"/>
    <x v="1"/>
    <x v="7"/>
    <x v="29"/>
    <x v="29"/>
  </r>
  <r>
    <x v="278"/>
    <x v="276"/>
    <x v="244"/>
    <x v="7"/>
    <x v="0"/>
    <x v="2"/>
    <x v="0"/>
    <x v="1"/>
    <x v="8"/>
    <x v="4"/>
    <x v="96"/>
    <x v="0"/>
    <x v="7"/>
    <x v="1"/>
    <x v="7"/>
    <x v="100"/>
    <x v="100"/>
  </r>
  <r>
    <x v="279"/>
    <x v="277"/>
    <x v="245"/>
    <x v="6"/>
    <x v="2"/>
    <x v="5"/>
    <x v="1"/>
    <x v="0"/>
    <x v="41"/>
    <x v="4"/>
    <x v="238"/>
    <x v="1"/>
    <x v="6"/>
    <x v="0"/>
    <x v="6"/>
    <x v="39"/>
    <x v="39"/>
  </r>
  <r>
    <x v="280"/>
    <x v="66"/>
    <x v="139"/>
    <x v="1"/>
    <x v="3"/>
    <x v="2"/>
    <x v="0"/>
    <x v="0"/>
    <x v="31"/>
    <x v="2"/>
    <x v="64"/>
    <x v="0"/>
    <x v="1"/>
    <x v="0"/>
    <x v="1"/>
    <x v="75"/>
    <x v="75"/>
  </r>
  <r>
    <x v="281"/>
    <x v="278"/>
    <x v="57"/>
    <x v="1"/>
    <x v="2"/>
    <x v="2"/>
    <x v="0"/>
    <x v="0"/>
    <x v="26"/>
    <x v="7"/>
    <x v="239"/>
    <x v="0"/>
    <x v="1"/>
    <x v="0"/>
    <x v="1"/>
    <x v="61"/>
    <x v="61"/>
  </r>
  <r>
    <x v="282"/>
    <x v="279"/>
    <x v="246"/>
    <x v="12"/>
    <x v="1"/>
    <x v="2"/>
    <x v="0"/>
    <x v="0"/>
    <x v="4"/>
    <x v="4"/>
    <x v="72"/>
    <x v="0"/>
    <x v="12"/>
    <x v="4"/>
    <x v="12"/>
    <x v="62"/>
    <x v="62"/>
  </r>
  <r>
    <x v="283"/>
    <x v="280"/>
    <x v="247"/>
    <x v="4"/>
    <x v="2"/>
    <x v="0"/>
    <x v="0"/>
    <x v="0"/>
    <x v="7"/>
    <x v="8"/>
    <x v="240"/>
    <x v="0"/>
    <x v="4"/>
    <x v="0"/>
    <x v="4"/>
    <x v="63"/>
    <x v="63"/>
  </r>
  <r>
    <x v="284"/>
    <x v="281"/>
    <x v="248"/>
    <x v="2"/>
    <x v="1"/>
    <x v="3"/>
    <x v="0"/>
    <x v="0"/>
    <x v="47"/>
    <x v="0"/>
    <x v="241"/>
    <x v="0"/>
    <x v="2"/>
    <x v="1"/>
    <x v="2"/>
    <x v="36"/>
    <x v="36"/>
  </r>
  <r>
    <x v="285"/>
    <x v="282"/>
    <x v="169"/>
    <x v="6"/>
    <x v="2"/>
    <x v="2"/>
    <x v="2"/>
    <x v="0"/>
    <x v="26"/>
    <x v="7"/>
    <x v="118"/>
    <x v="1"/>
    <x v="6"/>
    <x v="0"/>
    <x v="6"/>
    <x v="18"/>
    <x v="18"/>
  </r>
  <r>
    <x v="286"/>
    <x v="283"/>
    <x v="249"/>
    <x v="6"/>
    <x v="1"/>
    <x v="0"/>
    <x v="2"/>
    <x v="0"/>
    <x v="47"/>
    <x v="5"/>
    <x v="242"/>
    <x v="0"/>
    <x v="6"/>
    <x v="0"/>
    <x v="6"/>
    <x v="6"/>
    <x v="6"/>
  </r>
  <r>
    <x v="287"/>
    <x v="284"/>
    <x v="250"/>
    <x v="14"/>
    <x v="1"/>
    <x v="3"/>
    <x v="1"/>
    <x v="0"/>
    <x v="6"/>
    <x v="8"/>
    <x v="243"/>
    <x v="0"/>
    <x v="14"/>
    <x v="1"/>
    <x v="14"/>
    <x v="48"/>
    <x v="48"/>
  </r>
  <r>
    <x v="288"/>
    <x v="285"/>
    <x v="251"/>
    <x v="0"/>
    <x v="0"/>
    <x v="2"/>
    <x v="1"/>
    <x v="0"/>
    <x v="35"/>
    <x v="2"/>
    <x v="244"/>
    <x v="0"/>
    <x v="0"/>
    <x v="0"/>
    <x v="0"/>
    <x v="85"/>
    <x v="85"/>
  </r>
  <r>
    <x v="289"/>
    <x v="286"/>
    <x v="252"/>
    <x v="4"/>
    <x v="2"/>
    <x v="2"/>
    <x v="0"/>
    <x v="0"/>
    <x v="26"/>
    <x v="7"/>
    <x v="245"/>
    <x v="0"/>
    <x v="4"/>
    <x v="0"/>
    <x v="4"/>
    <x v="4"/>
    <x v="4"/>
  </r>
  <r>
    <x v="290"/>
    <x v="287"/>
    <x v="190"/>
    <x v="15"/>
    <x v="1"/>
    <x v="2"/>
    <x v="1"/>
    <x v="0"/>
    <x v="0"/>
    <x v="2"/>
    <x v="246"/>
    <x v="0"/>
    <x v="15"/>
    <x v="5"/>
    <x v="15"/>
    <x v="35"/>
    <x v="35"/>
  </r>
  <r>
    <x v="291"/>
    <x v="288"/>
    <x v="253"/>
    <x v="4"/>
    <x v="3"/>
    <x v="2"/>
    <x v="2"/>
    <x v="0"/>
    <x v="11"/>
    <x v="6"/>
    <x v="247"/>
    <x v="2"/>
    <x v="4"/>
    <x v="0"/>
    <x v="4"/>
    <x v="7"/>
    <x v="7"/>
  </r>
  <r>
    <x v="292"/>
    <x v="289"/>
    <x v="254"/>
    <x v="6"/>
    <x v="0"/>
    <x v="1"/>
    <x v="0"/>
    <x v="2"/>
    <x v="35"/>
    <x v="6"/>
    <x v="248"/>
    <x v="0"/>
    <x v="6"/>
    <x v="0"/>
    <x v="6"/>
    <x v="101"/>
    <x v="101"/>
  </r>
  <r>
    <x v="293"/>
    <x v="290"/>
    <x v="255"/>
    <x v="5"/>
    <x v="1"/>
    <x v="0"/>
    <x v="0"/>
    <x v="1"/>
    <x v="40"/>
    <x v="4"/>
    <x v="249"/>
    <x v="1"/>
    <x v="5"/>
    <x v="2"/>
    <x v="5"/>
    <x v="99"/>
    <x v="99"/>
  </r>
  <r>
    <x v="294"/>
    <x v="291"/>
    <x v="256"/>
    <x v="17"/>
    <x v="1"/>
    <x v="2"/>
    <x v="3"/>
    <x v="0"/>
    <x v="1"/>
    <x v="0"/>
    <x v="250"/>
    <x v="0"/>
    <x v="17"/>
    <x v="4"/>
    <x v="17"/>
    <x v="49"/>
    <x v="49"/>
  </r>
  <r>
    <x v="295"/>
    <x v="292"/>
    <x v="257"/>
    <x v="10"/>
    <x v="1"/>
    <x v="1"/>
    <x v="0"/>
    <x v="0"/>
    <x v="24"/>
    <x v="3"/>
    <x v="251"/>
    <x v="1"/>
    <x v="10"/>
    <x v="3"/>
    <x v="10"/>
    <x v="20"/>
    <x v="20"/>
  </r>
  <r>
    <x v="296"/>
    <x v="293"/>
    <x v="258"/>
    <x v="13"/>
    <x v="1"/>
    <x v="2"/>
    <x v="0"/>
    <x v="0"/>
    <x v="18"/>
    <x v="7"/>
    <x v="115"/>
    <x v="0"/>
    <x v="13"/>
    <x v="1"/>
    <x v="13"/>
    <x v="74"/>
    <x v="74"/>
  </r>
  <r>
    <x v="297"/>
    <x v="294"/>
    <x v="226"/>
    <x v="1"/>
    <x v="1"/>
    <x v="2"/>
    <x v="0"/>
    <x v="0"/>
    <x v="41"/>
    <x v="7"/>
    <x v="252"/>
    <x v="0"/>
    <x v="1"/>
    <x v="0"/>
    <x v="1"/>
    <x v="7"/>
    <x v="7"/>
  </r>
  <r>
    <x v="298"/>
    <x v="295"/>
    <x v="259"/>
    <x v="16"/>
    <x v="2"/>
    <x v="0"/>
    <x v="2"/>
    <x v="0"/>
    <x v="7"/>
    <x v="4"/>
    <x v="141"/>
    <x v="1"/>
    <x v="16"/>
    <x v="1"/>
    <x v="16"/>
    <x v="102"/>
    <x v="102"/>
  </r>
  <r>
    <x v="299"/>
    <x v="296"/>
    <x v="72"/>
    <x v="14"/>
    <x v="2"/>
    <x v="1"/>
    <x v="0"/>
    <x v="0"/>
    <x v="19"/>
    <x v="1"/>
    <x v="253"/>
    <x v="1"/>
    <x v="14"/>
    <x v="1"/>
    <x v="14"/>
    <x v="49"/>
    <x v="49"/>
  </r>
  <r>
    <x v="300"/>
    <x v="297"/>
    <x v="260"/>
    <x v="2"/>
    <x v="1"/>
    <x v="3"/>
    <x v="2"/>
    <x v="0"/>
    <x v="26"/>
    <x v="7"/>
    <x v="31"/>
    <x v="1"/>
    <x v="2"/>
    <x v="1"/>
    <x v="2"/>
    <x v="36"/>
    <x v="36"/>
  </r>
  <r>
    <x v="301"/>
    <x v="155"/>
    <x v="261"/>
    <x v="0"/>
    <x v="1"/>
    <x v="4"/>
    <x v="0"/>
    <x v="0"/>
    <x v="23"/>
    <x v="6"/>
    <x v="144"/>
    <x v="2"/>
    <x v="0"/>
    <x v="0"/>
    <x v="0"/>
    <x v="20"/>
    <x v="20"/>
  </r>
  <r>
    <x v="302"/>
    <x v="298"/>
    <x v="262"/>
    <x v="0"/>
    <x v="2"/>
    <x v="0"/>
    <x v="2"/>
    <x v="0"/>
    <x v="7"/>
    <x v="2"/>
    <x v="105"/>
    <x v="0"/>
    <x v="0"/>
    <x v="0"/>
    <x v="0"/>
    <x v="103"/>
    <x v="103"/>
  </r>
  <r>
    <x v="303"/>
    <x v="299"/>
    <x v="263"/>
    <x v="1"/>
    <x v="1"/>
    <x v="4"/>
    <x v="3"/>
    <x v="1"/>
    <x v="33"/>
    <x v="2"/>
    <x v="254"/>
    <x v="0"/>
    <x v="1"/>
    <x v="0"/>
    <x v="1"/>
    <x v="99"/>
    <x v="99"/>
  </r>
  <r>
    <x v="304"/>
    <x v="300"/>
    <x v="264"/>
    <x v="9"/>
    <x v="0"/>
    <x v="2"/>
    <x v="1"/>
    <x v="0"/>
    <x v="2"/>
    <x v="6"/>
    <x v="12"/>
    <x v="0"/>
    <x v="9"/>
    <x v="0"/>
    <x v="9"/>
    <x v="88"/>
    <x v="88"/>
  </r>
  <r>
    <x v="305"/>
    <x v="301"/>
    <x v="265"/>
    <x v="7"/>
    <x v="2"/>
    <x v="5"/>
    <x v="3"/>
    <x v="0"/>
    <x v="19"/>
    <x v="3"/>
    <x v="255"/>
    <x v="0"/>
    <x v="7"/>
    <x v="1"/>
    <x v="7"/>
    <x v="104"/>
    <x v="104"/>
  </r>
  <r>
    <x v="306"/>
    <x v="302"/>
    <x v="266"/>
    <x v="6"/>
    <x v="1"/>
    <x v="2"/>
    <x v="0"/>
    <x v="0"/>
    <x v="14"/>
    <x v="0"/>
    <x v="256"/>
    <x v="1"/>
    <x v="6"/>
    <x v="0"/>
    <x v="6"/>
    <x v="13"/>
    <x v="13"/>
  </r>
  <r>
    <x v="307"/>
    <x v="303"/>
    <x v="267"/>
    <x v="6"/>
    <x v="1"/>
    <x v="5"/>
    <x v="3"/>
    <x v="0"/>
    <x v="38"/>
    <x v="3"/>
    <x v="190"/>
    <x v="1"/>
    <x v="6"/>
    <x v="0"/>
    <x v="6"/>
    <x v="43"/>
    <x v="43"/>
  </r>
  <r>
    <x v="308"/>
    <x v="304"/>
    <x v="90"/>
    <x v="8"/>
    <x v="1"/>
    <x v="0"/>
    <x v="1"/>
    <x v="0"/>
    <x v="29"/>
    <x v="3"/>
    <x v="257"/>
    <x v="0"/>
    <x v="8"/>
    <x v="1"/>
    <x v="8"/>
    <x v="103"/>
    <x v="103"/>
  </r>
  <r>
    <x v="309"/>
    <x v="305"/>
    <x v="268"/>
    <x v="10"/>
    <x v="1"/>
    <x v="2"/>
    <x v="0"/>
    <x v="0"/>
    <x v="2"/>
    <x v="0"/>
    <x v="258"/>
    <x v="0"/>
    <x v="10"/>
    <x v="3"/>
    <x v="10"/>
    <x v="16"/>
    <x v="16"/>
  </r>
  <r>
    <x v="310"/>
    <x v="306"/>
    <x v="269"/>
    <x v="14"/>
    <x v="1"/>
    <x v="0"/>
    <x v="0"/>
    <x v="0"/>
    <x v="6"/>
    <x v="3"/>
    <x v="259"/>
    <x v="0"/>
    <x v="14"/>
    <x v="1"/>
    <x v="14"/>
    <x v="35"/>
    <x v="35"/>
  </r>
  <r>
    <x v="311"/>
    <x v="307"/>
    <x v="84"/>
    <x v="9"/>
    <x v="2"/>
    <x v="4"/>
    <x v="0"/>
    <x v="0"/>
    <x v="2"/>
    <x v="4"/>
    <x v="260"/>
    <x v="0"/>
    <x v="9"/>
    <x v="0"/>
    <x v="9"/>
    <x v="105"/>
    <x v="105"/>
  </r>
  <r>
    <x v="312"/>
    <x v="308"/>
    <x v="270"/>
    <x v="4"/>
    <x v="3"/>
    <x v="2"/>
    <x v="1"/>
    <x v="0"/>
    <x v="20"/>
    <x v="3"/>
    <x v="261"/>
    <x v="1"/>
    <x v="4"/>
    <x v="0"/>
    <x v="4"/>
    <x v="7"/>
    <x v="7"/>
  </r>
  <r>
    <x v="313"/>
    <x v="309"/>
    <x v="271"/>
    <x v="5"/>
    <x v="3"/>
    <x v="2"/>
    <x v="2"/>
    <x v="0"/>
    <x v="26"/>
    <x v="7"/>
    <x v="262"/>
    <x v="0"/>
    <x v="5"/>
    <x v="2"/>
    <x v="5"/>
    <x v="106"/>
    <x v="106"/>
  </r>
  <r>
    <x v="314"/>
    <x v="310"/>
    <x v="272"/>
    <x v="6"/>
    <x v="1"/>
    <x v="3"/>
    <x v="0"/>
    <x v="2"/>
    <x v="19"/>
    <x v="6"/>
    <x v="263"/>
    <x v="2"/>
    <x v="6"/>
    <x v="0"/>
    <x v="6"/>
    <x v="6"/>
    <x v="6"/>
  </r>
  <r>
    <x v="315"/>
    <x v="311"/>
    <x v="273"/>
    <x v="12"/>
    <x v="1"/>
    <x v="3"/>
    <x v="0"/>
    <x v="0"/>
    <x v="43"/>
    <x v="8"/>
    <x v="156"/>
    <x v="0"/>
    <x v="12"/>
    <x v="4"/>
    <x v="12"/>
    <x v="90"/>
    <x v="90"/>
  </r>
  <r>
    <x v="316"/>
    <x v="312"/>
    <x v="145"/>
    <x v="19"/>
    <x v="2"/>
    <x v="0"/>
    <x v="1"/>
    <x v="0"/>
    <x v="5"/>
    <x v="2"/>
    <x v="132"/>
    <x v="1"/>
    <x v="19"/>
    <x v="1"/>
    <x v="19"/>
    <x v="1"/>
    <x v="1"/>
  </r>
  <r>
    <x v="317"/>
    <x v="313"/>
    <x v="274"/>
    <x v="0"/>
    <x v="2"/>
    <x v="0"/>
    <x v="0"/>
    <x v="0"/>
    <x v="44"/>
    <x v="2"/>
    <x v="264"/>
    <x v="0"/>
    <x v="0"/>
    <x v="0"/>
    <x v="0"/>
    <x v="103"/>
    <x v="103"/>
  </r>
  <r>
    <x v="318"/>
    <x v="314"/>
    <x v="275"/>
    <x v="9"/>
    <x v="4"/>
    <x v="2"/>
    <x v="2"/>
    <x v="0"/>
    <x v="1"/>
    <x v="4"/>
    <x v="265"/>
    <x v="1"/>
    <x v="9"/>
    <x v="0"/>
    <x v="9"/>
    <x v="100"/>
    <x v="100"/>
  </r>
  <r>
    <x v="319"/>
    <x v="315"/>
    <x v="276"/>
    <x v="19"/>
    <x v="2"/>
    <x v="2"/>
    <x v="3"/>
    <x v="0"/>
    <x v="37"/>
    <x v="2"/>
    <x v="76"/>
    <x v="1"/>
    <x v="19"/>
    <x v="1"/>
    <x v="19"/>
    <x v="7"/>
    <x v="7"/>
  </r>
  <r>
    <x v="320"/>
    <x v="316"/>
    <x v="277"/>
    <x v="14"/>
    <x v="0"/>
    <x v="1"/>
    <x v="3"/>
    <x v="0"/>
    <x v="4"/>
    <x v="4"/>
    <x v="266"/>
    <x v="0"/>
    <x v="14"/>
    <x v="1"/>
    <x v="14"/>
    <x v="92"/>
    <x v="92"/>
  </r>
  <r>
    <x v="321"/>
    <x v="317"/>
    <x v="278"/>
    <x v="0"/>
    <x v="3"/>
    <x v="2"/>
    <x v="0"/>
    <x v="0"/>
    <x v="2"/>
    <x v="4"/>
    <x v="267"/>
    <x v="1"/>
    <x v="0"/>
    <x v="0"/>
    <x v="0"/>
    <x v="37"/>
    <x v="37"/>
  </r>
  <r>
    <x v="322"/>
    <x v="318"/>
    <x v="98"/>
    <x v="6"/>
    <x v="1"/>
    <x v="0"/>
    <x v="1"/>
    <x v="2"/>
    <x v="2"/>
    <x v="2"/>
    <x v="268"/>
    <x v="0"/>
    <x v="6"/>
    <x v="0"/>
    <x v="6"/>
    <x v="6"/>
    <x v="6"/>
  </r>
  <r>
    <x v="323"/>
    <x v="319"/>
    <x v="133"/>
    <x v="8"/>
    <x v="2"/>
    <x v="2"/>
    <x v="3"/>
    <x v="0"/>
    <x v="31"/>
    <x v="5"/>
    <x v="269"/>
    <x v="1"/>
    <x v="8"/>
    <x v="1"/>
    <x v="8"/>
    <x v="85"/>
    <x v="85"/>
  </r>
  <r>
    <x v="324"/>
    <x v="320"/>
    <x v="173"/>
    <x v="10"/>
    <x v="2"/>
    <x v="2"/>
    <x v="2"/>
    <x v="2"/>
    <x v="35"/>
    <x v="2"/>
    <x v="270"/>
    <x v="1"/>
    <x v="10"/>
    <x v="3"/>
    <x v="10"/>
    <x v="15"/>
    <x v="15"/>
  </r>
  <r>
    <x v="325"/>
    <x v="321"/>
    <x v="226"/>
    <x v="14"/>
    <x v="4"/>
    <x v="3"/>
    <x v="0"/>
    <x v="0"/>
    <x v="8"/>
    <x v="2"/>
    <x v="165"/>
    <x v="1"/>
    <x v="14"/>
    <x v="1"/>
    <x v="14"/>
    <x v="107"/>
    <x v="107"/>
  </r>
  <r>
    <x v="326"/>
    <x v="322"/>
    <x v="267"/>
    <x v="9"/>
    <x v="2"/>
    <x v="2"/>
    <x v="2"/>
    <x v="0"/>
    <x v="16"/>
    <x v="6"/>
    <x v="271"/>
    <x v="0"/>
    <x v="9"/>
    <x v="0"/>
    <x v="9"/>
    <x v="24"/>
    <x v="24"/>
  </r>
  <r>
    <x v="327"/>
    <x v="323"/>
    <x v="279"/>
    <x v="15"/>
    <x v="2"/>
    <x v="5"/>
    <x v="0"/>
    <x v="0"/>
    <x v="28"/>
    <x v="2"/>
    <x v="272"/>
    <x v="0"/>
    <x v="15"/>
    <x v="5"/>
    <x v="15"/>
    <x v="53"/>
    <x v="53"/>
  </r>
  <r>
    <x v="328"/>
    <x v="324"/>
    <x v="118"/>
    <x v="5"/>
    <x v="3"/>
    <x v="2"/>
    <x v="0"/>
    <x v="0"/>
    <x v="25"/>
    <x v="5"/>
    <x v="273"/>
    <x v="0"/>
    <x v="5"/>
    <x v="2"/>
    <x v="5"/>
    <x v="106"/>
    <x v="106"/>
  </r>
  <r>
    <x v="329"/>
    <x v="325"/>
    <x v="280"/>
    <x v="6"/>
    <x v="3"/>
    <x v="0"/>
    <x v="1"/>
    <x v="1"/>
    <x v="8"/>
    <x v="7"/>
    <x v="274"/>
    <x v="1"/>
    <x v="6"/>
    <x v="0"/>
    <x v="6"/>
    <x v="91"/>
    <x v="91"/>
  </r>
  <r>
    <x v="330"/>
    <x v="326"/>
    <x v="185"/>
    <x v="4"/>
    <x v="0"/>
    <x v="2"/>
    <x v="2"/>
    <x v="0"/>
    <x v="18"/>
    <x v="7"/>
    <x v="275"/>
    <x v="1"/>
    <x v="4"/>
    <x v="0"/>
    <x v="4"/>
    <x v="24"/>
    <x v="24"/>
  </r>
  <r>
    <x v="331"/>
    <x v="327"/>
    <x v="1"/>
    <x v="18"/>
    <x v="1"/>
    <x v="2"/>
    <x v="1"/>
    <x v="0"/>
    <x v="0"/>
    <x v="2"/>
    <x v="163"/>
    <x v="1"/>
    <x v="18"/>
    <x v="1"/>
    <x v="18"/>
    <x v="57"/>
    <x v="57"/>
  </r>
  <r>
    <x v="332"/>
    <x v="328"/>
    <x v="198"/>
    <x v="7"/>
    <x v="3"/>
    <x v="0"/>
    <x v="1"/>
    <x v="0"/>
    <x v="1"/>
    <x v="2"/>
    <x v="276"/>
    <x v="0"/>
    <x v="7"/>
    <x v="1"/>
    <x v="7"/>
    <x v="108"/>
    <x v="108"/>
  </r>
  <r>
    <x v="333"/>
    <x v="329"/>
    <x v="281"/>
    <x v="14"/>
    <x v="4"/>
    <x v="3"/>
    <x v="0"/>
    <x v="0"/>
    <x v="30"/>
    <x v="6"/>
    <x v="277"/>
    <x v="2"/>
    <x v="14"/>
    <x v="1"/>
    <x v="14"/>
    <x v="107"/>
    <x v="107"/>
  </r>
  <r>
    <x v="334"/>
    <x v="330"/>
    <x v="37"/>
    <x v="14"/>
    <x v="1"/>
    <x v="2"/>
    <x v="0"/>
    <x v="0"/>
    <x v="39"/>
    <x v="7"/>
    <x v="278"/>
    <x v="0"/>
    <x v="14"/>
    <x v="1"/>
    <x v="14"/>
    <x v="78"/>
    <x v="78"/>
  </r>
  <r>
    <x v="335"/>
    <x v="331"/>
    <x v="282"/>
    <x v="14"/>
    <x v="1"/>
    <x v="2"/>
    <x v="0"/>
    <x v="0"/>
    <x v="9"/>
    <x v="2"/>
    <x v="279"/>
    <x v="0"/>
    <x v="14"/>
    <x v="1"/>
    <x v="14"/>
    <x v="78"/>
    <x v="78"/>
  </r>
  <r>
    <x v="336"/>
    <x v="332"/>
    <x v="283"/>
    <x v="17"/>
    <x v="4"/>
    <x v="2"/>
    <x v="2"/>
    <x v="0"/>
    <x v="31"/>
    <x v="3"/>
    <x v="280"/>
    <x v="0"/>
    <x v="17"/>
    <x v="4"/>
    <x v="17"/>
    <x v="109"/>
    <x v="109"/>
  </r>
  <r>
    <x v="337"/>
    <x v="333"/>
    <x v="284"/>
    <x v="8"/>
    <x v="2"/>
    <x v="1"/>
    <x v="0"/>
    <x v="0"/>
    <x v="42"/>
    <x v="6"/>
    <x v="281"/>
    <x v="1"/>
    <x v="8"/>
    <x v="1"/>
    <x v="8"/>
    <x v="99"/>
    <x v="99"/>
  </r>
  <r>
    <x v="338"/>
    <x v="334"/>
    <x v="285"/>
    <x v="3"/>
    <x v="1"/>
    <x v="2"/>
    <x v="0"/>
    <x v="0"/>
    <x v="7"/>
    <x v="9"/>
    <x v="221"/>
    <x v="0"/>
    <x v="3"/>
    <x v="2"/>
    <x v="3"/>
    <x v="84"/>
    <x v="84"/>
  </r>
  <r>
    <x v="339"/>
    <x v="335"/>
    <x v="171"/>
    <x v="0"/>
    <x v="1"/>
    <x v="0"/>
    <x v="1"/>
    <x v="2"/>
    <x v="21"/>
    <x v="9"/>
    <x v="282"/>
    <x v="0"/>
    <x v="0"/>
    <x v="0"/>
    <x v="0"/>
    <x v="55"/>
    <x v="55"/>
  </r>
  <r>
    <x v="340"/>
    <x v="336"/>
    <x v="286"/>
    <x v="7"/>
    <x v="1"/>
    <x v="1"/>
    <x v="0"/>
    <x v="0"/>
    <x v="3"/>
    <x v="8"/>
    <x v="283"/>
    <x v="0"/>
    <x v="7"/>
    <x v="1"/>
    <x v="7"/>
    <x v="4"/>
    <x v="4"/>
  </r>
  <r>
    <x v="341"/>
    <x v="337"/>
    <x v="287"/>
    <x v="5"/>
    <x v="3"/>
    <x v="2"/>
    <x v="2"/>
    <x v="0"/>
    <x v="11"/>
    <x v="1"/>
    <x v="284"/>
    <x v="0"/>
    <x v="5"/>
    <x v="2"/>
    <x v="5"/>
    <x v="106"/>
    <x v="106"/>
  </r>
  <r>
    <x v="342"/>
    <x v="338"/>
    <x v="288"/>
    <x v="16"/>
    <x v="1"/>
    <x v="5"/>
    <x v="0"/>
    <x v="0"/>
    <x v="46"/>
    <x v="2"/>
    <x v="285"/>
    <x v="0"/>
    <x v="16"/>
    <x v="1"/>
    <x v="16"/>
    <x v="110"/>
    <x v="110"/>
  </r>
  <r>
    <x v="343"/>
    <x v="339"/>
    <x v="289"/>
    <x v="18"/>
    <x v="2"/>
    <x v="2"/>
    <x v="0"/>
    <x v="0"/>
    <x v="35"/>
    <x v="4"/>
    <x v="286"/>
    <x v="0"/>
    <x v="18"/>
    <x v="1"/>
    <x v="18"/>
    <x v="53"/>
    <x v="53"/>
  </r>
  <r>
    <x v="344"/>
    <x v="340"/>
    <x v="290"/>
    <x v="9"/>
    <x v="1"/>
    <x v="2"/>
    <x v="1"/>
    <x v="0"/>
    <x v="43"/>
    <x v="2"/>
    <x v="57"/>
    <x v="0"/>
    <x v="9"/>
    <x v="0"/>
    <x v="9"/>
    <x v="4"/>
    <x v="4"/>
  </r>
  <r>
    <x v="345"/>
    <x v="341"/>
    <x v="291"/>
    <x v="15"/>
    <x v="3"/>
    <x v="0"/>
    <x v="0"/>
    <x v="0"/>
    <x v="15"/>
    <x v="2"/>
    <x v="250"/>
    <x v="0"/>
    <x v="15"/>
    <x v="5"/>
    <x v="15"/>
    <x v="111"/>
    <x v="111"/>
  </r>
  <r>
    <x v="346"/>
    <x v="342"/>
    <x v="46"/>
    <x v="8"/>
    <x v="1"/>
    <x v="3"/>
    <x v="2"/>
    <x v="0"/>
    <x v="11"/>
    <x v="2"/>
    <x v="287"/>
    <x v="2"/>
    <x v="8"/>
    <x v="1"/>
    <x v="8"/>
    <x v="10"/>
    <x v="10"/>
  </r>
  <r>
    <x v="347"/>
    <x v="343"/>
    <x v="40"/>
    <x v="8"/>
    <x v="1"/>
    <x v="1"/>
    <x v="0"/>
    <x v="0"/>
    <x v="0"/>
    <x v="2"/>
    <x v="288"/>
    <x v="1"/>
    <x v="8"/>
    <x v="1"/>
    <x v="8"/>
    <x v="15"/>
    <x v="15"/>
  </r>
  <r>
    <x v="348"/>
    <x v="344"/>
    <x v="292"/>
    <x v="0"/>
    <x v="2"/>
    <x v="5"/>
    <x v="0"/>
    <x v="0"/>
    <x v="46"/>
    <x v="9"/>
    <x v="289"/>
    <x v="0"/>
    <x v="0"/>
    <x v="0"/>
    <x v="0"/>
    <x v="76"/>
    <x v="76"/>
  </r>
  <r>
    <x v="349"/>
    <x v="345"/>
    <x v="293"/>
    <x v="14"/>
    <x v="1"/>
    <x v="2"/>
    <x v="0"/>
    <x v="0"/>
    <x v="19"/>
    <x v="2"/>
    <x v="290"/>
    <x v="0"/>
    <x v="14"/>
    <x v="1"/>
    <x v="14"/>
    <x v="78"/>
    <x v="78"/>
  </r>
  <r>
    <x v="350"/>
    <x v="346"/>
    <x v="294"/>
    <x v="6"/>
    <x v="1"/>
    <x v="2"/>
    <x v="0"/>
    <x v="0"/>
    <x v="36"/>
    <x v="6"/>
    <x v="291"/>
    <x v="0"/>
    <x v="6"/>
    <x v="0"/>
    <x v="6"/>
    <x v="13"/>
    <x v="13"/>
  </r>
  <r>
    <x v="351"/>
    <x v="347"/>
    <x v="295"/>
    <x v="6"/>
    <x v="3"/>
    <x v="1"/>
    <x v="0"/>
    <x v="0"/>
    <x v="11"/>
    <x v="5"/>
    <x v="174"/>
    <x v="0"/>
    <x v="6"/>
    <x v="0"/>
    <x v="6"/>
    <x v="40"/>
    <x v="40"/>
  </r>
  <r>
    <x v="352"/>
    <x v="348"/>
    <x v="296"/>
    <x v="12"/>
    <x v="1"/>
    <x v="3"/>
    <x v="0"/>
    <x v="0"/>
    <x v="2"/>
    <x v="2"/>
    <x v="292"/>
    <x v="2"/>
    <x v="12"/>
    <x v="4"/>
    <x v="12"/>
    <x v="90"/>
    <x v="90"/>
  </r>
  <r>
    <x v="353"/>
    <x v="349"/>
    <x v="254"/>
    <x v="4"/>
    <x v="1"/>
    <x v="2"/>
    <x v="0"/>
    <x v="0"/>
    <x v="41"/>
    <x v="8"/>
    <x v="12"/>
    <x v="1"/>
    <x v="4"/>
    <x v="0"/>
    <x v="4"/>
    <x v="15"/>
    <x v="15"/>
  </r>
  <r>
    <x v="354"/>
    <x v="350"/>
    <x v="297"/>
    <x v="2"/>
    <x v="0"/>
    <x v="4"/>
    <x v="0"/>
    <x v="0"/>
    <x v="24"/>
    <x v="8"/>
    <x v="293"/>
    <x v="1"/>
    <x v="2"/>
    <x v="1"/>
    <x v="2"/>
    <x v="112"/>
    <x v="112"/>
  </r>
  <r>
    <x v="355"/>
    <x v="351"/>
    <x v="298"/>
    <x v="7"/>
    <x v="1"/>
    <x v="0"/>
    <x v="2"/>
    <x v="2"/>
    <x v="16"/>
    <x v="3"/>
    <x v="257"/>
    <x v="1"/>
    <x v="7"/>
    <x v="1"/>
    <x v="7"/>
    <x v="0"/>
    <x v="0"/>
  </r>
  <r>
    <x v="356"/>
    <x v="352"/>
    <x v="92"/>
    <x v="17"/>
    <x v="1"/>
    <x v="5"/>
    <x v="0"/>
    <x v="0"/>
    <x v="3"/>
    <x v="2"/>
    <x v="294"/>
    <x v="0"/>
    <x v="17"/>
    <x v="4"/>
    <x v="17"/>
    <x v="113"/>
    <x v="113"/>
  </r>
  <r>
    <x v="357"/>
    <x v="353"/>
    <x v="138"/>
    <x v="0"/>
    <x v="1"/>
    <x v="2"/>
    <x v="3"/>
    <x v="0"/>
    <x v="7"/>
    <x v="8"/>
    <x v="295"/>
    <x v="2"/>
    <x v="0"/>
    <x v="0"/>
    <x v="0"/>
    <x v="43"/>
    <x v="43"/>
  </r>
  <r>
    <x v="358"/>
    <x v="354"/>
    <x v="34"/>
    <x v="10"/>
    <x v="3"/>
    <x v="3"/>
    <x v="0"/>
    <x v="0"/>
    <x v="32"/>
    <x v="4"/>
    <x v="23"/>
    <x v="1"/>
    <x v="10"/>
    <x v="3"/>
    <x v="10"/>
    <x v="52"/>
    <x v="52"/>
  </r>
  <r>
    <x v="359"/>
    <x v="355"/>
    <x v="299"/>
    <x v="18"/>
    <x v="1"/>
    <x v="2"/>
    <x v="0"/>
    <x v="0"/>
    <x v="31"/>
    <x v="2"/>
    <x v="296"/>
    <x v="0"/>
    <x v="18"/>
    <x v="1"/>
    <x v="18"/>
    <x v="57"/>
    <x v="57"/>
  </r>
  <r>
    <x v="360"/>
    <x v="356"/>
    <x v="241"/>
    <x v="0"/>
    <x v="3"/>
    <x v="3"/>
    <x v="2"/>
    <x v="0"/>
    <x v="17"/>
    <x v="7"/>
    <x v="71"/>
    <x v="0"/>
    <x v="0"/>
    <x v="0"/>
    <x v="0"/>
    <x v="40"/>
    <x v="40"/>
  </r>
  <r>
    <x v="361"/>
    <x v="357"/>
    <x v="300"/>
    <x v="5"/>
    <x v="0"/>
    <x v="2"/>
    <x v="2"/>
    <x v="1"/>
    <x v="21"/>
    <x v="6"/>
    <x v="234"/>
    <x v="1"/>
    <x v="5"/>
    <x v="2"/>
    <x v="5"/>
    <x v="5"/>
    <x v="5"/>
  </r>
  <r>
    <x v="362"/>
    <x v="358"/>
    <x v="227"/>
    <x v="4"/>
    <x v="3"/>
    <x v="1"/>
    <x v="0"/>
    <x v="0"/>
    <x v="18"/>
    <x v="7"/>
    <x v="297"/>
    <x v="1"/>
    <x v="4"/>
    <x v="0"/>
    <x v="4"/>
    <x v="12"/>
    <x v="12"/>
  </r>
  <r>
    <x v="363"/>
    <x v="359"/>
    <x v="301"/>
    <x v="4"/>
    <x v="2"/>
    <x v="0"/>
    <x v="0"/>
    <x v="0"/>
    <x v="12"/>
    <x v="1"/>
    <x v="298"/>
    <x v="0"/>
    <x v="4"/>
    <x v="0"/>
    <x v="4"/>
    <x v="63"/>
    <x v="63"/>
  </r>
  <r>
    <x v="364"/>
    <x v="360"/>
    <x v="302"/>
    <x v="2"/>
    <x v="1"/>
    <x v="0"/>
    <x v="3"/>
    <x v="0"/>
    <x v="7"/>
    <x v="2"/>
    <x v="299"/>
    <x v="1"/>
    <x v="2"/>
    <x v="1"/>
    <x v="2"/>
    <x v="24"/>
    <x v="24"/>
  </r>
  <r>
    <x v="365"/>
    <x v="361"/>
    <x v="72"/>
    <x v="10"/>
    <x v="0"/>
    <x v="5"/>
    <x v="2"/>
    <x v="0"/>
    <x v="13"/>
    <x v="2"/>
    <x v="300"/>
    <x v="0"/>
    <x v="10"/>
    <x v="3"/>
    <x v="10"/>
    <x v="59"/>
    <x v="59"/>
  </r>
  <r>
    <x v="366"/>
    <x v="16"/>
    <x v="303"/>
    <x v="10"/>
    <x v="3"/>
    <x v="4"/>
    <x v="1"/>
    <x v="0"/>
    <x v="14"/>
    <x v="2"/>
    <x v="15"/>
    <x v="2"/>
    <x v="10"/>
    <x v="3"/>
    <x v="10"/>
    <x v="76"/>
    <x v="76"/>
  </r>
  <r>
    <x v="367"/>
    <x v="362"/>
    <x v="304"/>
    <x v="11"/>
    <x v="1"/>
    <x v="3"/>
    <x v="0"/>
    <x v="0"/>
    <x v="1"/>
    <x v="0"/>
    <x v="301"/>
    <x v="0"/>
    <x v="11"/>
    <x v="1"/>
    <x v="11"/>
    <x v="114"/>
    <x v="114"/>
  </r>
  <r>
    <x v="368"/>
    <x v="363"/>
    <x v="305"/>
    <x v="4"/>
    <x v="3"/>
    <x v="2"/>
    <x v="0"/>
    <x v="0"/>
    <x v="27"/>
    <x v="5"/>
    <x v="61"/>
    <x v="0"/>
    <x v="4"/>
    <x v="0"/>
    <x v="4"/>
    <x v="7"/>
    <x v="7"/>
  </r>
  <r>
    <x v="369"/>
    <x v="364"/>
    <x v="306"/>
    <x v="6"/>
    <x v="3"/>
    <x v="3"/>
    <x v="2"/>
    <x v="0"/>
    <x v="7"/>
    <x v="8"/>
    <x v="234"/>
    <x v="0"/>
    <x v="6"/>
    <x v="0"/>
    <x v="6"/>
    <x v="77"/>
    <x v="77"/>
  </r>
  <r>
    <x v="370"/>
    <x v="365"/>
    <x v="50"/>
    <x v="4"/>
    <x v="2"/>
    <x v="0"/>
    <x v="1"/>
    <x v="0"/>
    <x v="46"/>
    <x v="4"/>
    <x v="302"/>
    <x v="1"/>
    <x v="4"/>
    <x v="0"/>
    <x v="4"/>
    <x v="63"/>
    <x v="63"/>
  </r>
  <r>
    <x v="371"/>
    <x v="366"/>
    <x v="96"/>
    <x v="15"/>
    <x v="1"/>
    <x v="1"/>
    <x v="0"/>
    <x v="0"/>
    <x v="46"/>
    <x v="6"/>
    <x v="303"/>
    <x v="1"/>
    <x v="15"/>
    <x v="5"/>
    <x v="15"/>
    <x v="41"/>
    <x v="41"/>
  </r>
  <r>
    <x v="372"/>
    <x v="367"/>
    <x v="307"/>
    <x v="16"/>
    <x v="0"/>
    <x v="4"/>
    <x v="1"/>
    <x v="0"/>
    <x v="30"/>
    <x v="7"/>
    <x v="304"/>
    <x v="0"/>
    <x v="16"/>
    <x v="1"/>
    <x v="16"/>
    <x v="115"/>
    <x v="115"/>
  </r>
  <r>
    <x v="373"/>
    <x v="368"/>
    <x v="308"/>
    <x v="13"/>
    <x v="0"/>
    <x v="5"/>
    <x v="1"/>
    <x v="1"/>
    <x v="44"/>
    <x v="2"/>
    <x v="305"/>
    <x v="0"/>
    <x v="13"/>
    <x v="1"/>
    <x v="13"/>
    <x v="116"/>
    <x v="116"/>
  </r>
  <r>
    <x v="374"/>
    <x v="369"/>
    <x v="309"/>
    <x v="8"/>
    <x v="1"/>
    <x v="2"/>
    <x v="2"/>
    <x v="2"/>
    <x v="47"/>
    <x v="2"/>
    <x v="302"/>
    <x v="1"/>
    <x v="8"/>
    <x v="1"/>
    <x v="8"/>
    <x v="17"/>
    <x v="17"/>
  </r>
  <r>
    <x v="375"/>
    <x v="370"/>
    <x v="132"/>
    <x v="6"/>
    <x v="1"/>
    <x v="3"/>
    <x v="1"/>
    <x v="2"/>
    <x v="35"/>
    <x v="4"/>
    <x v="301"/>
    <x v="0"/>
    <x v="6"/>
    <x v="0"/>
    <x v="6"/>
    <x v="6"/>
    <x v="6"/>
  </r>
  <r>
    <x v="376"/>
    <x v="371"/>
    <x v="24"/>
    <x v="5"/>
    <x v="0"/>
    <x v="2"/>
    <x v="2"/>
    <x v="0"/>
    <x v="10"/>
    <x v="9"/>
    <x v="306"/>
    <x v="0"/>
    <x v="5"/>
    <x v="2"/>
    <x v="5"/>
    <x v="5"/>
    <x v="5"/>
  </r>
  <r>
    <x v="377"/>
    <x v="372"/>
    <x v="310"/>
    <x v="8"/>
    <x v="1"/>
    <x v="3"/>
    <x v="3"/>
    <x v="0"/>
    <x v="45"/>
    <x v="4"/>
    <x v="291"/>
    <x v="0"/>
    <x v="8"/>
    <x v="1"/>
    <x v="8"/>
    <x v="10"/>
    <x v="10"/>
  </r>
  <r>
    <x v="378"/>
    <x v="373"/>
    <x v="52"/>
    <x v="5"/>
    <x v="1"/>
    <x v="0"/>
    <x v="0"/>
    <x v="0"/>
    <x v="43"/>
    <x v="5"/>
    <x v="307"/>
    <x v="0"/>
    <x v="5"/>
    <x v="2"/>
    <x v="5"/>
    <x v="99"/>
    <x v="99"/>
  </r>
  <r>
    <x v="379"/>
    <x v="374"/>
    <x v="263"/>
    <x v="1"/>
    <x v="1"/>
    <x v="5"/>
    <x v="1"/>
    <x v="0"/>
    <x v="23"/>
    <x v="1"/>
    <x v="64"/>
    <x v="2"/>
    <x v="1"/>
    <x v="0"/>
    <x v="1"/>
    <x v="85"/>
    <x v="85"/>
  </r>
  <r>
    <x v="380"/>
    <x v="375"/>
    <x v="311"/>
    <x v="4"/>
    <x v="1"/>
    <x v="2"/>
    <x v="2"/>
    <x v="0"/>
    <x v="15"/>
    <x v="6"/>
    <x v="308"/>
    <x v="0"/>
    <x v="4"/>
    <x v="0"/>
    <x v="4"/>
    <x v="15"/>
    <x v="15"/>
  </r>
  <r>
    <x v="381"/>
    <x v="376"/>
    <x v="312"/>
    <x v="1"/>
    <x v="3"/>
    <x v="3"/>
    <x v="1"/>
    <x v="0"/>
    <x v="8"/>
    <x v="7"/>
    <x v="69"/>
    <x v="0"/>
    <x v="1"/>
    <x v="0"/>
    <x v="1"/>
    <x v="49"/>
    <x v="49"/>
  </r>
  <r>
    <x v="382"/>
    <x v="377"/>
    <x v="31"/>
    <x v="6"/>
    <x v="1"/>
    <x v="2"/>
    <x v="0"/>
    <x v="0"/>
    <x v="3"/>
    <x v="4"/>
    <x v="309"/>
    <x v="0"/>
    <x v="6"/>
    <x v="0"/>
    <x v="6"/>
    <x v="13"/>
    <x v="13"/>
  </r>
  <r>
    <x v="383"/>
    <x v="378"/>
    <x v="167"/>
    <x v="4"/>
    <x v="1"/>
    <x v="4"/>
    <x v="2"/>
    <x v="0"/>
    <x v="1"/>
    <x v="5"/>
    <x v="310"/>
    <x v="1"/>
    <x v="4"/>
    <x v="0"/>
    <x v="4"/>
    <x v="6"/>
    <x v="6"/>
  </r>
  <r>
    <x v="384"/>
    <x v="379"/>
    <x v="313"/>
    <x v="12"/>
    <x v="2"/>
    <x v="3"/>
    <x v="0"/>
    <x v="0"/>
    <x v="10"/>
    <x v="6"/>
    <x v="311"/>
    <x v="1"/>
    <x v="12"/>
    <x v="4"/>
    <x v="12"/>
    <x v="21"/>
    <x v="21"/>
  </r>
  <r>
    <x v="385"/>
    <x v="380"/>
    <x v="314"/>
    <x v="1"/>
    <x v="3"/>
    <x v="2"/>
    <x v="0"/>
    <x v="0"/>
    <x v="12"/>
    <x v="0"/>
    <x v="158"/>
    <x v="0"/>
    <x v="1"/>
    <x v="0"/>
    <x v="1"/>
    <x v="75"/>
    <x v="75"/>
  </r>
  <r>
    <x v="386"/>
    <x v="381"/>
    <x v="315"/>
    <x v="8"/>
    <x v="1"/>
    <x v="4"/>
    <x v="2"/>
    <x v="0"/>
    <x v="46"/>
    <x v="2"/>
    <x v="312"/>
    <x v="0"/>
    <x v="8"/>
    <x v="1"/>
    <x v="8"/>
    <x v="45"/>
    <x v="45"/>
  </r>
  <r>
    <x v="387"/>
    <x v="382"/>
    <x v="316"/>
    <x v="18"/>
    <x v="0"/>
    <x v="1"/>
    <x v="1"/>
    <x v="2"/>
    <x v="11"/>
    <x v="4"/>
    <x v="263"/>
    <x v="1"/>
    <x v="18"/>
    <x v="1"/>
    <x v="18"/>
    <x v="14"/>
    <x v="14"/>
  </r>
  <r>
    <x v="388"/>
    <x v="383"/>
    <x v="280"/>
    <x v="2"/>
    <x v="1"/>
    <x v="4"/>
    <x v="2"/>
    <x v="0"/>
    <x v="3"/>
    <x v="4"/>
    <x v="313"/>
    <x v="0"/>
    <x v="2"/>
    <x v="1"/>
    <x v="2"/>
    <x v="34"/>
    <x v="34"/>
  </r>
  <r>
    <x v="389"/>
    <x v="384"/>
    <x v="58"/>
    <x v="10"/>
    <x v="3"/>
    <x v="2"/>
    <x v="1"/>
    <x v="0"/>
    <x v="28"/>
    <x v="2"/>
    <x v="259"/>
    <x v="1"/>
    <x v="10"/>
    <x v="3"/>
    <x v="10"/>
    <x v="19"/>
    <x v="19"/>
  </r>
  <r>
    <x v="390"/>
    <x v="385"/>
    <x v="317"/>
    <x v="9"/>
    <x v="2"/>
    <x v="2"/>
    <x v="2"/>
    <x v="0"/>
    <x v="43"/>
    <x v="2"/>
    <x v="314"/>
    <x v="0"/>
    <x v="9"/>
    <x v="0"/>
    <x v="9"/>
    <x v="24"/>
    <x v="24"/>
  </r>
  <r>
    <x v="391"/>
    <x v="386"/>
    <x v="318"/>
    <x v="13"/>
    <x v="1"/>
    <x v="2"/>
    <x v="0"/>
    <x v="0"/>
    <x v="17"/>
    <x v="5"/>
    <x v="93"/>
    <x v="0"/>
    <x v="13"/>
    <x v="1"/>
    <x v="13"/>
    <x v="74"/>
    <x v="74"/>
  </r>
  <r>
    <x v="392"/>
    <x v="387"/>
    <x v="319"/>
    <x v="15"/>
    <x v="2"/>
    <x v="2"/>
    <x v="0"/>
    <x v="0"/>
    <x v="8"/>
    <x v="3"/>
    <x v="315"/>
    <x v="1"/>
    <x v="15"/>
    <x v="5"/>
    <x v="15"/>
    <x v="93"/>
    <x v="93"/>
  </r>
  <r>
    <x v="393"/>
    <x v="388"/>
    <x v="320"/>
    <x v="0"/>
    <x v="1"/>
    <x v="3"/>
    <x v="0"/>
    <x v="0"/>
    <x v="30"/>
    <x v="7"/>
    <x v="184"/>
    <x v="0"/>
    <x v="0"/>
    <x v="0"/>
    <x v="0"/>
    <x v="43"/>
    <x v="43"/>
  </r>
  <r>
    <x v="394"/>
    <x v="389"/>
    <x v="321"/>
    <x v="5"/>
    <x v="1"/>
    <x v="2"/>
    <x v="3"/>
    <x v="0"/>
    <x v="47"/>
    <x v="8"/>
    <x v="316"/>
    <x v="1"/>
    <x v="5"/>
    <x v="2"/>
    <x v="5"/>
    <x v="0"/>
    <x v="0"/>
  </r>
  <r>
    <x v="395"/>
    <x v="390"/>
    <x v="322"/>
    <x v="8"/>
    <x v="2"/>
    <x v="3"/>
    <x v="0"/>
    <x v="0"/>
    <x v="6"/>
    <x v="2"/>
    <x v="317"/>
    <x v="2"/>
    <x v="8"/>
    <x v="1"/>
    <x v="8"/>
    <x v="12"/>
    <x v="12"/>
  </r>
  <r>
    <x v="396"/>
    <x v="391"/>
    <x v="323"/>
    <x v="13"/>
    <x v="2"/>
    <x v="2"/>
    <x v="0"/>
    <x v="0"/>
    <x v="9"/>
    <x v="7"/>
    <x v="318"/>
    <x v="0"/>
    <x v="13"/>
    <x v="1"/>
    <x v="13"/>
    <x v="117"/>
    <x v="117"/>
  </r>
  <r>
    <x v="397"/>
    <x v="332"/>
    <x v="207"/>
    <x v="15"/>
    <x v="1"/>
    <x v="1"/>
    <x v="0"/>
    <x v="0"/>
    <x v="31"/>
    <x v="3"/>
    <x v="280"/>
    <x v="0"/>
    <x v="15"/>
    <x v="5"/>
    <x v="15"/>
    <x v="41"/>
    <x v="41"/>
  </r>
  <r>
    <x v="398"/>
    <x v="392"/>
    <x v="214"/>
    <x v="4"/>
    <x v="3"/>
    <x v="5"/>
    <x v="0"/>
    <x v="0"/>
    <x v="44"/>
    <x v="2"/>
    <x v="131"/>
    <x v="1"/>
    <x v="4"/>
    <x v="0"/>
    <x v="4"/>
    <x v="85"/>
    <x v="85"/>
  </r>
  <r>
    <x v="399"/>
    <x v="393"/>
    <x v="137"/>
    <x v="10"/>
    <x v="3"/>
    <x v="0"/>
    <x v="0"/>
    <x v="0"/>
    <x v="16"/>
    <x v="2"/>
    <x v="319"/>
    <x v="0"/>
    <x v="10"/>
    <x v="3"/>
    <x v="10"/>
    <x v="39"/>
    <x v="39"/>
  </r>
  <r>
    <x v="400"/>
    <x v="394"/>
    <x v="324"/>
    <x v="1"/>
    <x v="0"/>
    <x v="3"/>
    <x v="2"/>
    <x v="0"/>
    <x v="6"/>
    <x v="4"/>
    <x v="320"/>
    <x v="1"/>
    <x v="1"/>
    <x v="0"/>
    <x v="1"/>
    <x v="118"/>
    <x v="118"/>
  </r>
  <r>
    <x v="401"/>
    <x v="395"/>
    <x v="244"/>
    <x v="16"/>
    <x v="2"/>
    <x v="0"/>
    <x v="3"/>
    <x v="2"/>
    <x v="5"/>
    <x v="2"/>
    <x v="321"/>
    <x v="0"/>
    <x v="16"/>
    <x v="1"/>
    <x v="16"/>
    <x v="102"/>
    <x v="102"/>
  </r>
  <r>
    <x v="402"/>
    <x v="396"/>
    <x v="241"/>
    <x v="4"/>
    <x v="1"/>
    <x v="5"/>
    <x v="2"/>
    <x v="0"/>
    <x v="28"/>
    <x v="7"/>
    <x v="196"/>
    <x v="1"/>
    <x v="4"/>
    <x v="0"/>
    <x v="4"/>
    <x v="70"/>
    <x v="70"/>
  </r>
  <r>
    <x v="403"/>
    <x v="397"/>
    <x v="81"/>
    <x v="17"/>
    <x v="0"/>
    <x v="2"/>
    <x v="1"/>
    <x v="0"/>
    <x v="7"/>
    <x v="5"/>
    <x v="322"/>
    <x v="0"/>
    <x v="17"/>
    <x v="4"/>
    <x v="17"/>
    <x v="80"/>
    <x v="80"/>
  </r>
  <r>
    <x v="404"/>
    <x v="398"/>
    <x v="325"/>
    <x v="7"/>
    <x v="2"/>
    <x v="2"/>
    <x v="0"/>
    <x v="0"/>
    <x v="5"/>
    <x v="0"/>
    <x v="323"/>
    <x v="1"/>
    <x v="7"/>
    <x v="1"/>
    <x v="7"/>
    <x v="87"/>
    <x v="87"/>
  </r>
  <r>
    <x v="405"/>
    <x v="399"/>
    <x v="60"/>
    <x v="8"/>
    <x v="1"/>
    <x v="3"/>
    <x v="0"/>
    <x v="0"/>
    <x v="18"/>
    <x v="1"/>
    <x v="324"/>
    <x v="0"/>
    <x v="8"/>
    <x v="1"/>
    <x v="8"/>
    <x v="10"/>
    <x v="10"/>
  </r>
  <r>
    <x v="406"/>
    <x v="400"/>
    <x v="326"/>
    <x v="6"/>
    <x v="5"/>
    <x v="2"/>
    <x v="0"/>
    <x v="0"/>
    <x v="26"/>
    <x v="4"/>
    <x v="153"/>
    <x v="0"/>
    <x v="6"/>
    <x v="0"/>
    <x v="6"/>
    <x v="119"/>
    <x v="119"/>
  </r>
  <r>
    <x v="407"/>
    <x v="401"/>
    <x v="327"/>
    <x v="4"/>
    <x v="1"/>
    <x v="2"/>
    <x v="0"/>
    <x v="0"/>
    <x v="11"/>
    <x v="7"/>
    <x v="312"/>
    <x v="0"/>
    <x v="4"/>
    <x v="0"/>
    <x v="4"/>
    <x v="15"/>
    <x v="15"/>
  </r>
  <r>
    <x v="408"/>
    <x v="402"/>
    <x v="269"/>
    <x v="10"/>
    <x v="2"/>
    <x v="3"/>
    <x v="0"/>
    <x v="0"/>
    <x v="41"/>
    <x v="2"/>
    <x v="319"/>
    <x v="1"/>
    <x v="10"/>
    <x v="3"/>
    <x v="10"/>
    <x v="45"/>
    <x v="45"/>
  </r>
  <r>
    <x v="409"/>
    <x v="403"/>
    <x v="328"/>
    <x v="1"/>
    <x v="1"/>
    <x v="2"/>
    <x v="2"/>
    <x v="0"/>
    <x v="34"/>
    <x v="8"/>
    <x v="325"/>
    <x v="0"/>
    <x v="1"/>
    <x v="0"/>
    <x v="1"/>
    <x v="7"/>
    <x v="7"/>
  </r>
  <r>
    <x v="410"/>
    <x v="404"/>
    <x v="241"/>
    <x v="14"/>
    <x v="1"/>
    <x v="2"/>
    <x v="2"/>
    <x v="0"/>
    <x v="7"/>
    <x v="7"/>
    <x v="326"/>
    <x v="1"/>
    <x v="14"/>
    <x v="1"/>
    <x v="14"/>
    <x v="78"/>
    <x v="78"/>
  </r>
  <r>
    <x v="411"/>
    <x v="405"/>
    <x v="329"/>
    <x v="14"/>
    <x v="2"/>
    <x v="5"/>
    <x v="2"/>
    <x v="0"/>
    <x v="37"/>
    <x v="4"/>
    <x v="166"/>
    <x v="0"/>
    <x v="14"/>
    <x v="1"/>
    <x v="14"/>
    <x v="5"/>
    <x v="5"/>
  </r>
  <r>
    <x v="412"/>
    <x v="406"/>
    <x v="330"/>
    <x v="15"/>
    <x v="0"/>
    <x v="0"/>
    <x v="1"/>
    <x v="2"/>
    <x v="37"/>
    <x v="2"/>
    <x v="149"/>
    <x v="0"/>
    <x v="15"/>
    <x v="5"/>
    <x v="15"/>
    <x v="120"/>
    <x v="120"/>
  </r>
  <r>
    <x v="413"/>
    <x v="407"/>
    <x v="331"/>
    <x v="18"/>
    <x v="1"/>
    <x v="5"/>
    <x v="0"/>
    <x v="0"/>
    <x v="28"/>
    <x v="2"/>
    <x v="327"/>
    <x v="0"/>
    <x v="18"/>
    <x v="1"/>
    <x v="18"/>
    <x v="64"/>
    <x v="64"/>
  </r>
  <r>
    <x v="414"/>
    <x v="408"/>
    <x v="332"/>
    <x v="1"/>
    <x v="1"/>
    <x v="0"/>
    <x v="2"/>
    <x v="0"/>
    <x v="26"/>
    <x v="1"/>
    <x v="328"/>
    <x v="0"/>
    <x v="1"/>
    <x v="0"/>
    <x v="1"/>
    <x v="1"/>
    <x v="1"/>
  </r>
  <r>
    <x v="415"/>
    <x v="409"/>
    <x v="43"/>
    <x v="0"/>
    <x v="2"/>
    <x v="2"/>
    <x v="0"/>
    <x v="0"/>
    <x v="38"/>
    <x v="0"/>
    <x v="329"/>
    <x v="0"/>
    <x v="0"/>
    <x v="0"/>
    <x v="0"/>
    <x v="17"/>
    <x v="17"/>
  </r>
  <r>
    <x v="416"/>
    <x v="410"/>
    <x v="288"/>
    <x v="7"/>
    <x v="1"/>
    <x v="2"/>
    <x v="1"/>
    <x v="0"/>
    <x v="41"/>
    <x v="1"/>
    <x v="330"/>
    <x v="0"/>
    <x v="7"/>
    <x v="1"/>
    <x v="7"/>
    <x v="101"/>
    <x v="101"/>
  </r>
  <r>
    <x v="417"/>
    <x v="411"/>
    <x v="333"/>
    <x v="13"/>
    <x v="2"/>
    <x v="3"/>
    <x v="0"/>
    <x v="0"/>
    <x v="39"/>
    <x v="7"/>
    <x v="331"/>
    <x v="2"/>
    <x v="13"/>
    <x v="1"/>
    <x v="13"/>
    <x v="25"/>
    <x v="25"/>
  </r>
  <r>
    <x v="418"/>
    <x v="412"/>
    <x v="334"/>
    <x v="4"/>
    <x v="1"/>
    <x v="3"/>
    <x v="1"/>
    <x v="0"/>
    <x v="41"/>
    <x v="5"/>
    <x v="332"/>
    <x v="1"/>
    <x v="4"/>
    <x v="0"/>
    <x v="4"/>
    <x v="45"/>
    <x v="45"/>
  </r>
  <r>
    <x v="419"/>
    <x v="413"/>
    <x v="83"/>
    <x v="8"/>
    <x v="1"/>
    <x v="2"/>
    <x v="0"/>
    <x v="0"/>
    <x v="39"/>
    <x v="6"/>
    <x v="274"/>
    <x v="0"/>
    <x v="8"/>
    <x v="1"/>
    <x v="8"/>
    <x v="17"/>
    <x v="17"/>
  </r>
  <r>
    <x v="420"/>
    <x v="414"/>
    <x v="335"/>
    <x v="19"/>
    <x v="1"/>
    <x v="4"/>
    <x v="2"/>
    <x v="0"/>
    <x v="42"/>
    <x v="2"/>
    <x v="333"/>
    <x v="0"/>
    <x v="19"/>
    <x v="1"/>
    <x v="19"/>
    <x v="76"/>
    <x v="76"/>
  </r>
  <r>
    <x v="421"/>
    <x v="415"/>
    <x v="336"/>
    <x v="8"/>
    <x v="1"/>
    <x v="3"/>
    <x v="0"/>
    <x v="2"/>
    <x v="13"/>
    <x v="5"/>
    <x v="263"/>
    <x v="0"/>
    <x v="8"/>
    <x v="1"/>
    <x v="8"/>
    <x v="10"/>
    <x v="10"/>
  </r>
  <r>
    <x v="422"/>
    <x v="416"/>
    <x v="337"/>
    <x v="14"/>
    <x v="2"/>
    <x v="5"/>
    <x v="0"/>
    <x v="0"/>
    <x v="13"/>
    <x v="2"/>
    <x v="215"/>
    <x v="0"/>
    <x v="14"/>
    <x v="1"/>
    <x v="14"/>
    <x v="5"/>
    <x v="5"/>
  </r>
  <r>
    <x v="423"/>
    <x v="417"/>
    <x v="325"/>
    <x v="14"/>
    <x v="2"/>
    <x v="0"/>
    <x v="3"/>
    <x v="0"/>
    <x v="40"/>
    <x v="1"/>
    <x v="334"/>
    <x v="2"/>
    <x v="14"/>
    <x v="1"/>
    <x v="14"/>
    <x v="121"/>
    <x v="121"/>
  </r>
  <r>
    <x v="424"/>
    <x v="418"/>
    <x v="338"/>
    <x v="11"/>
    <x v="1"/>
    <x v="2"/>
    <x v="0"/>
    <x v="0"/>
    <x v="24"/>
    <x v="6"/>
    <x v="335"/>
    <x v="1"/>
    <x v="11"/>
    <x v="1"/>
    <x v="11"/>
    <x v="86"/>
    <x v="86"/>
  </r>
  <r>
    <x v="425"/>
    <x v="419"/>
    <x v="339"/>
    <x v="1"/>
    <x v="3"/>
    <x v="2"/>
    <x v="1"/>
    <x v="0"/>
    <x v="38"/>
    <x v="7"/>
    <x v="336"/>
    <x v="1"/>
    <x v="1"/>
    <x v="0"/>
    <x v="1"/>
    <x v="75"/>
    <x v="75"/>
  </r>
  <r>
    <x v="426"/>
    <x v="420"/>
    <x v="49"/>
    <x v="0"/>
    <x v="4"/>
    <x v="5"/>
    <x v="1"/>
    <x v="0"/>
    <x v="6"/>
    <x v="7"/>
    <x v="337"/>
    <x v="0"/>
    <x v="0"/>
    <x v="0"/>
    <x v="0"/>
    <x v="1"/>
    <x v="1"/>
  </r>
  <r>
    <x v="427"/>
    <x v="421"/>
    <x v="340"/>
    <x v="4"/>
    <x v="1"/>
    <x v="3"/>
    <x v="2"/>
    <x v="1"/>
    <x v="24"/>
    <x v="8"/>
    <x v="338"/>
    <x v="2"/>
    <x v="4"/>
    <x v="0"/>
    <x v="4"/>
    <x v="45"/>
    <x v="45"/>
  </r>
  <r>
    <x v="428"/>
    <x v="422"/>
    <x v="341"/>
    <x v="13"/>
    <x v="0"/>
    <x v="0"/>
    <x v="0"/>
    <x v="0"/>
    <x v="22"/>
    <x v="9"/>
    <x v="339"/>
    <x v="1"/>
    <x v="13"/>
    <x v="1"/>
    <x v="13"/>
    <x v="122"/>
    <x v="122"/>
  </r>
  <r>
    <x v="429"/>
    <x v="423"/>
    <x v="342"/>
    <x v="8"/>
    <x v="3"/>
    <x v="3"/>
    <x v="2"/>
    <x v="0"/>
    <x v="44"/>
    <x v="1"/>
    <x v="340"/>
    <x v="1"/>
    <x v="8"/>
    <x v="1"/>
    <x v="8"/>
    <x v="123"/>
    <x v="123"/>
  </r>
  <r>
    <x v="430"/>
    <x v="424"/>
    <x v="118"/>
    <x v="18"/>
    <x v="2"/>
    <x v="2"/>
    <x v="0"/>
    <x v="0"/>
    <x v="47"/>
    <x v="2"/>
    <x v="276"/>
    <x v="0"/>
    <x v="18"/>
    <x v="1"/>
    <x v="18"/>
    <x v="53"/>
    <x v="53"/>
  </r>
  <r>
    <x v="431"/>
    <x v="425"/>
    <x v="343"/>
    <x v="13"/>
    <x v="3"/>
    <x v="3"/>
    <x v="0"/>
    <x v="0"/>
    <x v="4"/>
    <x v="3"/>
    <x v="341"/>
    <x v="1"/>
    <x v="13"/>
    <x v="1"/>
    <x v="13"/>
    <x v="124"/>
    <x v="124"/>
  </r>
  <r>
    <x v="432"/>
    <x v="426"/>
    <x v="344"/>
    <x v="8"/>
    <x v="2"/>
    <x v="4"/>
    <x v="0"/>
    <x v="1"/>
    <x v="5"/>
    <x v="1"/>
    <x v="244"/>
    <x v="0"/>
    <x v="8"/>
    <x v="1"/>
    <x v="8"/>
    <x v="63"/>
    <x v="63"/>
  </r>
  <r>
    <x v="433"/>
    <x v="427"/>
    <x v="55"/>
    <x v="7"/>
    <x v="1"/>
    <x v="5"/>
    <x v="1"/>
    <x v="0"/>
    <x v="9"/>
    <x v="4"/>
    <x v="96"/>
    <x v="0"/>
    <x v="7"/>
    <x v="1"/>
    <x v="7"/>
    <x v="91"/>
    <x v="91"/>
  </r>
  <r>
    <x v="434"/>
    <x v="428"/>
    <x v="256"/>
    <x v="8"/>
    <x v="4"/>
    <x v="1"/>
    <x v="2"/>
    <x v="0"/>
    <x v="20"/>
    <x v="4"/>
    <x v="342"/>
    <x v="0"/>
    <x v="8"/>
    <x v="1"/>
    <x v="8"/>
    <x v="110"/>
    <x v="110"/>
  </r>
  <r>
    <x v="435"/>
    <x v="429"/>
    <x v="232"/>
    <x v="12"/>
    <x v="1"/>
    <x v="3"/>
    <x v="2"/>
    <x v="0"/>
    <x v="21"/>
    <x v="2"/>
    <x v="260"/>
    <x v="0"/>
    <x v="12"/>
    <x v="4"/>
    <x v="12"/>
    <x v="90"/>
    <x v="90"/>
  </r>
  <r>
    <x v="436"/>
    <x v="430"/>
    <x v="345"/>
    <x v="13"/>
    <x v="1"/>
    <x v="5"/>
    <x v="2"/>
    <x v="0"/>
    <x v="9"/>
    <x v="2"/>
    <x v="343"/>
    <x v="0"/>
    <x v="13"/>
    <x v="1"/>
    <x v="13"/>
    <x v="125"/>
    <x v="125"/>
  </r>
  <r>
    <x v="437"/>
    <x v="431"/>
    <x v="346"/>
    <x v="19"/>
    <x v="1"/>
    <x v="3"/>
    <x v="0"/>
    <x v="0"/>
    <x v="41"/>
    <x v="7"/>
    <x v="344"/>
    <x v="2"/>
    <x v="19"/>
    <x v="1"/>
    <x v="19"/>
    <x v="52"/>
    <x v="52"/>
  </r>
  <r>
    <x v="438"/>
    <x v="432"/>
    <x v="48"/>
    <x v="3"/>
    <x v="1"/>
    <x v="2"/>
    <x v="1"/>
    <x v="0"/>
    <x v="47"/>
    <x v="9"/>
    <x v="345"/>
    <x v="0"/>
    <x v="3"/>
    <x v="2"/>
    <x v="3"/>
    <x v="84"/>
    <x v="84"/>
  </r>
  <r>
    <x v="439"/>
    <x v="433"/>
    <x v="347"/>
    <x v="16"/>
    <x v="2"/>
    <x v="2"/>
    <x v="2"/>
    <x v="0"/>
    <x v="47"/>
    <x v="8"/>
    <x v="0"/>
    <x v="2"/>
    <x v="16"/>
    <x v="1"/>
    <x v="16"/>
    <x v="42"/>
    <x v="42"/>
  </r>
  <r>
    <x v="440"/>
    <x v="434"/>
    <x v="348"/>
    <x v="4"/>
    <x v="1"/>
    <x v="2"/>
    <x v="2"/>
    <x v="0"/>
    <x v="9"/>
    <x v="9"/>
    <x v="346"/>
    <x v="0"/>
    <x v="4"/>
    <x v="0"/>
    <x v="4"/>
    <x v="15"/>
    <x v="15"/>
  </r>
  <r>
    <x v="441"/>
    <x v="435"/>
    <x v="349"/>
    <x v="15"/>
    <x v="1"/>
    <x v="5"/>
    <x v="2"/>
    <x v="0"/>
    <x v="15"/>
    <x v="4"/>
    <x v="347"/>
    <x v="1"/>
    <x v="15"/>
    <x v="5"/>
    <x v="15"/>
    <x v="57"/>
    <x v="57"/>
  </r>
  <r>
    <x v="442"/>
    <x v="436"/>
    <x v="350"/>
    <x v="7"/>
    <x v="2"/>
    <x v="3"/>
    <x v="2"/>
    <x v="0"/>
    <x v="37"/>
    <x v="2"/>
    <x v="348"/>
    <x v="2"/>
    <x v="7"/>
    <x v="1"/>
    <x v="7"/>
    <x v="28"/>
    <x v="28"/>
  </r>
  <r>
    <x v="443"/>
    <x v="437"/>
    <x v="351"/>
    <x v="18"/>
    <x v="1"/>
    <x v="3"/>
    <x v="0"/>
    <x v="0"/>
    <x v="9"/>
    <x v="4"/>
    <x v="349"/>
    <x v="0"/>
    <x v="18"/>
    <x v="1"/>
    <x v="18"/>
    <x v="62"/>
    <x v="62"/>
  </r>
  <r>
    <x v="444"/>
    <x v="438"/>
    <x v="352"/>
    <x v="2"/>
    <x v="0"/>
    <x v="0"/>
    <x v="1"/>
    <x v="0"/>
    <x v="46"/>
    <x v="6"/>
    <x v="350"/>
    <x v="0"/>
    <x v="2"/>
    <x v="1"/>
    <x v="2"/>
    <x v="126"/>
    <x v="126"/>
  </r>
  <r>
    <x v="445"/>
    <x v="439"/>
    <x v="353"/>
    <x v="8"/>
    <x v="1"/>
    <x v="0"/>
    <x v="1"/>
    <x v="0"/>
    <x v="45"/>
    <x v="9"/>
    <x v="351"/>
    <x v="0"/>
    <x v="8"/>
    <x v="1"/>
    <x v="8"/>
    <x v="103"/>
    <x v="103"/>
  </r>
  <r>
    <x v="446"/>
    <x v="440"/>
    <x v="354"/>
    <x v="17"/>
    <x v="2"/>
    <x v="2"/>
    <x v="0"/>
    <x v="0"/>
    <x v="1"/>
    <x v="2"/>
    <x v="352"/>
    <x v="1"/>
    <x v="17"/>
    <x v="4"/>
    <x v="17"/>
    <x v="92"/>
    <x v="92"/>
  </r>
  <r>
    <x v="447"/>
    <x v="441"/>
    <x v="355"/>
    <x v="18"/>
    <x v="1"/>
    <x v="2"/>
    <x v="0"/>
    <x v="0"/>
    <x v="20"/>
    <x v="2"/>
    <x v="186"/>
    <x v="1"/>
    <x v="18"/>
    <x v="1"/>
    <x v="18"/>
    <x v="57"/>
    <x v="57"/>
  </r>
  <r>
    <x v="448"/>
    <x v="442"/>
    <x v="70"/>
    <x v="8"/>
    <x v="2"/>
    <x v="1"/>
    <x v="0"/>
    <x v="0"/>
    <x v="17"/>
    <x v="2"/>
    <x v="196"/>
    <x v="1"/>
    <x v="8"/>
    <x v="1"/>
    <x v="8"/>
    <x v="99"/>
    <x v="99"/>
  </r>
  <r>
    <x v="449"/>
    <x v="443"/>
    <x v="356"/>
    <x v="18"/>
    <x v="1"/>
    <x v="0"/>
    <x v="0"/>
    <x v="0"/>
    <x v="9"/>
    <x v="8"/>
    <x v="353"/>
    <x v="0"/>
    <x v="18"/>
    <x v="1"/>
    <x v="18"/>
    <x v="90"/>
    <x v="90"/>
  </r>
  <r>
    <x v="450"/>
    <x v="444"/>
    <x v="357"/>
    <x v="16"/>
    <x v="1"/>
    <x v="3"/>
    <x v="0"/>
    <x v="0"/>
    <x v="17"/>
    <x v="3"/>
    <x v="354"/>
    <x v="0"/>
    <x v="16"/>
    <x v="1"/>
    <x v="16"/>
    <x v="56"/>
    <x v="56"/>
  </r>
  <r>
    <x v="451"/>
    <x v="445"/>
    <x v="358"/>
    <x v="8"/>
    <x v="2"/>
    <x v="2"/>
    <x v="3"/>
    <x v="0"/>
    <x v="30"/>
    <x v="7"/>
    <x v="355"/>
    <x v="1"/>
    <x v="8"/>
    <x v="1"/>
    <x v="8"/>
    <x v="85"/>
    <x v="85"/>
  </r>
  <r>
    <x v="452"/>
    <x v="446"/>
    <x v="138"/>
    <x v="2"/>
    <x v="2"/>
    <x v="0"/>
    <x v="0"/>
    <x v="0"/>
    <x v="17"/>
    <x v="1"/>
    <x v="356"/>
    <x v="0"/>
    <x v="2"/>
    <x v="1"/>
    <x v="2"/>
    <x v="88"/>
    <x v="88"/>
  </r>
  <r>
    <x v="453"/>
    <x v="63"/>
    <x v="359"/>
    <x v="18"/>
    <x v="1"/>
    <x v="5"/>
    <x v="3"/>
    <x v="0"/>
    <x v="36"/>
    <x v="6"/>
    <x v="61"/>
    <x v="0"/>
    <x v="18"/>
    <x v="1"/>
    <x v="18"/>
    <x v="64"/>
    <x v="64"/>
  </r>
  <r>
    <x v="454"/>
    <x v="447"/>
    <x v="360"/>
    <x v="0"/>
    <x v="1"/>
    <x v="0"/>
    <x v="0"/>
    <x v="2"/>
    <x v="9"/>
    <x v="9"/>
    <x v="357"/>
    <x v="0"/>
    <x v="0"/>
    <x v="0"/>
    <x v="0"/>
    <x v="55"/>
    <x v="55"/>
  </r>
  <r>
    <x v="455"/>
    <x v="448"/>
    <x v="283"/>
    <x v="0"/>
    <x v="3"/>
    <x v="4"/>
    <x v="0"/>
    <x v="1"/>
    <x v="31"/>
    <x v="7"/>
    <x v="56"/>
    <x v="1"/>
    <x v="0"/>
    <x v="0"/>
    <x v="0"/>
    <x v="39"/>
    <x v="39"/>
  </r>
  <r>
    <x v="456"/>
    <x v="449"/>
    <x v="361"/>
    <x v="12"/>
    <x v="1"/>
    <x v="2"/>
    <x v="1"/>
    <x v="0"/>
    <x v="29"/>
    <x v="2"/>
    <x v="358"/>
    <x v="0"/>
    <x v="12"/>
    <x v="4"/>
    <x v="12"/>
    <x v="62"/>
    <x v="62"/>
  </r>
  <r>
    <x v="457"/>
    <x v="450"/>
    <x v="75"/>
    <x v="3"/>
    <x v="3"/>
    <x v="2"/>
    <x v="0"/>
    <x v="0"/>
    <x v="41"/>
    <x v="2"/>
    <x v="359"/>
    <x v="1"/>
    <x v="3"/>
    <x v="2"/>
    <x v="3"/>
    <x v="127"/>
    <x v="127"/>
  </r>
  <r>
    <x v="458"/>
    <x v="451"/>
    <x v="335"/>
    <x v="9"/>
    <x v="3"/>
    <x v="1"/>
    <x v="0"/>
    <x v="0"/>
    <x v="20"/>
    <x v="1"/>
    <x v="360"/>
    <x v="2"/>
    <x v="9"/>
    <x v="0"/>
    <x v="9"/>
    <x v="128"/>
    <x v="128"/>
  </r>
  <r>
    <x v="459"/>
    <x v="452"/>
    <x v="84"/>
    <x v="12"/>
    <x v="1"/>
    <x v="2"/>
    <x v="3"/>
    <x v="0"/>
    <x v="38"/>
    <x v="3"/>
    <x v="361"/>
    <x v="0"/>
    <x v="12"/>
    <x v="4"/>
    <x v="12"/>
    <x v="62"/>
    <x v="62"/>
  </r>
  <r>
    <x v="460"/>
    <x v="453"/>
    <x v="362"/>
    <x v="0"/>
    <x v="3"/>
    <x v="5"/>
    <x v="2"/>
    <x v="0"/>
    <x v="41"/>
    <x v="2"/>
    <x v="362"/>
    <x v="0"/>
    <x v="0"/>
    <x v="0"/>
    <x v="0"/>
    <x v="129"/>
    <x v="129"/>
  </r>
  <r>
    <x v="461"/>
    <x v="454"/>
    <x v="156"/>
    <x v="8"/>
    <x v="1"/>
    <x v="5"/>
    <x v="3"/>
    <x v="0"/>
    <x v="11"/>
    <x v="2"/>
    <x v="363"/>
    <x v="1"/>
    <x v="8"/>
    <x v="1"/>
    <x v="8"/>
    <x v="76"/>
    <x v="76"/>
  </r>
  <r>
    <x v="462"/>
    <x v="455"/>
    <x v="65"/>
    <x v="2"/>
    <x v="2"/>
    <x v="2"/>
    <x v="1"/>
    <x v="0"/>
    <x v="34"/>
    <x v="6"/>
    <x v="364"/>
    <x v="2"/>
    <x v="2"/>
    <x v="1"/>
    <x v="2"/>
    <x v="130"/>
    <x v="130"/>
  </r>
  <r>
    <x v="463"/>
    <x v="456"/>
    <x v="284"/>
    <x v="4"/>
    <x v="1"/>
    <x v="5"/>
    <x v="0"/>
    <x v="0"/>
    <x v="47"/>
    <x v="3"/>
    <x v="67"/>
    <x v="0"/>
    <x v="4"/>
    <x v="0"/>
    <x v="4"/>
    <x v="70"/>
    <x v="70"/>
  </r>
  <r>
    <x v="464"/>
    <x v="457"/>
    <x v="363"/>
    <x v="0"/>
    <x v="2"/>
    <x v="5"/>
    <x v="0"/>
    <x v="0"/>
    <x v="31"/>
    <x v="7"/>
    <x v="365"/>
    <x v="1"/>
    <x v="0"/>
    <x v="0"/>
    <x v="0"/>
    <x v="76"/>
    <x v="76"/>
  </r>
  <r>
    <x v="465"/>
    <x v="458"/>
    <x v="364"/>
    <x v="10"/>
    <x v="1"/>
    <x v="2"/>
    <x v="0"/>
    <x v="0"/>
    <x v="0"/>
    <x v="8"/>
    <x v="366"/>
    <x v="1"/>
    <x v="10"/>
    <x v="3"/>
    <x v="10"/>
    <x v="16"/>
    <x v="16"/>
  </r>
  <r>
    <x v="466"/>
    <x v="459"/>
    <x v="33"/>
    <x v="12"/>
    <x v="2"/>
    <x v="2"/>
    <x v="3"/>
    <x v="0"/>
    <x v="22"/>
    <x v="9"/>
    <x v="367"/>
    <x v="0"/>
    <x v="12"/>
    <x v="4"/>
    <x v="12"/>
    <x v="38"/>
    <x v="38"/>
  </r>
  <r>
    <x v="467"/>
    <x v="460"/>
    <x v="365"/>
    <x v="3"/>
    <x v="3"/>
    <x v="3"/>
    <x v="1"/>
    <x v="0"/>
    <x v="5"/>
    <x v="2"/>
    <x v="368"/>
    <x v="0"/>
    <x v="3"/>
    <x v="2"/>
    <x v="3"/>
    <x v="131"/>
    <x v="131"/>
  </r>
  <r>
    <x v="468"/>
    <x v="461"/>
    <x v="366"/>
    <x v="0"/>
    <x v="2"/>
    <x v="0"/>
    <x v="0"/>
    <x v="0"/>
    <x v="26"/>
    <x v="2"/>
    <x v="11"/>
    <x v="0"/>
    <x v="0"/>
    <x v="0"/>
    <x v="0"/>
    <x v="103"/>
    <x v="103"/>
  </r>
  <r>
    <x v="469"/>
    <x v="462"/>
    <x v="367"/>
    <x v="6"/>
    <x v="3"/>
    <x v="5"/>
    <x v="1"/>
    <x v="0"/>
    <x v="8"/>
    <x v="5"/>
    <x v="183"/>
    <x v="0"/>
    <x v="6"/>
    <x v="0"/>
    <x v="6"/>
    <x v="4"/>
    <x v="4"/>
  </r>
  <r>
    <x v="470"/>
    <x v="463"/>
    <x v="368"/>
    <x v="6"/>
    <x v="3"/>
    <x v="0"/>
    <x v="2"/>
    <x v="0"/>
    <x v="21"/>
    <x v="6"/>
    <x v="369"/>
    <x v="1"/>
    <x v="6"/>
    <x v="0"/>
    <x v="6"/>
    <x v="91"/>
    <x v="91"/>
  </r>
  <r>
    <x v="471"/>
    <x v="464"/>
    <x v="369"/>
    <x v="14"/>
    <x v="1"/>
    <x v="2"/>
    <x v="0"/>
    <x v="0"/>
    <x v="32"/>
    <x v="6"/>
    <x v="370"/>
    <x v="1"/>
    <x v="14"/>
    <x v="1"/>
    <x v="14"/>
    <x v="78"/>
    <x v="78"/>
  </r>
  <r>
    <x v="472"/>
    <x v="465"/>
    <x v="370"/>
    <x v="4"/>
    <x v="2"/>
    <x v="5"/>
    <x v="0"/>
    <x v="0"/>
    <x v="33"/>
    <x v="4"/>
    <x v="371"/>
    <x v="0"/>
    <x v="4"/>
    <x v="0"/>
    <x v="4"/>
    <x v="59"/>
    <x v="59"/>
  </r>
  <r>
    <x v="473"/>
    <x v="466"/>
    <x v="29"/>
    <x v="4"/>
    <x v="0"/>
    <x v="1"/>
    <x v="0"/>
    <x v="0"/>
    <x v="45"/>
    <x v="6"/>
    <x v="80"/>
    <x v="0"/>
    <x v="4"/>
    <x v="0"/>
    <x v="4"/>
    <x v="132"/>
    <x v="132"/>
  </r>
  <r>
    <x v="474"/>
    <x v="467"/>
    <x v="371"/>
    <x v="4"/>
    <x v="0"/>
    <x v="2"/>
    <x v="3"/>
    <x v="0"/>
    <x v="45"/>
    <x v="6"/>
    <x v="372"/>
    <x v="0"/>
    <x v="4"/>
    <x v="0"/>
    <x v="4"/>
    <x v="24"/>
    <x v="24"/>
  </r>
  <r>
    <x v="475"/>
    <x v="468"/>
    <x v="372"/>
    <x v="4"/>
    <x v="1"/>
    <x v="2"/>
    <x v="0"/>
    <x v="0"/>
    <x v="20"/>
    <x v="6"/>
    <x v="282"/>
    <x v="0"/>
    <x v="4"/>
    <x v="0"/>
    <x v="4"/>
    <x v="15"/>
    <x v="15"/>
  </r>
  <r>
    <x v="476"/>
    <x v="469"/>
    <x v="373"/>
    <x v="17"/>
    <x v="4"/>
    <x v="5"/>
    <x v="0"/>
    <x v="0"/>
    <x v="24"/>
    <x v="8"/>
    <x v="260"/>
    <x v="0"/>
    <x v="17"/>
    <x v="4"/>
    <x v="17"/>
    <x v="133"/>
    <x v="133"/>
  </r>
  <r>
    <x v="477"/>
    <x v="470"/>
    <x v="374"/>
    <x v="3"/>
    <x v="2"/>
    <x v="2"/>
    <x v="1"/>
    <x v="0"/>
    <x v="8"/>
    <x v="3"/>
    <x v="373"/>
    <x v="0"/>
    <x v="3"/>
    <x v="2"/>
    <x v="3"/>
    <x v="89"/>
    <x v="89"/>
  </r>
  <r>
    <x v="478"/>
    <x v="471"/>
    <x v="319"/>
    <x v="4"/>
    <x v="1"/>
    <x v="2"/>
    <x v="1"/>
    <x v="1"/>
    <x v="47"/>
    <x v="1"/>
    <x v="374"/>
    <x v="1"/>
    <x v="4"/>
    <x v="0"/>
    <x v="4"/>
    <x v="15"/>
    <x v="15"/>
  </r>
  <r>
    <x v="479"/>
    <x v="472"/>
    <x v="375"/>
    <x v="7"/>
    <x v="1"/>
    <x v="1"/>
    <x v="3"/>
    <x v="0"/>
    <x v="25"/>
    <x v="9"/>
    <x v="245"/>
    <x v="2"/>
    <x v="7"/>
    <x v="1"/>
    <x v="7"/>
    <x v="4"/>
    <x v="4"/>
  </r>
  <r>
    <x v="480"/>
    <x v="372"/>
    <x v="293"/>
    <x v="3"/>
    <x v="0"/>
    <x v="2"/>
    <x v="0"/>
    <x v="0"/>
    <x v="45"/>
    <x v="4"/>
    <x v="291"/>
    <x v="0"/>
    <x v="3"/>
    <x v="2"/>
    <x v="3"/>
    <x v="134"/>
    <x v="134"/>
  </r>
  <r>
    <x v="481"/>
    <x v="473"/>
    <x v="236"/>
    <x v="11"/>
    <x v="1"/>
    <x v="3"/>
    <x v="0"/>
    <x v="0"/>
    <x v="45"/>
    <x v="6"/>
    <x v="375"/>
    <x v="0"/>
    <x v="11"/>
    <x v="1"/>
    <x v="11"/>
    <x v="114"/>
    <x v="114"/>
  </r>
  <r>
    <x v="482"/>
    <x v="474"/>
    <x v="376"/>
    <x v="2"/>
    <x v="3"/>
    <x v="3"/>
    <x v="0"/>
    <x v="0"/>
    <x v="36"/>
    <x v="2"/>
    <x v="376"/>
    <x v="1"/>
    <x v="2"/>
    <x v="1"/>
    <x v="2"/>
    <x v="135"/>
    <x v="135"/>
  </r>
  <r>
    <x v="483"/>
    <x v="475"/>
    <x v="300"/>
    <x v="4"/>
    <x v="2"/>
    <x v="5"/>
    <x v="0"/>
    <x v="0"/>
    <x v="30"/>
    <x v="6"/>
    <x v="79"/>
    <x v="0"/>
    <x v="4"/>
    <x v="0"/>
    <x v="4"/>
    <x v="59"/>
    <x v="59"/>
  </r>
  <r>
    <x v="484"/>
    <x v="476"/>
    <x v="377"/>
    <x v="5"/>
    <x v="2"/>
    <x v="1"/>
    <x v="0"/>
    <x v="0"/>
    <x v="32"/>
    <x v="2"/>
    <x v="377"/>
    <x v="0"/>
    <x v="5"/>
    <x v="2"/>
    <x v="5"/>
    <x v="123"/>
    <x v="123"/>
  </r>
  <r>
    <x v="485"/>
    <x v="477"/>
    <x v="378"/>
    <x v="7"/>
    <x v="2"/>
    <x v="0"/>
    <x v="0"/>
    <x v="1"/>
    <x v="45"/>
    <x v="3"/>
    <x v="361"/>
    <x v="1"/>
    <x v="7"/>
    <x v="1"/>
    <x v="7"/>
    <x v="29"/>
    <x v="29"/>
  </r>
  <r>
    <x v="486"/>
    <x v="478"/>
    <x v="379"/>
    <x v="15"/>
    <x v="1"/>
    <x v="3"/>
    <x v="2"/>
    <x v="0"/>
    <x v="21"/>
    <x v="9"/>
    <x v="264"/>
    <x v="0"/>
    <x v="15"/>
    <x v="5"/>
    <x v="15"/>
    <x v="136"/>
    <x v="136"/>
  </r>
  <r>
    <x v="487"/>
    <x v="479"/>
    <x v="380"/>
    <x v="6"/>
    <x v="1"/>
    <x v="3"/>
    <x v="0"/>
    <x v="0"/>
    <x v="25"/>
    <x v="3"/>
    <x v="378"/>
    <x v="0"/>
    <x v="6"/>
    <x v="0"/>
    <x v="6"/>
    <x v="6"/>
    <x v="6"/>
  </r>
  <r>
    <x v="488"/>
    <x v="480"/>
    <x v="179"/>
    <x v="7"/>
    <x v="1"/>
    <x v="5"/>
    <x v="3"/>
    <x v="0"/>
    <x v="2"/>
    <x v="0"/>
    <x v="353"/>
    <x v="0"/>
    <x v="7"/>
    <x v="1"/>
    <x v="7"/>
    <x v="91"/>
    <x v="91"/>
  </r>
  <r>
    <x v="489"/>
    <x v="481"/>
    <x v="208"/>
    <x v="6"/>
    <x v="3"/>
    <x v="0"/>
    <x v="0"/>
    <x v="2"/>
    <x v="24"/>
    <x v="9"/>
    <x v="379"/>
    <x v="1"/>
    <x v="6"/>
    <x v="0"/>
    <x v="6"/>
    <x v="91"/>
    <x v="91"/>
  </r>
  <r>
    <x v="490"/>
    <x v="482"/>
    <x v="381"/>
    <x v="7"/>
    <x v="2"/>
    <x v="2"/>
    <x v="1"/>
    <x v="0"/>
    <x v="45"/>
    <x v="2"/>
    <x v="338"/>
    <x v="0"/>
    <x v="7"/>
    <x v="1"/>
    <x v="7"/>
    <x v="87"/>
    <x v="87"/>
  </r>
  <r>
    <x v="491"/>
    <x v="483"/>
    <x v="382"/>
    <x v="19"/>
    <x v="1"/>
    <x v="2"/>
    <x v="0"/>
    <x v="0"/>
    <x v="4"/>
    <x v="1"/>
    <x v="380"/>
    <x v="1"/>
    <x v="19"/>
    <x v="1"/>
    <x v="19"/>
    <x v="19"/>
    <x v="19"/>
  </r>
  <r>
    <x v="492"/>
    <x v="484"/>
    <x v="383"/>
    <x v="7"/>
    <x v="1"/>
    <x v="0"/>
    <x v="0"/>
    <x v="0"/>
    <x v="42"/>
    <x v="2"/>
    <x v="381"/>
    <x v="1"/>
    <x v="7"/>
    <x v="1"/>
    <x v="7"/>
    <x v="0"/>
    <x v="0"/>
  </r>
  <r>
    <x v="493"/>
    <x v="485"/>
    <x v="85"/>
    <x v="14"/>
    <x v="1"/>
    <x v="2"/>
    <x v="0"/>
    <x v="1"/>
    <x v="3"/>
    <x v="2"/>
    <x v="382"/>
    <x v="1"/>
    <x v="14"/>
    <x v="1"/>
    <x v="14"/>
    <x v="78"/>
    <x v="78"/>
  </r>
  <r>
    <x v="494"/>
    <x v="486"/>
    <x v="384"/>
    <x v="18"/>
    <x v="1"/>
    <x v="2"/>
    <x v="1"/>
    <x v="0"/>
    <x v="5"/>
    <x v="4"/>
    <x v="383"/>
    <x v="0"/>
    <x v="18"/>
    <x v="1"/>
    <x v="18"/>
    <x v="57"/>
    <x v="57"/>
  </r>
  <r>
    <x v="495"/>
    <x v="487"/>
    <x v="385"/>
    <x v="0"/>
    <x v="2"/>
    <x v="4"/>
    <x v="3"/>
    <x v="0"/>
    <x v="43"/>
    <x v="9"/>
    <x v="384"/>
    <x v="2"/>
    <x v="0"/>
    <x v="0"/>
    <x v="0"/>
    <x v="45"/>
    <x v="45"/>
  </r>
  <r>
    <x v="496"/>
    <x v="488"/>
    <x v="386"/>
    <x v="6"/>
    <x v="1"/>
    <x v="2"/>
    <x v="0"/>
    <x v="0"/>
    <x v="26"/>
    <x v="6"/>
    <x v="99"/>
    <x v="0"/>
    <x v="6"/>
    <x v="0"/>
    <x v="6"/>
    <x v="13"/>
    <x v="13"/>
  </r>
  <r>
    <x v="497"/>
    <x v="489"/>
    <x v="387"/>
    <x v="4"/>
    <x v="0"/>
    <x v="3"/>
    <x v="3"/>
    <x v="2"/>
    <x v="30"/>
    <x v="5"/>
    <x v="385"/>
    <x v="0"/>
    <x v="4"/>
    <x v="0"/>
    <x v="4"/>
    <x v="137"/>
    <x v="137"/>
  </r>
  <r>
    <x v="498"/>
    <x v="490"/>
    <x v="388"/>
    <x v="5"/>
    <x v="1"/>
    <x v="2"/>
    <x v="3"/>
    <x v="0"/>
    <x v="35"/>
    <x v="7"/>
    <x v="386"/>
    <x v="1"/>
    <x v="5"/>
    <x v="2"/>
    <x v="5"/>
    <x v="0"/>
    <x v="0"/>
  </r>
  <r>
    <x v="499"/>
    <x v="491"/>
    <x v="389"/>
    <x v="6"/>
    <x v="2"/>
    <x v="3"/>
    <x v="0"/>
    <x v="0"/>
    <x v="20"/>
    <x v="7"/>
    <x v="119"/>
    <x v="0"/>
    <x v="6"/>
    <x v="0"/>
    <x v="6"/>
    <x v="19"/>
    <x v="19"/>
  </r>
  <r>
    <x v="500"/>
    <x v="492"/>
    <x v="390"/>
    <x v="14"/>
    <x v="1"/>
    <x v="3"/>
    <x v="2"/>
    <x v="0"/>
    <x v="33"/>
    <x v="2"/>
    <x v="387"/>
    <x v="0"/>
    <x v="14"/>
    <x v="1"/>
    <x v="14"/>
    <x v="48"/>
    <x v="48"/>
  </r>
  <r>
    <x v="501"/>
    <x v="493"/>
    <x v="391"/>
    <x v="9"/>
    <x v="1"/>
    <x v="0"/>
    <x v="1"/>
    <x v="0"/>
    <x v="42"/>
    <x v="9"/>
    <x v="388"/>
    <x v="0"/>
    <x v="9"/>
    <x v="0"/>
    <x v="9"/>
    <x v="63"/>
    <x v="63"/>
  </r>
  <r>
    <x v="502"/>
    <x v="494"/>
    <x v="186"/>
    <x v="13"/>
    <x v="1"/>
    <x v="0"/>
    <x v="0"/>
    <x v="0"/>
    <x v="20"/>
    <x v="5"/>
    <x v="163"/>
    <x v="0"/>
    <x v="13"/>
    <x v="1"/>
    <x v="13"/>
    <x v="138"/>
    <x v="138"/>
  </r>
  <r>
    <x v="503"/>
    <x v="495"/>
    <x v="392"/>
    <x v="2"/>
    <x v="3"/>
    <x v="1"/>
    <x v="2"/>
    <x v="0"/>
    <x v="1"/>
    <x v="2"/>
    <x v="389"/>
    <x v="1"/>
    <x v="2"/>
    <x v="1"/>
    <x v="2"/>
    <x v="139"/>
    <x v="139"/>
  </r>
  <r>
    <x v="504"/>
    <x v="478"/>
    <x v="393"/>
    <x v="12"/>
    <x v="1"/>
    <x v="0"/>
    <x v="0"/>
    <x v="0"/>
    <x v="21"/>
    <x v="9"/>
    <x v="264"/>
    <x v="0"/>
    <x v="12"/>
    <x v="4"/>
    <x v="12"/>
    <x v="2"/>
    <x v="2"/>
  </r>
  <r>
    <x v="505"/>
    <x v="496"/>
    <x v="204"/>
    <x v="14"/>
    <x v="2"/>
    <x v="3"/>
    <x v="0"/>
    <x v="0"/>
    <x v="26"/>
    <x v="2"/>
    <x v="381"/>
    <x v="1"/>
    <x v="14"/>
    <x v="1"/>
    <x v="14"/>
    <x v="140"/>
    <x v="140"/>
  </r>
  <r>
    <x v="506"/>
    <x v="497"/>
    <x v="105"/>
    <x v="9"/>
    <x v="1"/>
    <x v="2"/>
    <x v="2"/>
    <x v="0"/>
    <x v="40"/>
    <x v="6"/>
    <x v="207"/>
    <x v="0"/>
    <x v="9"/>
    <x v="0"/>
    <x v="9"/>
    <x v="4"/>
    <x v="4"/>
  </r>
  <r>
    <x v="507"/>
    <x v="498"/>
    <x v="334"/>
    <x v="2"/>
    <x v="3"/>
    <x v="2"/>
    <x v="0"/>
    <x v="2"/>
    <x v="3"/>
    <x v="5"/>
    <x v="390"/>
    <x v="0"/>
    <x v="2"/>
    <x v="1"/>
    <x v="2"/>
    <x v="14"/>
    <x v="14"/>
  </r>
  <r>
    <x v="508"/>
    <x v="499"/>
    <x v="312"/>
    <x v="6"/>
    <x v="3"/>
    <x v="3"/>
    <x v="1"/>
    <x v="0"/>
    <x v="19"/>
    <x v="2"/>
    <x v="391"/>
    <x v="1"/>
    <x v="6"/>
    <x v="0"/>
    <x v="6"/>
    <x v="77"/>
    <x v="77"/>
  </r>
  <r>
    <x v="509"/>
    <x v="500"/>
    <x v="151"/>
    <x v="10"/>
    <x v="2"/>
    <x v="2"/>
    <x v="2"/>
    <x v="0"/>
    <x v="39"/>
    <x v="2"/>
    <x v="181"/>
    <x v="0"/>
    <x v="10"/>
    <x v="3"/>
    <x v="10"/>
    <x v="15"/>
    <x v="15"/>
  </r>
  <r>
    <x v="510"/>
    <x v="501"/>
    <x v="361"/>
    <x v="4"/>
    <x v="1"/>
    <x v="2"/>
    <x v="0"/>
    <x v="0"/>
    <x v="41"/>
    <x v="2"/>
    <x v="392"/>
    <x v="1"/>
    <x v="4"/>
    <x v="0"/>
    <x v="4"/>
    <x v="15"/>
    <x v="15"/>
  </r>
  <r>
    <x v="511"/>
    <x v="147"/>
    <x v="25"/>
    <x v="19"/>
    <x v="1"/>
    <x v="0"/>
    <x v="3"/>
    <x v="0"/>
    <x v="45"/>
    <x v="5"/>
    <x v="136"/>
    <x v="1"/>
    <x v="19"/>
    <x v="1"/>
    <x v="19"/>
    <x v="39"/>
    <x v="39"/>
  </r>
  <r>
    <x v="512"/>
    <x v="502"/>
    <x v="394"/>
    <x v="4"/>
    <x v="2"/>
    <x v="5"/>
    <x v="3"/>
    <x v="0"/>
    <x v="33"/>
    <x v="1"/>
    <x v="393"/>
    <x v="0"/>
    <x v="4"/>
    <x v="0"/>
    <x v="4"/>
    <x v="59"/>
    <x v="59"/>
  </r>
  <r>
    <x v="513"/>
    <x v="503"/>
    <x v="395"/>
    <x v="15"/>
    <x v="1"/>
    <x v="0"/>
    <x v="2"/>
    <x v="0"/>
    <x v="37"/>
    <x v="2"/>
    <x v="143"/>
    <x v="0"/>
    <x v="15"/>
    <x v="5"/>
    <x v="15"/>
    <x v="30"/>
    <x v="30"/>
  </r>
  <r>
    <x v="514"/>
    <x v="504"/>
    <x v="26"/>
    <x v="0"/>
    <x v="1"/>
    <x v="3"/>
    <x v="0"/>
    <x v="0"/>
    <x v="26"/>
    <x v="4"/>
    <x v="127"/>
    <x v="1"/>
    <x v="0"/>
    <x v="0"/>
    <x v="0"/>
    <x v="43"/>
    <x v="43"/>
  </r>
  <r>
    <x v="515"/>
    <x v="505"/>
    <x v="396"/>
    <x v="13"/>
    <x v="2"/>
    <x v="4"/>
    <x v="0"/>
    <x v="0"/>
    <x v="27"/>
    <x v="9"/>
    <x v="394"/>
    <x v="2"/>
    <x v="13"/>
    <x v="1"/>
    <x v="13"/>
    <x v="141"/>
    <x v="141"/>
  </r>
  <r>
    <x v="516"/>
    <x v="506"/>
    <x v="397"/>
    <x v="16"/>
    <x v="2"/>
    <x v="2"/>
    <x v="3"/>
    <x v="0"/>
    <x v="31"/>
    <x v="1"/>
    <x v="395"/>
    <x v="1"/>
    <x v="16"/>
    <x v="1"/>
    <x v="16"/>
    <x v="42"/>
    <x v="42"/>
  </r>
  <r>
    <x v="517"/>
    <x v="507"/>
    <x v="398"/>
    <x v="16"/>
    <x v="2"/>
    <x v="3"/>
    <x v="2"/>
    <x v="2"/>
    <x v="38"/>
    <x v="6"/>
    <x v="396"/>
    <x v="0"/>
    <x v="16"/>
    <x v="1"/>
    <x v="16"/>
    <x v="3"/>
    <x v="3"/>
  </r>
  <r>
    <x v="518"/>
    <x v="492"/>
    <x v="399"/>
    <x v="2"/>
    <x v="1"/>
    <x v="2"/>
    <x v="1"/>
    <x v="0"/>
    <x v="33"/>
    <x v="2"/>
    <x v="387"/>
    <x v="0"/>
    <x v="2"/>
    <x v="1"/>
    <x v="2"/>
    <x v="23"/>
    <x v="23"/>
  </r>
  <r>
    <x v="519"/>
    <x v="508"/>
    <x v="400"/>
    <x v="11"/>
    <x v="2"/>
    <x v="1"/>
    <x v="0"/>
    <x v="0"/>
    <x v="25"/>
    <x v="8"/>
    <x v="397"/>
    <x v="1"/>
    <x v="11"/>
    <x v="1"/>
    <x v="11"/>
    <x v="33"/>
    <x v="33"/>
  </r>
  <r>
    <x v="520"/>
    <x v="509"/>
    <x v="300"/>
    <x v="1"/>
    <x v="3"/>
    <x v="0"/>
    <x v="1"/>
    <x v="2"/>
    <x v="4"/>
    <x v="8"/>
    <x v="398"/>
    <x v="2"/>
    <x v="1"/>
    <x v="0"/>
    <x v="1"/>
    <x v="95"/>
    <x v="95"/>
  </r>
  <r>
    <x v="521"/>
    <x v="510"/>
    <x v="401"/>
    <x v="17"/>
    <x v="1"/>
    <x v="5"/>
    <x v="0"/>
    <x v="0"/>
    <x v="15"/>
    <x v="3"/>
    <x v="72"/>
    <x v="1"/>
    <x v="17"/>
    <x v="4"/>
    <x v="17"/>
    <x v="113"/>
    <x v="113"/>
  </r>
  <r>
    <x v="522"/>
    <x v="511"/>
    <x v="402"/>
    <x v="18"/>
    <x v="1"/>
    <x v="0"/>
    <x v="1"/>
    <x v="0"/>
    <x v="40"/>
    <x v="3"/>
    <x v="399"/>
    <x v="1"/>
    <x v="18"/>
    <x v="1"/>
    <x v="18"/>
    <x v="90"/>
    <x v="90"/>
  </r>
  <r>
    <x v="523"/>
    <x v="512"/>
    <x v="403"/>
    <x v="17"/>
    <x v="1"/>
    <x v="2"/>
    <x v="2"/>
    <x v="0"/>
    <x v="17"/>
    <x v="5"/>
    <x v="400"/>
    <x v="1"/>
    <x v="17"/>
    <x v="4"/>
    <x v="17"/>
    <x v="49"/>
    <x v="49"/>
  </r>
  <r>
    <x v="524"/>
    <x v="513"/>
    <x v="7"/>
    <x v="0"/>
    <x v="1"/>
    <x v="2"/>
    <x v="3"/>
    <x v="0"/>
    <x v="31"/>
    <x v="2"/>
    <x v="401"/>
    <x v="0"/>
    <x v="0"/>
    <x v="0"/>
    <x v="0"/>
    <x v="43"/>
    <x v="43"/>
  </r>
  <r>
    <x v="525"/>
    <x v="514"/>
    <x v="290"/>
    <x v="7"/>
    <x v="2"/>
    <x v="2"/>
    <x v="0"/>
    <x v="0"/>
    <x v="29"/>
    <x v="1"/>
    <x v="402"/>
    <x v="0"/>
    <x v="7"/>
    <x v="1"/>
    <x v="7"/>
    <x v="87"/>
    <x v="87"/>
  </r>
  <r>
    <x v="526"/>
    <x v="515"/>
    <x v="404"/>
    <x v="6"/>
    <x v="1"/>
    <x v="2"/>
    <x v="2"/>
    <x v="0"/>
    <x v="32"/>
    <x v="2"/>
    <x v="403"/>
    <x v="0"/>
    <x v="6"/>
    <x v="0"/>
    <x v="6"/>
    <x v="13"/>
    <x v="13"/>
  </r>
  <r>
    <x v="527"/>
    <x v="516"/>
    <x v="171"/>
    <x v="14"/>
    <x v="2"/>
    <x v="2"/>
    <x v="2"/>
    <x v="0"/>
    <x v="39"/>
    <x v="5"/>
    <x v="404"/>
    <x v="0"/>
    <x v="14"/>
    <x v="1"/>
    <x v="14"/>
    <x v="73"/>
    <x v="73"/>
  </r>
  <r>
    <x v="528"/>
    <x v="517"/>
    <x v="231"/>
    <x v="4"/>
    <x v="1"/>
    <x v="5"/>
    <x v="2"/>
    <x v="0"/>
    <x v="7"/>
    <x v="2"/>
    <x v="76"/>
    <x v="2"/>
    <x v="4"/>
    <x v="0"/>
    <x v="4"/>
    <x v="70"/>
    <x v="70"/>
  </r>
  <r>
    <x v="529"/>
    <x v="518"/>
    <x v="251"/>
    <x v="18"/>
    <x v="1"/>
    <x v="3"/>
    <x v="0"/>
    <x v="0"/>
    <x v="10"/>
    <x v="6"/>
    <x v="294"/>
    <x v="2"/>
    <x v="18"/>
    <x v="1"/>
    <x v="18"/>
    <x v="62"/>
    <x v="62"/>
  </r>
  <r>
    <x v="530"/>
    <x v="519"/>
    <x v="405"/>
    <x v="6"/>
    <x v="2"/>
    <x v="3"/>
    <x v="0"/>
    <x v="0"/>
    <x v="4"/>
    <x v="3"/>
    <x v="405"/>
    <x v="1"/>
    <x v="6"/>
    <x v="0"/>
    <x v="6"/>
    <x v="19"/>
    <x v="19"/>
  </r>
  <r>
    <x v="531"/>
    <x v="520"/>
    <x v="406"/>
    <x v="11"/>
    <x v="2"/>
    <x v="2"/>
    <x v="2"/>
    <x v="0"/>
    <x v="37"/>
    <x v="2"/>
    <x v="350"/>
    <x v="0"/>
    <x v="11"/>
    <x v="1"/>
    <x v="11"/>
    <x v="106"/>
    <x v="106"/>
  </r>
  <r>
    <x v="532"/>
    <x v="521"/>
    <x v="407"/>
    <x v="0"/>
    <x v="1"/>
    <x v="3"/>
    <x v="0"/>
    <x v="0"/>
    <x v="6"/>
    <x v="8"/>
    <x v="406"/>
    <x v="1"/>
    <x v="0"/>
    <x v="0"/>
    <x v="0"/>
    <x v="43"/>
    <x v="43"/>
  </r>
  <r>
    <x v="533"/>
    <x v="522"/>
    <x v="408"/>
    <x v="0"/>
    <x v="2"/>
    <x v="1"/>
    <x v="0"/>
    <x v="0"/>
    <x v="44"/>
    <x v="1"/>
    <x v="390"/>
    <x v="0"/>
    <x v="0"/>
    <x v="0"/>
    <x v="0"/>
    <x v="15"/>
    <x v="15"/>
  </r>
  <r>
    <x v="534"/>
    <x v="523"/>
    <x v="409"/>
    <x v="6"/>
    <x v="1"/>
    <x v="3"/>
    <x v="0"/>
    <x v="0"/>
    <x v="29"/>
    <x v="9"/>
    <x v="407"/>
    <x v="1"/>
    <x v="6"/>
    <x v="0"/>
    <x v="6"/>
    <x v="6"/>
    <x v="6"/>
  </r>
  <r>
    <x v="535"/>
    <x v="524"/>
    <x v="370"/>
    <x v="12"/>
    <x v="1"/>
    <x v="3"/>
    <x v="2"/>
    <x v="0"/>
    <x v="28"/>
    <x v="5"/>
    <x v="408"/>
    <x v="0"/>
    <x v="12"/>
    <x v="4"/>
    <x v="12"/>
    <x v="90"/>
    <x v="90"/>
  </r>
  <r>
    <x v="536"/>
    <x v="525"/>
    <x v="410"/>
    <x v="14"/>
    <x v="3"/>
    <x v="5"/>
    <x v="0"/>
    <x v="0"/>
    <x v="15"/>
    <x v="1"/>
    <x v="409"/>
    <x v="0"/>
    <x v="14"/>
    <x v="1"/>
    <x v="14"/>
    <x v="142"/>
    <x v="142"/>
  </r>
  <r>
    <x v="537"/>
    <x v="526"/>
    <x v="17"/>
    <x v="4"/>
    <x v="2"/>
    <x v="3"/>
    <x v="0"/>
    <x v="0"/>
    <x v="3"/>
    <x v="6"/>
    <x v="410"/>
    <x v="2"/>
    <x v="4"/>
    <x v="0"/>
    <x v="4"/>
    <x v="37"/>
    <x v="37"/>
  </r>
  <r>
    <x v="538"/>
    <x v="527"/>
    <x v="411"/>
    <x v="10"/>
    <x v="1"/>
    <x v="5"/>
    <x v="2"/>
    <x v="0"/>
    <x v="4"/>
    <x v="1"/>
    <x v="411"/>
    <x v="1"/>
    <x v="10"/>
    <x v="3"/>
    <x v="10"/>
    <x v="20"/>
    <x v="20"/>
  </r>
  <r>
    <x v="539"/>
    <x v="528"/>
    <x v="412"/>
    <x v="9"/>
    <x v="1"/>
    <x v="0"/>
    <x v="1"/>
    <x v="0"/>
    <x v="37"/>
    <x v="9"/>
    <x v="412"/>
    <x v="0"/>
    <x v="9"/>
    <x v="0"/>
    <x v="9"/>
    <x v="63"/>
    <x v="63"/>
  </r>
  <r>
    <x v="540"/>
    <x v="529"/>
    <x v="413"/>
    <x v="10"/>
    <x v="1"/>
    <x v="3"/>
    <x v="2"/>
    <x v="0"/>
    <x v="42"/>
    <x v="5"/>
    <x v="413"/>
    <x v="1"/>
    <x v="10"/>
    <x v="3"/>
    <x v="10"/>
    <x v="16"/>
    <x v="16"/>
  </r>
  <r>
    <x v="541"/>
    <x v="530"/>
    <x v="414"/>
    <x v="4"/>
    <x v="3"/>
    <x v="3"/>
    <x v="0"/>
    <x v="0"/>
    <x v="17"/>
    <x v="2"/>
    <x v="414"/>
    <x v="1"/>
    <x v="4"/>
    <x v="0"/>
    <x v="4"/>
    <x v="54"/>
    <x v="54"/>
  </r>
  <r>
    <x v="542"/>
    <x v="531"/>
    <x v="415"/>
    <x v="14"/>
    <x v="1"/>
    <x v="0"/>
    <x v="3"/>
    <x v="0"/>
    <x v="30"/>
    <x v="2"/>
    <x v="315"/>
    <x v="0"/>
    <x v="14"/>
    <x v="1"/>
    <x v="14"/>
    <x v="35"/>
    <x v="35"/>
  </r>
  <r>
    <x v="543"/>
    <x v="532"/>
    <x v="240"/>
    <x v="12"/>
    <x v="2"/>
    <x v="3"/>
    <x v="0"/>
    <x v="0"/>
    <x v="30"/>
    <x v="5"/>
    <x v="415"/>
    <x v="0"/>
    <x v="12"/>
    <x v="4"/>
    <x v="12"/>
    <x v="21"/>
    <x v="21"/>
  </r>
  <r>
    <x v="544"/>
    <x v="305"/>
    <x v="416"/>
    <x v="10"/>
    <x v="1"/>
    <x v="5"/>
    <x v="2"/>
    <x v="0"/>
    <x v="2"/>
    <x v="0"/>
    <x v="258"/>
    <x v="0"/>
    <x v="10"/>
    <x v="3"/>
    <x v="10"/>
    <x v="20"/>
    <x v="20"/>
  </r>
  <r>
    <x v="545"/>
    <x v="533"/>
    <x v="417"/>
    <x v="17"/>
    <x v="1"/>
    <x v="2"/>
    <x v="0"/>
    <x v="0"/>
    <x v="16"/>
    <x v="5"/>
    <x v="416"/>
    <x v="0"/>
    <x v="17"/>
    <x v="4"/>
    <x v="17"/>
    <x v="49"/>
    <x v="49"/>
  </r>
  <r>
    <x v="546"/>
    <x v="534"/>
    <x v="193"/>
    <x v="10"/>
    <x v="2"/>
    <x v="0"/>
    <x v="3"/>
    <x v="0"/>
    <x v="15"/>
    <x v="0"/>
    <x v="128"/>
    <x v="0"/>
    <x v="10"/>
    <x v="3"/>
    <x v="10"/>
    <x v="45"/>
    <x v="45"/>
  </r>
  <r>
    <x v="547"/>
    <x v="535"/>
    <x v="244"/>
    <x v="11"/>
    <x v="3"/>
    <x v="3"/>
    <x v="1"/>
    <x v="0"/>
    <x v="16"/>
    <x v="8"/>
    <x v="417"/>
    <x v="0"/>
    <x v="11"/>
    <x v="1"/>
    <x v="11"/>
    <x v="143"/>
    <x v="143"/>
  </r>
  <r>
    <x v="548"/>
    <x v="536"/>
    <x v="87"/>
    <x v="7"/>
    <x v="1"/>
    <x v="2"/>
    <x v="1"/>
    <x v="0"/>
    <x v="6"/>
    <x v="2"/>
    <x v="418"/>
    <x v="0"/>
    <x v="7"/>
    <x v="1"/>
    <x v="7"/>
    <x v="101"/>
    <x v="101"/>
  </r>
  <r>
    <x v="549"/>
    <x v="537"/>
    <x v="225"/>
    <x v="12"/>
    <x v="1"/>
    <x v="3"/>
    <x v="2"/>
    <x v="0"/>
    <x v="14"/>
    <x v="5"/>
    <x v="419"/>
    <x v="1"/>
    <x v="12"/>
    <x v="4"/>
    <x v="12"/>
    <x v="90"/>
    <x v="90"/>
  </r>
  <r>
    <x v="550"/>
    <x v="538"/>
    <x v="262"/>
    <x v="14"/>
    <x v="2"/>
    <x v="5"/>
    <x v="3"/>
    <x v="0"/>
    <x v="18"/>
    <x v="3"/>
    <x v="306"/>
    <x v="1"/>
    <x v="14"/>
    <x v="1"/>
    <x v="14"/>
    <x v="5"/>
    <x v="5"/>
  </r>
  <r>
    <x v="551"/>
    <x v="539"/>
    <x v="7"/>
    <x v="6"/>
    <x v="1"/>
    <x v="2"/>
    <x v="1"/>
    <x v="0"/>
    <x v="28"/>
    <x v="6"/>
    <x v="420"/>
    <x v="2"/>
    <x v="6"/>
    <x v="0"/>
    <x v="6"/>
    <x v="13"/>
    <x v="13"/>
  </r>
  <r>
    <x v="552"/>
    <x v="540"/>
    <x v="38"/>
    <x v="10"/>
    <x v="1"/>
    <x v="3"/>
    <x v="1"/>
    <x v="0"/>
    <x v="6"/>
    <x v="6"/>
    <x v="65"/>
    <x v="0"/>
    <x v="10"/>
    <x v="3"/>
    <x v="10"/>
    <x v="16"/>
    <x v="16"/>
  </r>
  <r>
    <x v="553"/>
    <x v="541"/>
    <x v="347"/>
    <x v="4"/>
    <x v="2"/>
    <x v="2"/>
    <x v="0"/>
    <x v="0"/>
    <x v="21"/>
    <x v="8"/>
    <x v="421"/>
    <x v="1"/>
    <x v="4"/>
    <x v="0"/>
    <x v="4"/>
    <x v="4"/>
    <x v="4"/>
  </r>
  <r>
    <x v="554"/>
    <x v="542"/>
    <x v="173"/>
    <x v="6"/>
    <x v="2"/>
    <x v="3"/>
    <x v="0"/>
    <x v="0"/>
    <x v="4"/>
    <x v="7"/>
    <x v="422"/>
    <x v="0"/>
    <x v="6"/>
    <x v="0"/>
    <x v="6"/>
    <x v="19"/>
    <x v="19"/>
  </r>
  <r>
    <x v="555"/>
    <x v="543"/>
    <x v="418"/>
    <x v="16"/>
    <x v="0"/>
    <x v="0"/>
    <x v="0"/>
    <x v="0"/>
    <x v="7"/>
    <x v="8"/>
    <x v="423"/>
    <x v="1"/>
    <x v="16"/>
    <x v="1"/>
    <x v="16"/>
    <x v="69"/>
    <x v="69"/>
  </r>
  <r>
    <x v="556"/>
    <x v="544"/>
    <x v="419"/>
    <x v="4"/>
    <x v="1"/>
    <x v="3"/>
    <x v="3"/>
    <x v="0"/>
    <x v="32"/>
    <x v="2"/>
    <x v="424"/>
    <x v="0"/>
    <x v="4"/>
    <x v="0"/>
    <x v="4"/>
    <x v="45"/>
    <x v="45"/>
  </r>
  <r>
    <x v="557"/>
    <x v="545"/>
    <x v="149"/>
    <x v="10"/>
    <x v="0"/>
    <x v="5"/>
    <x v="2"/>
    <x v="0"/>
    <x v="31"/>
    <x v="3"/>
    <x v="425"/>
    <x v="2"/>
    <x v="10"/>
    <x v="3"/>
    <x v="10"/>
    <x v="59"/>
    <x v="59"/>
  </r>
  <r>
    <x v="558"/>
    <x v="546"/>
    <x v="419"/>
    <x v="11"/>
    <x v="2"/>
    <x v="3"/>
    <x v="0"/>
    <x v="0"/>
    <x v="17"/>
    <x v="7"/>
    <x v="426"/>
    <x v="1"/>
    <x v="11"/>
    <x v="1"/>
    <x v="11"/>
    <x v="98"/>
    <x v="98"/>
  </r>
  <r>
    <x v="559"/>
    <x v="547"/>
    <x v="365"/>
    <x v="4"/>
    <x v="1"/>
    <x v="0"/>
    <x v="3"/>
    <x v="0"/>
    <x v="24"/>
    <x v="5"/>
    <x v="427"/>
    <x v="0"/>
    <x v="4"/>
    <x v="0"/>
    <x v="4"/>
    <x v="45"/>
    <x v="45"/>
  </r>
  <r>
    <x v="560"/>
    <x v="548"/>
    <x v="235"/>
    <x v="12"/>
    <x v="4"/>
    <x v="0"/>
    <x v="1"/>
    <x v="0"/>
    <x v="10"/>
    <x v="6"/>
    <x v="428"/>
    <x v="1"/>
    <x v="12"/>
    <x v="4"/>
    <x v="12"/>
    <x v="144"/>
    <x v="144"/>
  </r>
  <r>
    <x v="561"/>
    <x v="549"/>
    <x v="260"/>
    <x v="9"/>
    <x v="2"/>
    <x v="0"/>
    <x v="0"/>
    <x v="2"/>
    <x v="2"/>
    <x v="2"/>
    <x v="384"/>
    <x v="1"/>
    <x v="9"/>
    <x v="0"/>
    <x v="9"/>
    <x v="2"/>
    <x v="2"/>
  </r>
  <r>
    <x v="562"/>
    <x v="550"/>
    <x v="383"/>
    <x v="18"/>
    <x v="3"/>
    <x v="3"/>
    <x v="0"/>
    <x v="0"/>
    <x v="16"/>
    <x v="0"/>
    <x v="429"/>
    <x v="1"/>
    <x v="18"/>
    <x v="1"/>
    <x v="18"/>
    <x v="145"/>
    <x v="145"/>
  </r>
  <r>
    <x v="563"/>
    <x v="551"/>
    <x v="420"/>
    <x v="0"/>
    <x v="0"/>
    <x v="0"/>
    <x v="0"/>
    <x v="0"/>
    <x v="44"/>
    <x v="4"/>
    <x v="430"/>
    <x v="0"/>
    <x v="0"/>
    <x v="0"/>
    <x v="0"/>
    <x v="0"/>
    <x v="0"/>
  </r>
  <r>
    <x v="564"/>
    <x v="552"/>
    <x v="421"/>
    <x v="19"/>
    <x v="1"/>
    <x v="2"/>
    <x v="2"/>
    <x v="0"/>
    <x v="5"/>
    <x v="6"/>
    <x v="431"/>
    <x v="0"/>
    <x v="19"/>
    <x v="1"/>
    <x v="19"/>
    <x v="19"/>
    <x v="19"/>
  </r>
  <r>
    <x v="565"/>
    <x v="553"/>
    <x v="422"/>
    <x v="0"/>
    <x v="4"/>
    <x v="0"/>
    <x v="2"/>
    <x v="0"/>
    <x v="24"/>
    <x v="2"/>
    <x v="432"/>
    <x v="0"/>
    <x v="0"/>
    <x v="0"/>
    <x v="0"/>
    <x v="54"/>
    <x v="54"/>
  </r>
  <r>
    <x v="566"/>
    <x v="554"/>
    <x v="423"/>
    <x v="6"/>
    <x v="2"/>
    <x v="5"/>
    <x v="0"/>
    <x v="0"/>
    <x v="13"/>
    <x v="1"/>
    <x v="433"/>
    <x v="0"/>
    <x v="6"/>
    <x v="0"/>
    <x v="6"/>
    <x v="39"/>
    <x v="39"/>
  </r>
  <r>
    <x v="567"/>
    <x v="555"/>
    <x v="424"/>
    <x v="6"/>
    <x v="4"/>
    <x v="3"/>
    <x v="1"/>
    <x v="0"/>
    <x v="22"/>
    <x v="6"/>
    <x v="403"/>
    <x v="0"/>
    <x v="6"/>
    <x v="0"/>
    <x v="6"/>
    <x v="90"/>
    <x v="90"/>
  </r>
  <r>
    <x v="568"/>
    <x v="556"/>
    <x v="425"/>
    <x v="11"/>
    <x v="1"/>
    <x v="5"/>
    <x v="0"/>
    <x v="0"/>
    <x v="22"/>
    <x v="4"/>
    <x v="434"/>
    <x v="1"/>
    <x v="11"/>
    <x v="1"/>
    <x v="11"/>
    <x v="94"/>
    <x v="94"/>
  </r>
  <r>
    <x v="569"/>
    <x v="557"/>
    <x v="426"/>
    <x v="19"/>
    <x v="2"/>
    <x v="2"/>
    <x v="1"/>
    <x v="0"/>
    <x v="6"/>
    <x v="3"/>
    <x v="194"/>
    <x v="2"/>
    <x v="19"/>
    <x v="1"/>
    <x v="19"/>
    <x v="7"/>
    <x v="7"/>
  </r>
  <r>
    <x v="570"/>
    <x v="558"/>
    <x v="427"/>
    <x v="7"/>
    <x v="3"/>
    <x v="3"/>
    <x v="2"/>
    <x v="0"/>
    <x v="0"/>
    <x v="1"/>
    <x v="435"/>
    <x v="0"/>
    <x v="7"/>
    <x v="1"/>
    <x v="7"/>
    <x v="146"/>
    <x v="146"/>
  </r>
  <r>
    <x v="571"/>
    <x v="559"/>
    <x v="260"/>
    <x v="4"/>
    <x v="3"/>
    <x v="2"/>
    <x v="2"/>
    <x v="0"/>
    <x v="8"/>
    <x v="3"/>
    <x v="436"/>
    <x v="0"/>
    <x v="4"/>
    <x v="0"/>
    <x v="4"/>
    <x v="7"/>
    <x v="7"/>
  </r>
  <r>
    <x v="572"/>
    <x v="560"/>
    <x v="378"/>
    <x v="5"/>
    <x v="1"/>
    <x v="2"/>
    <x v="2"/>
    <x v="0"/>
    <x v="14"/>
    <x v="2"/>
    <x v="129"/>
    <x v="1"/>
    <x v="5"/>
    <x v="2"/>
    <x v="5"/>
    <x v="0"/>
    <x v="0"/>
  </r>
  <r>
    <x v="573"/>
    <x v="561"/>
    <x v="428"/>
    <x v="15"/>
    <x v="1"/>
    <x v="0"/>
    <x v="2"/>
    <x v="0"/>
    <x v="19"/>
    <x v="1"/>
    <x v="274"/>
    <x v="0"/>
    <x v="15"/>
    <x v="5"/>
    <x v="15"/>
    <x v="30"/>
    <x v="30"/>
  </r>
  <r>
    <x v="574"/>
    <x v="562"/>
    <x v="429"/>
    <x v="14"/>
    <x v="2"/>
    <x v="5"/>
    <x v="1"/>
    <x v="0"/>
    <x v="33"/>
    <x v="3"/>
    <x v="411"/>
    <x v="0"/>
    <x v="14"/>
    <x v="1"/>
    <x v="14"/>
    <x v="5"/>
    <x v="5"/>
  </r>
  <r>
    <x v="575"/>
    <x v="563"/>
    <x v="318"/>
    <x v="0"/>
    <x v="3"/>
    <x v="5"/>
    <x v="1"/>
    <x v="0"/>
    <x v="12"/>
    <x v="2"/>
    <x v="53"/>
    <x v="1"/>
    <x v="0"/>
    <x v="0"/>
    <x v="0"/>
    <x v="129"/>
    <x v="129"/>
  </r>
  <r>
    <x v="576"/>
    <x v="564"/>
    <x v="153"/>
    <x v="16"/>
    <x v="3"/>
    <x v="2"/>
    <x v="3"/>
    <x v="0"/>
    <x v="5"/>
    <x v="2"/>
    <x v="437"/>
    <x v="1"/>
    <x v="16"/>
    <x v="1"/>
    <x v="16"/>
    <x v="97"/>
    <x v="97"/>
  </r>
  <r>
    <x v="577"/>
    <x v="565"/>
    <x v="139"/>
    <x v="11"/>
    <x v="2"/>
    <x v="0"/>
    <x v="0"/>
    <x v="0"/>
    <x v="17"/>
    <x v="8"/>
    <x v="438"/>
    <x v="1"/>
    <x v="11"/>
    <x v="1"/>
    <x v="11"/>
    <x v="22"/>
    <x v="22"/>
  </r>
  <r>
    <x v="578"/>
    <x v="566"/>
    <x v="430"/>
    <x v="18"/>
    <x v="2"/>
    <x v="0"/>
    <x v="1"/>
    <x v="0"/>
    <x v="47"/>
    <x v="2"/>
    <x v="163"/>
    <x v="0"/>
    <x v="18"/>
    <x v="1"/>
    <x v="18"/>
    <x v="21"/>
    <x v="21"/>
  </r>
  <r>
    <x v="579"/>
    <x v="567"/>
    <x v="36"/>
    <x v="15"/>
    <x v="1"/>
    <x v="2"/>
    <x v="0"/>
    <x v="0"/>
    <x v="19"/>
    <x v="2"/>
    <x v="439"/>
    <x v="1"/>
    <x v="15"/>
    <x v="5"/>
    <x v="15"/>
    <x v="35"/>
    <x v="35"/>
  </r>
  <r>
    <x v="580"/>
    <x v="568"/>
    <x v="25"/>
    <x v="6"/>
    <x v="3"/>
    <x v="5"/>
    <x v="1"/>
    <x v="0"/>
    <x v="36"/>
    <x v="8"/>
    <x v="440"/>
    <x v="1"/>
    <x v="6"/>
    <x v="0"/>
    <x v="6"/>
    <x v="4"/>
    <x v="4"/>
  </r>
  <r>
    <x v="581"/>
    <x v="569"/>
    <x v="431"/>
    <x v="7"/>
    <x v="2"/>
    <x v="1"/>
    <x v="0"/>
    <x v="0"/>
    <x v="26"/>
    <x v="5"/>
    <x v="441"/>
    <x v="0"/>
    <x v="7"/>
    <x v="1"/>
    <x v="7"/>
    <x v="24"/>
    <x v="24"/>
  </r>
  <r>
    <x v="582"/>
    <x v="570"/>
    <x v="432"/>
    <x v="8"/>
    <x v="1"/>
    <x v="5"/>
    <x v="0"/>
    <x v="0"/>
    <x v="45"/>
    <x v="7"/>
    <x v="50"/>
    <x v="0"/>
    <x v="8"/>
    <x v="1"/>
    <x v="8"/>
    <x v="76"/>
    <x v="76"/>
  </r>
  <r>
    <x v="583"/>
    <x v="571"/>
    <x v="110"/>
    <x v="6"/>
    <x v="3"/>
    <x v="2"/>
    <x v="2"/>
    <x v="0"/>
    <x v="10"/>
    <x v="5"/>
    <x v="442"/>
    <x v="0"/>
    <x v="6"/>
    <x v="0"/>
    <x v="6"/>
    <x v="31"/>
    <x v="31"/>
  </r>
  <r>
    <x v="584"/>
    <x v="572"/>
    <x v="433"/>
    <x v="16"/>
    <x v="0"/>
    <x v="0"/>
    <x v="1"/>
    <x v="0"/>
    <x v="35"/>
    <x v="0"/>
    <x v="212"/>
    <x v="1"/>
    <x v="16"/>
    <x v="1"/>
    <x v="16"/>
    <x v="69"/>
    <x v="69"/>
  </r>
  <r>
    <x v="585"/>
    <x v="573"/>
    <x v="434"/>
    <x v="7"/>
    <x v="1"/>
    <x v="0"/>
    <x v="0"/>
    <x v="0"/>
    <x v="3"/>
    <x v="6"/>
    <x v="443"/>
    <x v="0"/>
    <x v="7"/>
    <x v="1"/>
    <x v="7"/>
    <x v="0"/>
    <x v="0"/>
  </r>
  <r>
    <x v="586"/>
    <x v="574"/>
    <x v="361"/>
    <x v="10"/>
    <x v="1"/>
    <x v="2"/>
    <x v="0"/>
    <x v="0"/>
    <x v="40"/>
    <x v="6"/>
    <x v="371"/>
    <x v="1"/>
    <x v="10"/>
    <x v="3"/>
    <x v="10"/>
    <x v="16"/>
    <x v="16"/>
  </r>
  <r>
    <x v="587"/>
    <x v="450"/>
    <x v="424"/>
    <x v="8"/>
    <x v="3"/>
    <x v="0"/>
    <x v="2"/>
    <x v="0"/>
    <x v="41"/>
    <x v="2"/>
    <x v="359"/>
    <x v="1"/>
    <x v="8"/>
    <x v="1"/>
    <x v="8"/>
    <x v="64"/>
    <x v="64"/>
  </r>
  <r>
    <x v="588"/>
    <x v="575"/>
    <x v="435"/>
    <x v="5"/>
    <x v="2"/>
    <x v="2"/>
    <x v="3"/>
    <x v="0"/>
    <x v="21"/>
    <x v="2"/>
    <x v="444"/>
    <x v="1"/>
    <x v="5"/>
    <x v="2"/>
    <x v="5"/>
    <x v="26"/>
    <x v="26"/>
  </r>
  <r>
    <x v="589"/>
    <x v="576"/>
    <x v="436"/>
    <x v="10"/>
    <x v="1"/>
    <x v="1"/>
    <x v="2"/>
    <x v="0"/>
    <x v="46"/>
    <x v="5"/>
    <x v="445"/>
    <x v="1"/>
    <x v="10"/>
    <x v="3"/>
    <x v="10"/>
    <x v="20"/>
    <x v="20"/>
  </r>
  <r>
    <x v="590"/>
    <x v="577"/>
    <x v="241"/>
    <x v="9"/>
    <x v="1"/>
    <x v="3"/>
    <x v="0"/>
    <x v="0"/>
    <x v="12"/>
    <x v="5"/>
    <x v="114"/>
    <x v="0"/>
    <x v="9"/>
    <x v="0"/>
    <x v="9"/>
    <x v="37"/>
    <x v="37"/>
  </r>
  <r>
    <x v="591"/>
    <x v="578"/>
    <x v="437"/>
    <x v="0"/>
    <x v="1"/>
    <x v="2"/>
    <x v="1"/>
    <x v="0"/>
    <x v="42"/>
    <x v="6"/>
    <x v="14"/>
    <x v="2"/>
    <x v="0"/>
    <x v="0"/>
    <x v="0"/>
    <x v="43"/>
    <x v="43"/>
  </r>
  <r>
    <x v="592"/>
    <x v="579"/>
    <x v="12"/>
    <x v="14"/>
    <x v="2"/>
    <x v="0"/>
    <x v="2"/>
    <x v="0"/>
    <x v="7"/>
    <x v="5"/>
    <x v="370"/>
    <x v="0"/>
    <x v="14"/>
    <x v="1"/>
    <x v="14"/>
    <x v="121"/>
    <x v="121"/>
  </r>
  <r>
    <x v="593"/>
    <x v="580"/>
    <x v="313"/>
    <x v="15"/>
    <x v="1"/>
    <x v="3"/>
    <x v="1"/>
    <x v="0"/>
    <x v="32"/>
    <x v="2"/>
    <x v="446"/>
    <x v="2"/>
    <x v="15"/>
    <x v="5"/>
    <x v="15"/>
    <x v="136"/>
    <x v="136"/>
  </r>
  <r>
    <x v="594"/>
    <x v="581"/>
    <x v="438"/>
    <x v="2"/>
    <x v="2"/>
    <x v="2"/>
    <x v="3"/>
    <x v="0"/>
    <x v="0"/>
    <x v="9"/>
    <x v="81"/>
    <x v="1"/>
    <x v="2"/>
    <x v="1"/>
    <x v="2"/>
    <x v="130"/>
    <x v="130"/>
  </r>
  <r>
    <x v="595"/>
    <x v="582"/>
    <x v="262"/>
    <x v="9"/>
    <x v="3"/>
    <x v="5"/>
    <x v="1"/>
    <x v="0"/>
    <x v="41"/>
    <x v="7"/>
    <x v="447"/>
    <x v="2"/>
    <x v="9"/>
    <x v="0"/>
    <x v="9"/>
    <x v="48"/>
    <x v="48"/>
  </r>
  <r>
    <x v="596"/>
    <x v="583"/>
    <x v="439"/>
    <x v="8"/>
    <x v="1"/>
    <x v="3"/>
    <x v="1"/>
    <x v="0"/>
    <x v="31"/>
    <x v="5"/>
    <x v="448"/>
    <x v="0"/>
    <x v="8"/>
    <x v="1"/>
    <x v="8"/>
    <x v="10"/>
    <x v="10"/>
  </r>
  <r>
    <x v="597"/>
    <x v="584"/>
    <x v="440"/>
    <x v="4"/>
    <x v="0"/>
    <x v="0"/>
    <x v="0"/>
    <x v="0"/>
    <x v="28"/>
    <x v="6"/>
    <x v="449"/>
    <x v="0"/>
    <x v="4"/>
    <x v="0"/>
    <x v="4"/>
    <x v="2"/>
    <x v="2"/>
  </r>
  <r>
    <x v="598"/>
    <x v="585"/>
    <x v="374"/>
    <x v="13"/>
    <x v="1"/>
    <x v="2"/>
    <x v="1"/>
    <x v="0"/>
    <x v="12"/>
    <x v="4"/>
    <x v="450"/>
    <x v="0"/>
    <x v="13"/>
    <x v="1"/>
    <x v="13"/>
    <x v="74"/>
    <x v="74"/>
  </r>
  <r>
    <x v="599"/>
    <x v="586"/>
    <x v="381"/>
    <x v="6"/>
    <x v="1"/>
    <x v="4"/>
    <x v="0"/>
    <x v="0"/>
    <x v="44"/>
    <x v="7"/>
    <x v="451"/>
    <x v="0"/>
    <x v="6"/>
    <x v="0"/>
    <x v="6"/>
    <x v="55"/>
    <x v="55"/>
  </r>
  <r>
    <x v="600"/>
    <x v="587"/>
    <x v="441"/>
    <x v="10"/>
    <x v="2"/>
    <x v="0"/>
    <x v="0"/>
    <x v="0"/>
    <x v="35"/>
    <x v="7"/>
    <x v="253"/>
    <x v="0"/>
    <x v="10"/>
    <x v="3"/>
    <x v="10"/>
    <x v="45"/>
    <x v="45"/>
  </r>
  <r>
    <x v="601"/>
    <x v="588"/>
    <x v="442"/>
    <x v="8"/>
    <x v="1"/>
    <x v="0"/>
    <x v="3"/>
    <x v="0"/>
    <x v="20"/>
    <x v="2"/>
    <x v="452"/>
    <x v="1"/>
    <x v="8"/>
    <x v="1"/>
    <x v="8"/>
    <x v="103"/>
    <x v="103"/>
  </r>
  <r>
    <x v="602"/>
    <x v="589"/>
    <x v="443"/>
    <x v="2"/>
    <x v="1"/>
    <x v="2"/>
    <x v="3"/>
    <x v="0"/>
    <x v="18"/>
    <x v="2"/>
    <x v="127"/>
    <x v="0"/>
    <x v="2"/>
    <x v="1"/>
    <x v="2"/>
    <x v="23"/>
    <x v="23"/>
  </r>
  <r>
    <x v="603"/>
    <x v="590"/>
    <x v="367"/>
    <x v="9"/>
    <x v="1"/>
    <x v="3"/>
    <x v="0"/>
    <x v="0"/>
    <x v="4"/>
    <x v="5"/>
    <x v="453"/>
    <x v="0"/>
    <x v="9"/>
    <x v="0"/>
    <x v="9"/>
    <x v="37"/>
    <x v="37"/>
  </r>
  <r>
    <x v="604"/>
    <x v="591"/>
    <x v="444"/>
    <x v="18"/>
    <x v="1"/>
    <x v="2"/>
    <x v="0"/>
    <x v="0"/>
    <x v="24"/>
    <x v="2"/>
    <x v="454"/>
    <x v="0"/>
    <x v="18"/>
    <x v="1"/>
    <x v="18"/>
    <x v="57"/>
    <x v="57"/>
  </r>
  <r>
    <x v="605"/>
    <x v="592"/>
    <x v="14"/>
    <x v="4"/>
    <x v="2"/>
    <x v="2"/>
    <x v="1"/>
    <x v="0"/>
    <x v="0"/>
    <x v="2"/>
    <x v="248"/>
    <x v="0"/>
    <x v="4"/>
    <x v="0"/>
    <x v="4"/>
    <x v="4"/>
    <x v="4"/>
  </r>
  <r>
    <x v="606"/>
    <x v="593"/>
    <x v="445"/>
    <x v="10"/>
    <x v="1"/>
    <x v="0"/>
    <x v="0"/>
    <x v="0"/>
    <x v="27"/>
    <x v="2"/>
    <x v="455"/>
    <x v="0"/>
    <x v="10"/>
    <x v="3"/>
    <x v="10"/>
    <x v="20"/>
    <x v="20"/>
  </r>
  <r>
    <x v="607"/>
    <x v="594"/>
    <x v="446"/>
    <x v="6"/>
    <x v="1"/>
    <x v="2"/>
    <x v="2"/>
    <x v="0"/>
    <x v="23"/>
    <x v="4"/>
    <x v="260"/>
    <x v="1"/>
    <x v="6"/>
    <x v="0"/>
    <x v="6"/>
    <x v="13"/>
    <x v="13"/>
  </r>
  <r>
    <x v="608"/>
    <x v="595"/>
    <x v="326"/>
    <x v="8"/>
    <x v="1"/>
    <x v="5"/>
    <x v="1"/>
    <x v="0"/>
    <x v="14"/>
    <x v="7"/>
    <x v="3"/>
    <x v="1"/>
    <x v="8"/>
    <x v="1"/>
    <x v="8"/>
    <x v="76"/>
    <x v="76"/>
  </r>
  <r>
    <x v="609"/>
    <x v="596"/>
    <x v="447"/>
    <x v="14"/>
    <x v="2"/>
    <x v="2"/>
    <x v="3"/>
    <x v="0"/>
    <x v="11"/>
    <x v="3"/>
    <x v="456"/>
    <x v="0"/>
    <x v="14"/>
    <x v="1"/>
    <x v="14"/>
    <x v="73"/>
    <x v="73"/>
  </r>
  <r>
    <x v="610"/>
    <x v="597"/>
    <x v="448"/>
    <x v="17"/>
    <x v="2"/>
    <x v="1"/>
    <x v="0"/>
    <x v="0"/>
    <x v="46"/>
    <x v="6"/>
    <x v="457"/>
    <x v="0"/>
    <x v="17"/>
    <x v="4"/>
    <x v="17"/>
    <x v="147"/>
    <x v="147"/>
  </r>
  <r>
    <x v="611"/>
    <x v="598"/>
    <x v="369"/>
    <x v="6"/>
    <x v="1"/>
    <x v="2"/>
    <x v="3"/>
    <x v="0"/>
    <x v="6"/>
    <x v="2"/>
    <x v="209"/>
    <x v="0"/>
    <x v="6"/>
    <x v="0"/>
    <x v="6"/>
    <x v="13"/>
    <x v="13"/>
  </r>
  <r>
    <x v="612"/>
    <x v="599"/>
    <x v="164"/>
    <x v="10"/>
    <x v="2"/>
    <x v="2"/>
    <x v="1"/>
    <x v="0"/>
    <x v="19"/>
    <x v="6"/>
    <x v="209"/>
    <x v="0"/>
    <x v="10"/>
    <x v="3"/>
    <x v="10"/>
    <x v="15"/>
    <x v="15"/>
  </r>
  <r>
    <x v="613"/>
    <x v="404"/>
    <x v="330"/>
    <x v="15"/>
    <x v="3"/>
    <x v="2"/>
    <x v="2"/>
    <x v="0"/>
    <x v="7"/>
    <x v="7"/>
    <x v="326"/>
    <x v="1"/>
    <x v="15"/>
    <x v="5"/>
    <x v="15"/>
    <x v="44"/>
    <x v="44"/>
  </r>
  <r>
    <x v="614"/>
    <x v="600"/>
    <x v="449"/>
    <x v="14"/>
    <x v="1"/>
    <x v="5"/>
    <x v="3"/>
    <x v="0"/>
    <x v="19"/>
    <x v="2"/>
    <x v="199"/>
    <x v="2"/>
    <x v="14"/>
    <x v="1"/>
    <x v="14"/>
    <x v="26"/>
    <x v="26"/>
  </r>
  <r>
    <x v="615"/>
    <x v="601"/>
    <x v="450"/>
    <x v="11"/>
    <x v="3"/>
    <x v="3"/>
    <x v="0"/>
    <x v="0"/>
    <x v="47"/>
    <x v="8"/>
    <x v="193"/>
    <x v="0"/>
    <x v="11"/>
    <x v="1"/>
    <x v="11"/>
    <x v="143"/>
    <x v="143"/>
  </r>
  <r>
    <x v="616"/>
    <x v="602"/>
    <x v="451"/>
    <x v="0"/>
    <x v="1"/>
    <x v="0"/>
    <x v="2"/>
    <x v="0"/>
    <x v="36"/>
    <x v="4"/>
    <x v="324"/>
    <x v="0"/>
    <x v="0"/>
    <x v="0"/>
    <x v="0"/>
    <x v="55"/>
    <x v="55"/>
  </r>
  <r>
    <x v="617"/>
    <x v="603"/>
    <x v="141"/>
    <x v="14"/>
    <x v="1"/>
    <x v="2"/>
    <x v="3"/>
    <x v="0"/>
    <x v="19"/>
    <x v="4"/>
    <x v="458"/>
    <x v="0"/>
    <x v="14"/>
    <x v="1"/>
    <x v="14"/>
    <x v="78"/>
    <x v="78"/>
  </r>
  <r>
    <x v="618"/>
    <x v="604"/>
    <x v="452"/>
    <x v="11"/>
    <x v="2"/>
    <x v="5"/>
    <x v="0"/>
    <x v="0"/>
    <x v="18"/>
    <x v="4"/>
    <x v="278"/>
    <x v="0"/>
    <x v="11"/>
    <x v="1"/>
    <x v="11"/>
    <x v="148"/>
    <x v="148"/>
  </r>
  <r>
    <x v="619"/>
    <x v="605"/>
    <x v="453"/>
    <x v="4"/>
    <x v="1"/>
    <x v="2"/>
    <x v="0"/>
    <x v="0"/>
    <x v="27"/>
    <x v="9"/>
    <x v="459"/>
    <x v="0"/>
    <x v="4"/>
    <x v="0"/>
    <x v="4"/>
    <x v="15"/>
    <x v="15"/>
  </r>
  <r>
    <x v="620"/>
    <x v="606"/>
    <x v="139"/>
    <x v="10"/>
    <x v="1"/>
    <x v="2"/>
    <x v="0"/>
    <x v="0"/>
    <x v="27"/>
    <x v="0"/>
    <x v="460"/>
    <x v="1"/>
    <x v="10"/>
    <x v="3"/>
    <x v="10"/>
    <x v="16"/>
    <x v="16"/>
  </r>
  <r>
    <x v="621"/>
    <x v="607"/>
    <x v="284"/>
    <x v="8"/>
    <x v="1"/>
    <x v="2"/>
    <x v="0"/>
    <x v="0"/>
    <x v="32"/>
    <x v="0"/>
    <x v="192"/>
    <x v="0"/>
    <x v="8"/>
    <x v="1"/>
    <x v="8"/>
    <x v="17"/>
    <x v="17"/>
  </r>
  <r>
    <x v="622"/>
    <x v="608"/>
    <x v="454"/>
    <x v="13"/>
    <x v="3"/>
    <x v="2"/>
    <x v="2"/>
    <x v="0"/>
    <x v="36"/>
    <x v="2"/>
    <x v="421"/>
    <x v="1"/>
    <x v="13"/>
    <x v="1"/>
    <x v="13"/>
    <x v="149"/>
    <x v="149"/>
  </r>
  <r>
    <x v="623"/>
    <x v="609"/>
    <x v="455"/>
    <x v="0"/>
    <x v="3"/>
    <x v="2"/>
    <x v="1"/>
    <x v="0"/>
    <x v="30"/>
    <x v="3"/>
    <x v="439"/>
    <x v="1"/>
    <x v="0"/>
    <x v="0"/>
    <x v="0"/>
    <x v="37"/>
    <x v="37"/>
  </r>
  <r>
    <x v="624"/>
    <x v="610"/>
    <x v="456"/>
    <x v="15"/>
    <x v="1"/>
    <x v="3"/>
    <x v="2"/>
    <x v="0"/>
    <x v="40"/>
    <x v="6"/>
    <x v="328"/>
    <x v="1"/>
    <x v="15"/>
    <x v="5"/>
    <x v="15"/>
    <x v="136"/>
    <x v="136"/>
  </r>
  <r>
    <x v="625"/>
    <x v="528"/>
    <x v="457"/>
    <x v="9"/>
    <x v="0"/>
    <x v="2"/>
    <x v="0"/>
    <x v="0"/>
    <x v="37"/>
    <x v="9"/>
    <x v="412"/>
    <x v="0"/>
    <x v="9"/>
    <x v="0"/>
    <x v="9"/>
    <x v="88"/>
    <x v="88"/>
  </r>
  <r>
    <x v="626"/>
    <x v="611"/>
    <x v="458"/>
    <x v="7"/>
    <x v="2"/>
    <x v="2"/>
    <x v="3"/>
    <x v="0"/>
    <x v="34"/>
    <x v="8"/>
    <x v="444"/>
    <x v="0"/>
    <x v="7"/>
    <x v="1"/>
    <x v="7"/>
    <x v="87"/>
    <x v="87"/>
  </r>
  <r>
    <x v="627"/>
    <x v="612"/>
    <x v="459"/>
    <x v="10"/>
    <x v="3"/>
    <x v="5"/>
    <x v="0"/>
    <x v="0"/>
    <x v="9"/>
    <x v="7"/>
    <x v="461"/>
    <x v="1"/>
    <x v="10"/>
    <x v="3"/>
    <x v="10"/>
    <x v="17"/>
    <x v="17"/>
  </r>
  <r>
    <x v="628"/>
    <x v="613"/>
    <x v="103"/>
    <x v="7"/>
    <x v="1"/>
    <x v="0"/>
    <x v="0"/>
    <x v="0"/>
    <x v="34"/>
    <x v="7"/>
    <x v="462"/>
    <x v="1"/>
    <x v="7"/>
    <x v="1"/>
    <x v="7"/>
    <x v="0"/>
    <x v="0"/>
  </r>
  <r>
    <x v="629"/>
    <x v="614"/>
    <x v="303"/>
    <x v="5"/>
    <x v="2"/>
    <x v="2"/>
    <x v="1"/>
    <x v="0"/>
    <x v="12"/>
    <x v="6"/>
    <x v="463"/>
    <x v="2"/>
    <x v="5"/>
    <x v="2"/>
    <x v="5"/>
    <x v="26"/>
    <x v="26"/>
  </r>
  <r>
    <x v="630"/>
    <x v="615"/>
    <x v="460"/>
    <x v="18"/>
    <x v="0"/>
    <x v="2"/>
    <x v="0"/>
    <x v="0"/>
    <x v="35"/>
    <x v="9"/>
    <x v="160"/>
    <x v="1"/>
    <x v="18"/>
    <x v="1"/>
    <x v="18"/>
    <x v="150"/>
    <x v="150"/>
  </r>
  <r>
    <x v="631"/>
    <x v="616"/>
    <x v="461"/>
    <x v="10"/>
    <x v="2"/>
    <x v="2"/>
    <x v="2"/>
    <x v="0"/>
    <x v="39"/>
    <x v="5"/>
    <x v="464"/>
    <x v="1"/>
    <x v="10"/>
    <x v="3"/>
    <x v="10"/>
    <x v="15"/>
    <x v="15"/>
  </r>
  <r>
    <x v="632"/>
    <x v="617"/>
    <x v="264"/>
    <x v="6"/>
    <x v="4"/>
    <x v="5"/>
    <x v="0"/>
    <x v="0"/>
    <x v="9"/>
    <x v="0"/>
    <x v="465"/>
    <x v="1"/>
    <x v="6"/>
    <x v="0"/>
    <x v="6"/>
    <x v="151"/>
    <x v="151"/>
  </r>
  <r>
    <x v="633"/>
    <x v="618"/>
    <x v="352"/>
    <x v="9"/>
    <x v="1"/>
    <x v="1"/>
    <x v="3"/>
    <x v="0"/>
    <x v="19"/>
    <x v="2"/>
    <x v="466"/>
    <x v="0"/>
    <x v="9"/>
    <x v="0"/>
    <x v="9"/>
    <x v="18"/>
    <x v="18"/>
  </r>
  <r>
    <x v="634"/>
    <x v="619"/>
    <x v="462"/>
    <x v="3"/>
    <x v="1"/>
    <x v="2"/>
    <x v="2"/>
    <x v="0"/>
    <x v="14"/>
    <x v="2"/>
    <x v="104"/>
    <x v="0"/>
    <x v="3"/>
    <x v="2"/>
    <x v="3"/>
    <x v="84"/>
    <x v="84"/>
  </r>
  <r>
    <x v="635"/>
    <x v="620"/>
    <x v="244"/>
    <x v="4"/>
    <x v="2"/>
    <x v="0"/>
    <x v="0"/>
    <x v="0"/>
    <x v="42"/>
    <x v="5"/>
    <x v="98"/>
    <x v="1"/>
    <x v="4"/>
    <x v="0"/>
    <x v="4"/>
    <x v="63"/>
    <x v="63"/>
  </r>
  <r>
    <x v="636"/>
    <x v="621"/>
    <x v="71"/>
    <x v="14"/>
    <x v="0"/>
    <x v="2"/>
    <x v="2"/>
    <x v="0"/>
    <x v="45"/>
    <x v="5"/>
    <x v="467"/>
    <x v="0"/>
    <x v="14"/>
    <x v="1"/>
    <x v="14"/>
    <x v="152"/>
    <x v="152"/>
  </r>
  <r>
    <x v="637"/>
    <x v="622"/>
    <x v="105"/>
    <x v="19"/>
    <x v="1"/>
    <x v="1"/>
    <x v="3"/>
    <x v="0"/>
    <x v="12"/>
    <x v="8"/>
    <x v="468"/>
    <x v="0"/>
    <x v="19"/>
    <x v="1"/>
    <x v="19"/>
    <x v="10"/>
    <x v="10"/>
  </r>
  <r>
    <x v="638"/>
    <x v="548"/>
    <x v="53"/>
    <x v="4"/>
    <x v="3"/>
    <x v="0"/>
    <x v="2"/>
    <x v="0"/>
    <x v="10"/>
    <x v="6"/>
    <x v="428"/>
    <x v="1"/>
    <x v="4"/>
    <x v="0"/>
    <x v="4"/>
    <x v="1"/>
    <x v="1"/>
  </r>
  <r>
    <x v="639"/>
    <x v="623"/>
    <x v="86"/>
    <x v="0"/>
    <x v="2"/>
    <x v="2"/>
    <x v="0"/>
    <x v="1"/>
    <x v="47"/>
    <x v="4"/>
    <x v="469"/>
    <x v="1"/>
    <x v="0"/>
    <x v="0"/>
    <x v="0"/>
    <x v="17"/>
    <x v="17"/>
  </r>
  <r>
    <x v="640"/>
    <x v="240"/>
    <x v="463"/>
    <x v="13"/>
    <x v="1"/>
    <x v="2"/>
    <x v="0"/>
    <x v="0"/>
    <x v="6"/>
    <x v="3"/>
    <x v="209"/>
    <x v="0"/>
    <x v="13"/>
    <x v="1"/>
    <x v="13"/>
    <x v="74"/>
    <x v="74"/>
  </r>
  <r>
    <x v="641"/>
    <x v="624"/>
    <x v="229"/>
    <x v="14"/>
    <x v="2"/>
    <x v="3"/>
    <x v="0"/>
    <x v="0"/>
    <x v="38"/>
    <x v="3"/>
    <x v="470"/>
    <x v="0"/>
    <x v="14"/>
    <x v="1"/>
    <x v="14"/>
    <x v="140"/>
    <x v="140"/>
  </r>
  <r>
    <x v="642"/>
    <x v="625"/>
    <x v="464"/>
    <x v="6"/>
    <x v="1"/>
    <x v="1"/>
    <x v="2"/>
    <x v="0"/>
    <x v="17"/>
    <x v="8"/>
    <x v="227"/>
    <x v="0"/>
    <x v="6"/>
    <x v="0"/>
    <x v="6"/>
    <x v="43"/>
    <x v="43"/>
  </r>
  <r>
    <x v="643"/>
    <x v="626"/>
    <x v="335"/>
    <x v="4"/>
    <x v="2"/>
    <x v="3"/>
    <x v="1"/>
    <x v="0"/>
    <x v="29"/>
    <x v="2"/>
    <x v="12"/>
    <x v="1"/>
    <x v="4"/>
    <x v="0"/>
    <x v="4"/>
    <x v="37"/>
    <x v="37"/>
  </r>
  <r>
    <x v="644"/>
    <x v="627"/>
    <x v="91"/>
    <x v="4"/>
    <x v="2"/>
    <x v="2"/>
    <x v="1"/>
    <x v="0"/>
    <x v="38"/>
    <x v="2"/>
    <x v="471"/>
    <x v="0"/>
    <x v="4"/>
    <x v="0"/>
    <x v="4"/>
    <x v="4"/>
    <x v="4"/>
  </r>
  <r>
    <x v="645"/>
    <x v="628"/>
    <x v="351"/>
    <x v="6"/>
    <x v="1"/>
    <x v="4"/>
    <x v="2"/>
    <x v="0"/>
    <x v="25"/>
    <x v="6"/>
    <x v="112"/>
    <x v="0"/>
    <x v="6"/>
    <x v="0"/>
    <x v="6"/>
    <x v="55"/>
    <x v="55"/>
  </r>
  <r>
    <x v="646"/>
    <x v="629"/>
    <x v="180"/>
    <x v="19"/>
    <x v="2"/>
    <x v="2"/>
    <x v="2"/>
    <x v="0"/>
    <x v="41"/>
    <x v="6"/>
    <x v="139"/>
    <x v="0"/>
    <x v="19"/>
    <x v="1"/>
    <x v="19"/>
    <x v="7"/>
    <x v="7"/>
  </r>
  <r>
    <x v="647"/>
    <x v="630"/>
    <x v="304"/>
    <x v="0"/>
    <x v="1"/>
    <x v="0"/>
    <x v="1"/>
    <x v="0"/>
    <x v="33"/>
    <x v="2"/>
    <x v="472"/>
    <x v="1"/>
    <x v="0"/>
    <x v="0"/>
    <x v="0"/>
    <x v="55"/>
    <x v="55"/>
  </r>
  <r>
    <x v="648"/>
    <x v="631"/>
    <x v="405"/>
    <x v="11"/>
    <x v="1"/>
    <x v="2"/>
    <x v="1"/>
    <x v="0"/>
    <x v="8"/>
    <x v="5"/>
    <x v="473"/>
    <x v="1"/>
    <x v="11"/>
    <x v="1"/>
    <x v="11"/>
    <x v="86"/>
    <x v="86"/>
  </r>
  <r>
    <x v="649"/>
    <x v="632"/>
    <x v="97"/>
    <x v="4"/>
    <x v="1"/>
    <x v="5"/>
    <x v="2"/>
    <x v="0"/>
    <x v="18"/>
    <x v="7"/>
    <x v="474"/>
    <x v="0"/>
    <x v="4"/>
    <x v="0"/>
    <x v="4"/>
    <x v="70"/>
    <x v="70"/>
  </r>
  <r>
    <x v="650"/>
    <x v="55"/>
    <x v="465"/>
    <x v="10"/>
    <x v="3"/>
    <x v="3"/>
    <x v="0"/>
    <x v="0"/>
    <x v="31"/>
    <x v="5"/>
    <x v="53"/>
    <x v="1"/>
    <x v="10"/>
    <x v="3"/>
    <x v="10"/>
    <x v="52"/>
    <x v="52"/>
  </r>
  <r>
    <x v="651"/>
    <x v="633"/>
    <x v="71"/>
    <x v="5"/>
    <x v="2"/>
    <x v="2"/>
    <x v="2"/>
    <x v="0"/>
    <x v="29"/>
    <x v="2"/>
    <x v="29"/>
    <x v="0"/>
    <x v="5"/>
    <x v="2"/>
    <x v="5"/>
    <x v="26"/>
    <x v="26"/>
  </r>
  <r>
    <x v="652"/>
    <x v="634"/>
    <x v="466"/>
    <x v="5"/>
    <x v="0"/>
    <x v="3"/>
    <x v="2"/>
    <x v="0"/>
    <x v="25"/>
    <x v="2"/>
    <x v="475"/>
    <x v="1"/>
    <x v="5"/>
    <x v="2"/>
    <x v="5"/>
    <x v="79"/>
    <x v="79"/>
  </r>
  <r>
    <x v="653"/>
    <x v="635"/>
    <x v="112"/>
    <x v="10"/>
    <x v="2"/>
    <x v="0"/>
    <x v="2"/>
    <x v="0"/>
    <x v="38"/>
    <x v="2"/>
    <x v="466"/>
    <x v="0"/>
    <x v="10"/>
    <x v="3"/>
    <x v="10"/>
    <x v="45"/>
    <x v="45"/>
  </r>
  <r>
    <x v="654"/>
    <x v="636"/>
    <x v="159"/>
    <x v="0"/>
    <x v="1"/>
    <x v="2"/>
    <x v="3"/>
    <x v="0"/>
    <x v="0"/>
    <x v="8"/>
    <x v="476"/>
    <x v="0"/>
    <x v="0"/>
    <x v="0"/>
    <x v="0"/>
    <x v="43"/>
    <x v="43"/>
  </r>
  <r>
    <x v="655"/>
    <x v="637"/>
    <x v="262"/>
    <x v="3"/>
    <x v="2"/>
    <x v="5"/>
    <x v="1"/>
    <x v="0"/>
    <x v="25"/>
    <x v="1"/>
    <x v="183"/>
    <x v="1"/>
    <x v="3"/>
    <x v="2"/>
    <x v="3"/>
    <x v="69"/>
    <x v="69"/>
  </r>
  <r>
    <x v="656"/>
    <x v="220"/>
    <x v="467"/>
    <x v="4"/>
    <x v="0"/>
    <x v="3"/>
    <x v="2"/>
    <x v="0"/>
    <x v="20"/>
    <x v="2"/>
    <x v="194"/>
    <x v="0"/>
    <x v="4"/>
    <x v="0"/>
    <x v="4"/>
    <x v="137"/>
    <x v="137"/>
  </r>
  <r>
    <x v="657"/>
    <x v="638"/>
    <x v="283"/>
    <x v="15"/>
    <x v="2"/>
    <x v="2"/>
    <x v="0"/>
    <x v="0"/>
    <x v="28"/>
    <x v="2"/>
    <x v="477"/>
    <x v="1"/>
    <x v="15"/>
    <x v="5"/>
    <x v="15"/>
    <x v="93"/>
    <x v="93"/>
  </r>
  <r>
    <x v="658"/>
    <x v="639"/>
    <x v="468"/>
    <x v="10"/>
    <x v="2"/>
    <x v="1"/>
    <x v="0"/>
    <x v="0"/>
    <x v="12"/>
    <x v="2"/>
    <x v="478"/>
    <x v="2"/>
    <x v="10"/>
    <x v="3"/>
    <x v="10"/>
    <x v="13"/>
    <x v="13"/>
  </r>
  <r>
    <x v="659"/>
    <x v="640"/>
    <x v="249"/>
    <x v="9"/>
    <x v="2"/>
    <x v="2"/>
    <x v="1"/>
    <x v="0"/>
    <x v="14"/>
    <x v="2"/>
    <x v="479"/>
    <x v="1"/>
    <x v="9"/>
    <x v="0"/>
    <x v="9"/>
    <x v="24"/>
    <x v="24"/>
  </r>
  <r>
    <x v="660"/>
    <x v="641"/>
    <x v="93"/>
    <x v="13"/>
    <x v="1"/>
    <x v="3"/>
    <x v="2"/>
    <x v="0"/>
    <x v="24"/>
    <x v="4"/>
    <x v="376"/>
    <x v="1"/>
    <x v="13"/>
    <x v="1"/>
    <x v="13"/>
    <x v="153"/>
    <x v="153"/>
  </r>
  <r>
    <x v="661"/>
    <x v="642"/>
    <x v="469"/>
    <x v="8"/>
    <x v="2"/>
    <x v="1"/>
    <x v="2"/>
    <x v="0"/>
    <x v="42"/>
    <x v="3"/>
    <x v="271"/>
    <x v="0"/>
    <x v="8"/>
    <x v="1"/>
    <x v="8"/>
    <x v="99"/>
    <x v="99"/>
  </r>
  <r>
    <x v="662"/>
    <x v="643"/>
    <x v="470"/>
    <x v="5"/>
    <x v="1"/>
    <x v="4"/>
    <x v="3"/>
    <x v="0"/>
    <x v="24"/>
    <x v="0"/>
    <x v="480"/>
    <x v="0"/>
    <x v="5"/>
    <x v="2"/>
    <x v="5"/>
    <x v="18"/>
    <x v="18"/>
  </r>
  <r>
    <x v="663"/>
    <x v="644"/>
    <x v="264"/>
    <x v="1"/>
    <x v="2"/>
    <x v="3"/>
    <x v="2"/>
    <x v="0"/>
    <x v="13"/>
    <x v="2"/>
    <x v="97"/>
    <x v="1"/>
    <x v="1"/>
    <x v="0"/>
    <x v="1"/>
    <x v="8"/>
    <x v="8"/>
  </r>
  <r>
    <x v="664"/>
    <x v="645"/>
    <x v="401"/>
    <x v="3"/>
    <x v="1"/>
    <x v="2"/>
    <x v="0"/>
    <x v="0"/>
    <x v="9"/>
    <x v="2"/>
    <x v="351"/>
    <x v="0"/>
    <x v="3"/>
    <x v="2"/>
    <x v="3"/>
    <x v="84"/>
    <x v="84"/>
  </r>
  <r>
    <x v="665"/>
    <x v="646"/>
    <x v="471"/>
    <x v="6"/>
    <x v="1"/>
    <x v="2"/>
    <x v="3"/>
    <x v="0"/>
    <x v="24"/>
    <x v="3"/>
    <x v="481"/>
    <x v="0"/>
    <x v="6"/>
    <x v="0"/>
    <x v="6"/>
    <x v="13"/>
    <x v="13"/>
  </r>
  <r>
    <x v="666"/>
    <x v="647"/>
    <x v="240"/>
    <x v="14"/>
    <x v="1"/>
    <x v="2"/>
    <x v="0"/>
    <x v="0"/>
    <x v="16"/>
    <x v="6"/>
    <x v="482"/>
    <x v="0"/>
    <x v="14"/>
    <x v="1"/>
    <x v="14"/>
    <x v="78"/>
    <x v="78"/>
  </r>
  <r>
    <x v="667"/>
    <x v="648"/>
    <x v="472"/>
    <x v="19"/>
    <x v="1"/>
    <x v="2"/>
    <x v="2"/>
    <x v="0"/>
    <x v="17"/>
    <x v="8"/>
    <x v="483"/>
    <x v="0"/>
    <x v="19"/>
    <x v="1"/>
    <x v="19"/>
    <x v="19"/>
    <x v="19"/>
  </r>
  <r>
    <x v="668"/>
    <x v="649"/>
    <x v="473"/>
    <x v="14"/>
    <x v="1"/>
    <x v="0"/>
    <x v="0"/>
    <x v="0"/>
    <x v="4"/>
    <x v="2"/>
    <x v="462"/>
    <x v="0"/>
    <x v="14"/>
    <x v="1"/>
    <x v="14"/>
    <x v="35"/>
    <x v="35"/>
  </r>
  <r>
    <x v="669"/>
    <x v="650"/>
    <x v="290"/>
    <x v="1"/>
    <x v="2"/>
    <x v="5"/>
    <x v="1"/>
    <x v="0"/>
    <x v="15"/>
    <x v="8"/>
    <x v="171"/>
    <x v="0"/>
    <x v="1"/>
    <x v="0"/>
    <x v="1"/>
    <x v="48"/>
    <x v="48"/>
  </r>
  <r>
    <x v="670"/>
    <x v="651"/>
    <x v="474"/>
    <x v="12"/>
    <x v="3"/>
    <x v="2"/>
    <x v="1"/>
    <x v="0"/>
    <x v="28"/>
    <x v="0"/>
    <x v="484"/>
    <x v="1"/>
    <x v="12"/>
    <x v="4"/>
    <x v="12"/>
    <x v="145"/>
    <x v="145"/>
  </r>
  <r>
    <x v="671"/>
    <x v="652"/>
    <x v="361"/>
    <x v="8"/>
    <x v="2"/>
    <x v="1"/>
    <x v="1"/>
    <x v="0"/>
    <x v="27"/>
    <x v="7"/>
    <x v="485"/>
    <x v="1"/>
    <x v="8"/>
    <x v="1"/>
    <x v="8"/>
    <x v="99"/>
    <x v="99"/>
  </r>
  <r>
    <x v="672"/>
    <x v="653"/>
    <x v="428"/>
    <x v="10"/>
    <x v="2"/>
    <x v="2"/>
    <x v="2"/>
    <x v="0"/>
    <x v="24"/>
    <x v="1"/>
    <x v="486"/>
    <x v="0"/>
    <x v="10"/>
    <x v="3"/>
    <x v="10"/>
    <x v="15"/>
    <x v="15"/>
  </r>
  <r>
    <x v="673"/>
    <x v="329"/>
    <x v="143"/>
    <x v="5"/>
    <x v="2"/>
    <x v="5"/>
    <x v="0"/>
    <x v="0"/>
    <x v="30"/>
    <x v="6"/>
    <x v="277"/>
    <x v="2"/>
    <x v="5"/>
    <x v="2"/>
    <x v="5"/>
    <x v="41"/>
    <x v="41"/>
  </r>
  <r>
    <x v="674"/>
    <x v="654"/>
    <x v="475"/>
    <x v="9"/>
    <x v="4"/>
    <x v="2"/>
    <x v="2"/>
    <x v="0"/>
    <x v="38"/>
    <x v="2"/>
    <x v="487"/>
    <x v="1"/>
    <x v="9"/>
    <x v="0"/>
    <x v="9"/>
    <x v="100"/>
    <x v="100"/>
  </r>
  <r>
    <x v="675"/>
    <x v="655"/>
    <x v="476"/>
    <x v="10"/>
    <x v="1"/>
    <x v="3"/>
    <x v="0"/>
    <x v="0"/>
    <x v="39"/>
    <x v="6"/>
    <x v="282"/>
    <x v="0"/>
    <x v="10"/>
    <x v="3"/>
    <x v="10"/>
    <x v="16"/>
    <x v="16"/>
  </r>
  <r>
    <x v="676"/>
    <x v="656"/>
    <x v="477"/>
    <x v="1"/>
    <x v="1"/>
    <x v="0"/>
    <x v="3"/>
    <x v="0"/>
    <x v="29"/>
    <x v="1"/>
    <x v="488"/>
    <x v="1"/>
    <x v="1"/>
    <x v="0"/>
    <x v="1"/>
    <x v="1"/>
    <x v="1"/>
  </r>
  <r>
    <x v="677"/>
    <x v="657"/>
    <x v="409"/>
    <x v="0"/>
    <x v="2"/>
    <x v="5"/>
    <x v="1"/>
    <x v="0"/>
    <x v="14"/>
    <x v="2"/>
    <x v="489"/>
    <x v="0"/>
    <x v="0"/>
    <x v="0"/>
    <x v="0"/>
    <x v="76"/>
    <x v="76"/>
  </r>
  <r>
    <x v="678"/>
    <x v="658"/>
    <x v="478"/>
    <x v="1"/>
    <x v="1"/>
    <x v="2"/>
    <x v="2"/>
    <x v="0"/>
    <x v="24"/>
    <x v="2"/>
    <x v="490"/>
    <x v="1"/>
    <x v="1"/>
    <x v="0"/>
    <x v="1"/>
    <x v="7"/>
    <x v="7"/>
  </r>
  <r>
    <x v="679"/>
    <x v="659"/>
    <x v="279"/>
    <x v="6"/>
    <x v="0"/>
    <x v="3"/>
    <x v="2"/>
    <x v="0"/>
    <x v="28"/>
    <x v="5"/>
    <x v="408"/>
    <x v="0"/>
    <x v="6"/>
    <x v="0"/>
    <x v="6"/>
    <x v="7"/>
    <x v="7"/>
  </r>
  <r>
    <x v="680"/>
    <x v="660"/>
    <x v="13"/>
    <x v="6"/>
    <x v="1"/>
    <x v="2"/>
    <x v="0"/>
    <x v="0"/>
    <x v="30"/>
    <x v="8"/>
    <x v="397"/>
    <x v="0"/>
    <x v="6"/>
    <x v="0"/>
    <x v="6"/>
    <x v="13"/>
    <x v="13"/>
  </r>
  <r>
    <x v="681"/>
    <x v="661"/>
    <x v="360"/>
    <x v="2"/>
    <x v="1"/>
    <x v="0"/>
    <x v="1"/>
    <x v="0"/>
    <x v="27"/>
    <x v="0"/>
    <x v="13"/>
    <x v="1"/>
    <x v="2"/>
    <x v="1"/>
    <x v="2"/>
    <x v="24"/>
    <x v="24"/>
  </r>
  <r>
    <x v="682"/>
    <x v="662"/>
    <x v="159"/>
    <x v="13"/>
    <x v="2"/>
    <x v="2"/>
    <x v="1"/>
    <x v="0"/>
    <x v="16"/>
    <x v="2"/>
    <x v="12"/>
    <x v="1"/>
    <x v="13"/>
    <x v="1"/>
    <x v="13"/>
    <x v="117"/>
    <x v="117"/>
  </r>
  <r>
    <x v="683"/>
    <x v="663"/>
    <x v="80"/>
    <x v="7"/>
    <x v="1"/>
    <x v="2"/>
    <x v="2"/>
    <x v="0"/>
    <x v="1"/>
    <x v="5"/>
    <x v="239"/>
    <x v="0"/>
    <x v="7"/>
    <x v="1"/>
    <x v="7"/>
    <x v="101"/>
    <x v="101"/>
  </r>
  <r>
    <x v="684"/>
    <x v="664"/>
    <x v="73"/>
    <x v="1"/>
    <x v="2"/>
    <x v="5"/>
    <x v="1"/>
    <x v="0"/>
    <x v="17"/>
    <x v="9"/>
    <x v="449"/>
    <x v="1"/>
    <x v="1"/>
    <x v="0"/>
    <x v="1"/>
    <x v="48"/>
    <x v="48"/>
  </r>
  <r>
    <x v="685"/>
    <x v="665"/>
    <x v="340"/>
    <x v="4"/>
    <x v="1"/>
    <x v="0"/>
    <x v="0"/>
    <x v="0"/>
    <x v="0"/>
    <x v="1"/>
    <x v="491"/>
    <x v="1"/>
    <x v="4"/>
    <x v="0"/>
    <x v="4"/>
    <x v="45"/>
    <x v="45"/>
  </r>
  <r>
    <x v="686"/>
    <x v="666"/>
    <x v="439"/>
    <x v="6"/>
    <x v="2"/>
    <x v="1"/>
    <x v="0"/>
    <x v="0"/>
    <x v="32"/>
    <x v="5"/>
    <x v="492"/>
    <x v="0"/>
    <x v="6"/>
    <x v="0"/>
    <x v="6"/>
    <x v="17"/>
    <x v="17"/>
  </r>
  <r>
    <x v="687"/>
    <x v="667"/>
    <x v="479"/>
    <x v="11"/>
    <x v="1"/>
    <x v="2"/>
    <x v="2"/>
    <x v="0"/>
    <x v="16"/>
    <x v="7"/>
    <x v="493"/>
    <x v="1"/>
    <x v="11"/>
    <x v="1"/>
    <x v="11"/>
    <x v="86"/>
    <x v="86"/>
  </r>
  <r>
    <x v="688"/>
    <x v="668"/>
    <x v="480"/>
    <x v="16"/>
    <x v="2"/>
    <x v="1"/>
    <x v="0"/>
    <x v="0"/>
    <x v="37"/>
    <x v="2"/>
    <x v="280"/>
    <x v="1"/>
    <x v="16"/>
    <x v="1"/>
    <x v="16"/>
    <x v="93"/>
    <x v="93"/>
  </r>
  <r>
    <x v="689"/>
    <x v="669"/>
    <x v="456"/>
    <x v="12"/>
    <x v="1"/>
    <x v="0"/>
    <x v="0"/>
    <x v="1"/>
    <x v="33"/>
    <x v="2"/>
    <x v="494"/>
    <x v="0"/>
    <x v="12"/>
    <x v="4"/>
    <x v="12"/>
    <x v="2"/>
    <x v="2"/>
  </r>
  <r>
    <x v="690"/>
    <x v="670"/>
    <x v="481"/>
    <x v="12"/>
    <x v="2"/>
    <x v="1"/>
    <x v="0"/>
    <x v="0"/>
    <x v="5"/>
    <x v="5"/>
    <x v="366"/>
    <x v="2"/>
    <x v="12"/>
    <x v="4"/>
    <x v="12"/>
    <x v="154"/>
    <x v="154"/>
  </r>
  <r>
    <x v="691"/>
    <x v="671"/>
    <x v="279"/>
    <x v="5"/>
    <x v="0"/>
    <x v="3"/>
    <x v="0"/>
    <x v="0"/>
    <x v="0"/>
    <x v="0"/>
    <x v="495"/>
    <x v="1"/>
    <x v="5"/>
    <x v="2"/>
    <x v="5"/>
    <x v="79"/>
    <x v="79"/>
  </r>
  <r>
    <x v="692"/>
    <x v="672"/>
    <x v="342"/>
    <x v="11"/>
    <x v="1"/>
    <x v="2"/>
    <x v="1"/>
    <x v="0"/>
    <x v="14"/>
    <x v="4"/>
    <x v="247"/>
    <x v="0"/>
    <x v="11"/>
    <x v="1"/>
    <x v="11"/>
    <x v="86"/>
    <x v="86"/>
  </r>
  <r>
    <x v="693"/>
    <x v="673"/>
    <x v="482"/>
    <x v="6"/>
    <x v="1"/>
    <x v="3"/>
    <x v="3"/>
    <x v="0"/>
    <x v="2"/>
    <x v="1"/>
    <x v="496"/>
    <x v="0"/>
    <x v="6"/>
    <x v="0"/>
    <x v="6"/>
    <x v="6"/>
    <x v="6"/>
  </r>
  <r>
    <x v="694"/>
    <x v="674"/>
    <x v="483"/>
    <x v="0"/>
    <x v="1"/>
    <x v="3"/>
    <x v="0"/>
    <x v="0"/>
    <x v="39"/>
    <x v="7"/>
    <x v="497"/>
    <x v="2"/>
    <x v="0"/>
    <x v="0"/>
    <x v="0"/>
    <x v="43"/>
    <x v="43"/>
  </r>
  <r>
    <x v="695"/>
    <x v="675"/>
    <x v="237"/>
    <x v="5"/>
    <x v="1"/>
    <x v="2"/>
    <x v="0"/>
    <x v="0"/>
    <x v="14"/>
    <x v="8"/>
    <x v="115"/>
    <x v="0"/>
    <x v="5"/>
    <x v="2"/>
    <x v="5"/>
    <x v="0"/>
    <x v="0"/>
  </r>
  <r>
    <x v="696"/>
    <x v="676"/>
    <x v="484"/>
    <x v="12"/>
    <x v="3"/>
    <x v="2"/>
    <x v="0"/>
    <x v="0"/>
    <x v="18"/>
    <x v="2"/>
    <x v="498"/>
    <x v="0"/>
    <x v="12"/>
    <x v="4"/>
    <x v="12"/>
    <x v="145"/>
    <x v="145"/>
  </r>
  <r>
    <x v="697"/>
    <x v="677"/>
    <x v="485"/>
    <x v="4"/>
    <x v="1"/>
    <x v="2"/>
    <x v="0"/>
    <x v="0"/>
    <x v="29"/>
    <x v="7"/>
    <x v="216"/>
    <x v="1"/>
    <x v="4"/>
    <x v="0"/>
    <x v="4"/>
    <x v="15"/>
    <x v="15"/>
  </r>
  <r>
    <x v="698"/>
    <x v="365"/>
    <x v="486"/>
    <x v="5"/>
    <x v="1"/>
    <x v="4"/>
    <x v="3"/>
    <x v="0"/>
    <x v="46"/>
    <x v="4"/>
    <x v="302"/>
    <x v="1"/>
    <x v="5"/>
    <x v="2"/>
    <x v="5"/>
    <x v="18"/>
    <x v="18"/>
  </r>
  <r>
    <x v="699"/>
    <x v="678"/>
    <x v="407"/>
    <x v="14"/>
    <x v="1"/>
    <x v="4"/>
    <x v="2"/>
    <x v="0"/>
    <x v="11"/>
    <x v="3"/>
    <x v="299"/>
    <x v="1"/>
    <x v="14"/>
    <x v="1"/>
    <x v="14"/>
    <x v="90"/>
    <x v="90"/>
  </r>
  <r>
    <x v="700"/>
    <x v="679"/>
    <x v="487"/>
    <x v="4"/>
    <x v="3"/>
    <x v="1"/>
    <x v="2"/>
    <x v="0"/>
    <x v="13"/>
    <x v="7"/>
    <x v="499"/>
    <x v="2"/>
    <x v="4"/>
    <x v="0"/>
    <x v="4"/>
    <x v="12"/>
    <x v="12"/>
  </r>
  <r>
    <x v="701"/>
    <x v="680"/>
    <x v="286"/>
    <x v="6"/>
    <x v="3"/>
    <x v="2"/>
    <x v="1"/>
    <x v="0"/>
    <x v="19"/>
    <x v="8"/>
    <x v="500"/>
    <x v="0"/>
    <x v="6"/>
    <x v="0"/>
    <x v="6"/>
    <x v="31"/>
    <x v="31"/>
  </r>
  <r>
    <x v="702"/>
    <x v="681"/>
    <x v="22"/>
    <x v="3"/>
    <x v="2"/>
    <x v="0"/>
    <x v="0"/>
    <x v="0"/>
    <x v="38"/>
    <x v="6"/>
    <x v="216"/>
    <x v="1"/>
    <x v="3"/>
    <x v="2"/>
    <x v="3"/>
    <x v="155"/>
    <x v="155"/>
  </r>
  <r>
    <x v="703"/>
    <x v="682"/>
    <x v="488"/>
    <x v="10"/>
    <x v="1"/>
    <x v="2"/>
    <x v="0"/>
    <x v="0"/>
    <x v="44"/>
    <x v="2"/>
    <x v="501"/>
    <x v="0"/>
    <x v="10"/>
    <x v="3"/>
    <x v="10"/>
    <x v="16"/>
    <x v="16"/>
  </r>
  <r>
    <x v="704"/>
    <x v="683"/>
    <x v="112"/>
    <x v="9"/>
    <x v="1"/>
    <x v="2"/>
    <x v="0"/>
    <x v="0"/>
    <x v="27"/>
    <x v="0"/>
    <x v="502"/>
    <x v="0"/>
    <x v="9"/>
    <x v="0"/>
    <x v="9"/>
    <x v="4"/>
    <x v="4"/>
  </r>
  <r>
    <x v="705"/>
    <x v="684"/>
    <x v="489"/>
    <x v="18"/>
    <x v="0"/>
    <x v="0"/>
    <x v="0"/>
    <x v="0"/>
    <x v="18"/>
    <x v="8"/>
    <x v="171"/>
    <x v="0"/>
    <x v="18"/>
    <x v="1"/>
    <x v="18"/>
    <x v="156"/>
    <x v="156"/>
  </r>
  <r>
    <x v="706"/>
    <x v="685"/>
    <x v="490"/>
    <x v="16"/>
    <x v="0"/>
    <x v="2"/>
    <x v="0"/>
    <x v="0"/>
    <x v="39"/>
    <x v="3"/>
    <x v="503"/>
    <x v="0"/>
    <x v="16"/>
    <x v="1"/>
    <x v="16"/>
    <x v="67"/>
    <x v="67"/>
  </r>
  <r>
    <x v="707"/>
    <x v="686"/>
    <x v="54"/>
    <x v="7"/>
    <x v="3"/>
    <x v="1"/>
    <x v="2"/>
    <x v="0"/>
    <x v="14"/>
    <x v="7"/>
    <x v="504"/>
    <x v="1"/>
    <x v="7"/>
    <x v="1"/>
    <x v="7"/>
    <x v="61"/>
    <x v="61"/>
  </r>
  <r>
    <x v="708"/>
    <x v="687"/>
    <x v="285"/>
    <x v="0"/>
    <x v="2"/>
    <x v="2"/>
    <x v="1"/>
    <x v="0"/>
    <x v="2"/>
    <x v="5"/>
    <x v="178"/>
    <x v="1"/>
    <x v="0"/>
    <x v="0"/>
    <x v="0"/>
    <x v="17"/>
    <x v="17"/>
  </r>
  <r>
    <x v="709"/>
    <x v="688"/>
    <x v="11"/>
    <x v="0"/>
    <x v="2"/>
    <x v="3"/>
    <x v="2"/>
    <x v="0"/>
    <x v="39"/>
    <x v="7"/>
    <x v="298"/>
    <x v="0"/>
    <x v="0"/>
    <x v="0"/>
    <x v="0"/>
    <x v="10"/>
    <x v="10"/>
  </r>
  <r>
    <x v="710"/>
    <x v="689"/>
    <x v="491"/>
    <x v="5"/>
    <x v="0"/>
    <x v="2"/>
    <x v="0"/>
    <x v="0"/>
    <x v="12"/>
    <x v="3"/>
    <x v="133"/>
    <x v="0"/>
    <x v="5"/>
    <x v="2"/>
    <x v="5"/>
    <x v="5"/>
    <x v="5"/>
  </r>
  <r>
    <x v="711"/>
    <x v="690"/>
    <x v="492"/>
    <x v="7"/>
    <x v="1"/>
    <x v="3"/>
    <x v="2"/>
    <x v="0"/>
    <x v="39"/>
    <x v="7"/>
    <x v="375"/>
    <x v="0"/>
    <x v="7"/>
    <x v="1"/>
    <x v="7"/>
    <x v="31"/>
    <x v="31"/>
  </r>
  <r>
    <x v="712"/>
    <x v="691"/>
    <x v="493"/>
    <x v="14"/>
    <x v="2"/>
    <x v="2"/>
    <x v="1"/>
    <x v="0"/>
    <x v="37"/>
    <x v="5"/>
    <x v="391"/>
    <x v="0"/>
    <x v="14"/>
    <x v="1"/>
    <x v="14"/>
    <x v="73"/>
    <x v="73"/>
  </r>
  <r>
    <x v="713"/>
    <x v="692"/>
    <x v="494"/>
    <x v="6"/>
    <x v="0"/>
    <x v="0"/>
    <x v="0"/>
    <x v="0"/>
    <x v="10"/>
    <x v="2"/>
    <x v="505"/>
    <x v="0"/>
    <x v="6"/>
    <x v="0"/>
    <x v="6"/>
    <x v="54"/>
    <x v="54"/>
  </r>
  <r>
    <x v="714"/>
    <x v="693"/>
    <x v="495"/>
    <x v="2"/>
    <x v="1"/>
    <x v="2"/>
    <x v="2"/>
    <x v="0"/>
    <x v="14"/>
    <x v="7"/>
    <x v="506"/>
    <x v="0"/>
    <x v="2"/>
    <x v="1"/>
    <x v="2"/>
    <x v="23"/>
    <x v="23"/>
  </r>
  <r>
    <x v="715"/>
    <x v="694"/>
    <x v="496"/>
    <x v="11"/>
    <x v="1"/>
    <x v="2"/>
    <x v="2"/>
    <x v="0"/>
    <x v="1"/>
    <x v="6"/>
    <x v="382"/>
    <x v="0"/>
    <x v="11"/>
    <x v="1"/>
    <x v="11"/>
    <x v="86"/>
    <x v="86"/>
  </r>
  <r>
    <x v="716"/>
    <x v="695"/>
    <x v="497"/>
    <x v="10"/>
    <x v="2"/>
    <x v="0"/>
    <x v="1"/>
    <x v="1"/>
    <x v="6"/>
    <x v="9"/>
    <x v="152"/>
    <x v="1"/>
    <x v="10"/>
    <x v="3"/>
    <x v="10"/>
    <x v="45"/>
    <x v="45"/>
  </r>
  <r>
    <x v="717"/>
    <x v="696"/>
    <x v="306"/>
    <x v="0"/>
    <x v="2"/>
    <x v="1"/>
    <x v="2"/>
    <x v="0"/>
    <x v="21"/>
    <x v="5"/>
    <x v="195"/>
    <x v="2"/>
    <x v="0"/>
    <x v="0"/>
    <x v="0"/>
    <x v="15"/>
    <x v="15"/>
  </r>
  <r>
    <x v="718"/>
    <x v="697"/>
    <x v="498"/>
    <x v="8"/>
    <x v="3"/>
    <x v="5"/>
    <x v="0"/>
    <x v="0"/>
    <x v="45"/>
    <x v="2"/>
    <x v="287"/>
    <x v="1"/>
    <x v="8"/>
    <x v="1"/>
    <x v="8"/>
    <x v="114"/>
    <x v="114"/>
  </r>
  <r>
    <x v="719"/>
    <x v="698"/>
    <x v="499"/>
    <x v="5"/>
    <x v="3"/>
    <x v="2"/>
    <x v="1"/>
    <x v="0"/>
    <x v="46"/>
    <x v="2"/>
    <x v="330"/>
    <x v="0"/>
    <x v="5"/>
    <x v="2"/>
    <x v="5"/>
    <x v="106"/>
    <x v="106"/>
  </r>
  <r>
    <x v="720"/>
    <x v="699"/>
    <x v="500"/>
    <x v="9"/>
    <x v="2"/>
    <x v="5"/>
    <x v="3"/>
    <x v="0"/>
    <x v="40"/>
    <x v="3"/>
    <x v="507"/>
    <x v="2"/>
    <x v="9"/>
    <x v="0"/>
    <x v="9"/>
    <x v="86"/>
    <x v="86"/>
  </r>
  <r>
    <x v="721"/>
    <x v="700"/>
    <x v="501"/>
    <x v="9"/>
    <x v="1"/>
    <x v="2"/>
    <x v="0"/>
    <x v="0"/>
    <x v="4"/>
    <x v="4"/>
    <x v="145"/>
    <x v="0"/>
    <x v="9"/>
    <x v="0"/>
    <x v="9"/>
    <x v="4"/>
    <x v="4"/>
  </r>
  <r>
    <x v="722"/>
    <x v="701"/>
    <x v="367"/>
    <x v="10"/>
    <x v="1"/>
    <x v="2"/>
    <x v="2"/>
    <x v="0"/>
    <x v="41"/>
    <x v="2"/>
    <x v="508"/>
    <x v="0"/>
    <x v="10"/>
    <x v="3"/>
    <x v="10"/>
    <x v="16"/>
    <x v="16"/>
  </r>
  <r>
    <x v="723"/>
    <x v="702"/>
    <x v="502"/>
    <x v="18"/>
    <x v="1"/>
    <x v="2"/>
    <x v="0"/>
    <x v="0"/>
    <x v="1"/>
    <x v="5"/>
    <x v="509"/>
    <x v="0"/>
    <x v="18"/>
    <x v="1"/>
    <x v="18"/>
    <x v="57"/>
    <x v="57"/>
  </r>
  <r>
    <x v="724"/>
    <x v="703"/>
    <x v="503"/>
    <x v="16"/>
    <x v="1"/>
    <x v="5"/>
    <x v="2"/>
    <x v="0"/>
    <x v="4"/>
    <x v="4"/>
    <x v="510"/>
    <x v="0"/>
    <x v="16"/>
    <x v="1"/>
    <x v="16"/>
    <x v="110"/>
    <x v="110"/>
  </r>
  <r>
    <x v="725"/>
    <x v="704"/>
    <x v="504"/>
    <x v="11"/>
    <x v="1"/>
    <x v="3"/>
    <x v="2"/>
    <x v="0"/>
    <x v="47"/>
    <x v="4"/>
    <x v="93"/>
    <x v="0"/>
    <x v="11"/>
    <x v="1"/>
    <x v="11"/>
    <x v="114"/>
    <x v="114"/>
  </r>
  <r>
    <x v="726"/>
    <x v="705"/>
    <x v="505"/>
    <x v="8"/>
    <x v="1"/>
    <x v="3"/>
    <x v="2"/>
    <x v="0"/>
    <x v="12"/>
    <x v="4"/>
    <x v="173"/>
    <x v="1"/>
    <x v="8"/>
    <x v="1"/>
    <x v="8"/>
    <x v="10"/>
    <x v="10"/>
  </r>
  <r>
    <x v="727"/>
    <x v="706"/>
    <x v="506"/>
    <x v="0"/>
    <x v="3"/>
    <x v="3"/>
    <x v="2"/>
    <x v="0"/>
    <x v="22"/>
    <x v="5"/>
    <x v="511"/>
    <x v="1"/>
    <x v="0"/>
    <x v="0"/>
    <x v="0"/>
    <x v="40"/>
    <x v="40"/>
  </r>
  <r>
    <x v="728"/>
    <x v="707"/>
    <x v="507"/>
    <x v="4"/>
    <x v="1"/>
    <x v="5"/>
    <x v="0"/>
    <x v="0"/>
    <x v="1"/>
    <x v="5"/>
    <x v="512"/>
    <x v="1"/>
    <x v="4"/>
    <x v="0"/>
    <x v="4"/>
    <x v="70"/>
    <x v="70"/>
  </r>
  <r>
    <x v="729"/>
    <x v="708"/>
    <x v="508"/>
    <x v="7"/>
    <x v="4"/>
    <x v="1"/>
    <x v="0"/>
    <x v="0"/>
    <x v="47"/>
    <x v="3"/>
    <x v="92"/>
    <x v="0"/>
    <x v="7"/>
    <x v="1"/>
    <x v="7"/>
    <x v="100"/>
    <x v="100"/>
  </r>
  <r>
    <x v="730"/>
    <x v="709"/>
    <x v="494"/>
    <x v="5"/>
    <x v="3"/>
    <x v="2"/>
    <x v="2"/>
    <x v="0"/>
    <x v="4"/>
    <x v="7"/>
    <x v="513"/>
    <x v="0"/>
    <x v="5"/>
    <x v="2"/>
    <x v="5"/>
    <x v="106"/>
    <x v="106"/>
  </r>
  <r>
    <x v="731"/>
    <x v="710"/>
    <x v="509"/>
    <x v="10"/>
    <x v="1"/>
    <x v="3"/>
    <x v="0"/>
    <x v="0"/>
    <x v="3"/>
    <x v="2"/>
    <x v="167"/>
    <x v="1"/>
    <x v="10"/>
    <x v="3"/>
    <x v="10"/>
    <x v="16"/>
    <x v="16"/>
  </r>
  <r>
    <x v="732"/>
    <x v="711"/>
    <x v="26"/>
    <x v="15"/>
    <x v="1"/>
    <x v="0"/>
    <x v="0"/>
    <x v="0"/>
    <x v="14"/>
    <x v="3"/>
    <x v="35"/>
    <x v="2"/>
    <x v="15"/>
    <x v="5"/>
    <x v="15"/>
    <x v="30"/>
    <x v="30"/>
  </r>
  <r>
    <x v="733"/>
    <x v="712"/>
    <x v="158"/>
    <x v="17"/>
    <x v="4"/>
    <x v="3"/>
    <x v="2"/>
    <x v="0"/>
    <x v="2"/>
    <x v="2"/>
    <x v="514"/>
    <x v="1"/>
    <x v="17"/>
    <x v="4"/>
    <x v="17"/>
    <x v="157"/>
    <x v="157"/>
  </r>
  <r>
    <x v="734"/>
    <x v="713"/>
    <x v="510"/>
    <x v="4"/>
    <x v="2"/>
    <x v="3"/>
    <x v="0"/>
    <x v="0"/>
    <x v="45"/>
    <x v="6"/>
    <x v="515"/>
    <x v="1"/>
    <x v="4"/>
    <x v="0"/>
    <x v="4"/>
    <x v="37"/>
    <x v="37"/>
  </r>
  <r>
    <x v="735"/>
    <x v="151"/>
    <x v="331"/>
    <x v="0"/>
    <x v="2"/>
    <x v="5"/>
    <x v="1"/>
    <x v="0"/>
    <x v="42"/>
    <x v="2"/>
    <x v="140"/>
    <x v="1"/>
    <x v="0"/>
    <x v="0"/>
    <x v="0"/>
    <x v="76"/>
    <x v="76"/>
  </r>
  <r>
    <x v="736"/>
    <x v="714"/>
    <x v="511"/>
    <x v="6"/>
    <x v="1"/>
    <x v="0"/>
    <x v="1"/>
    <x v="0"/>
    <x v="11"/>
    <x v="6"/>
    <x v="516"/>
    <x v="1"/>
    <x v="6"/>
    <x v="0"/>
    <x v="6"/>
    <x v="6"/>
    <x v="6"/>
  </r>
  <r>
    <x v="737"/>
    <x v="715"/>
    <x v="512"/>
    <x v="0"/>
    <x v="0"/>
    <x v="2"/>
    <x v="2"/>
    <x v="0"/>
    <x v="32"/>
    <x v="5"/>
    <x v="197"/>
    <x v="0"/>
    <x v="0"/>
    <x v="0"/>
    <x v="0"/>
    <x v="85"/>
    <x v="85"/>
  </r>
  <r>
    <x v="738"/>
    <x v="716"/>
    <x v="513"/>
    <x v="8"/>
    <x v="1"/>
    <x v="0"/>
    <x v="2"/>
    <x v="0"/>
    <x v="38"/>
    <x v="1"/>
    <x v="517"/>
    <x v="1"/>
    <x v="8"/>
    <x v="1"/>
    <x v="8"/>
    <x v="103"/>
    <x v="103"/>
  </r>
  <r>
    <x v="739"/>
    <x v="242"/>
    <x v="473"/>
    <x v="7"/>
    <x v="2"/>
    <x v="3"/>
    <x v="2"/>
    <x v="0"/>
    <x v="10"/>
    <x v="5"/>
    <x v="210"/>
    <x v="0"/>
    <x v="7"/>
    <x v="1"/>
    <x v="7"/>
    <x v="28"/>
    <x v="28"/>
  </r>
  <r>
    <x v="740"/>
    <x v="717"/>
    <x v="363"/>
    <x v="1"/>
    <x v="1"/>
    <x v="5"/>
    <x v="1"/>
    <x v="0"/>
    <x v="30"/>
    <x v="2"/>
    <x v="518"/>
    <x v="1"/>
    <x v="1"/>
    <x v="0"/>
    <x v="1"/>
    <x v="85"/>
    <x v="85"/>
  </r>
  <r>
    <x v="741"/>
    <x v="718"/>
    <x v="219"/>
    <x v="1"/>
    <x v="3"/>
    <x v="5"/>
    <x v="1"/>
    <x v="0"/>
    <x v="41"/>
    <x v="6"/>
    <x v="519"/>
    <x v="1"/>
    <x v="1"/>
    <x v="0"/>
    <x v="1"/>
    <x v="158"/>
    <x v="158"/>
  </r>
  <r>
    <x v="742"/>
    <x v="159"/>
    <x v="246"/>
    <x v="8"/>
    <x v="2"/>
    <x v="2"/>
    <x v="0"/>
    <x v="0"/>
    <x v="37"/>
    <x v="4"/>
    <x v="147"/>
    <x v="0"/>
    <x v="8"/>
    <x v="1"/>
    <x v="8"/>
    <x v="85"/>
    <x v="85"/>
  </r>
  <r>
    <x v="743"/>
    <x v="719"/>
    <x v="260"/>
    <x v="8"/>
    <x v="1"/>
    <x v="2"/>
    <x v="0"/>
    <x v="0"/>
    <x v="34"/>
    <x v="5"/>
    <x v="306"/>
    <x v="1"/>
    <x v="8"/>
    <x v="1"/>
    <x v="8"/>
    <x v="17"/>
    <x v="17"/>
  </r>
  <r>
    <x v="744"/>
    <x v="720"/>
    <x v="392"/>
    <x v="6"/>
    <x v="1"/>
    <x v="0"/>
    <x v="2"/>
    <x v="0"/>
    <x v="2"/>
    <x v="3"/>
    <x v="245"/>
    <x v="2"/>
    <x v="6"/>
    <x v="0"/>
    <x v="6"/>
    <x v="6"/>
    <x v="6"/>
  </r>
  <r>
    <x v="745"/>
    <x v="721"/>
    <x v="514"/>
    <x v="10"/>
    <x v="1"/>
    <x v="2"/>
    <x v="2"/>
    <x v="0"/>
    <x v="3"/>
    <x v="2"/>
    <x v="457"/>
    <x v="0"/>
    <x v="10"/>
    <x v="3"/>
    <x v="10"/>
    <x v="16"/>
    <x v="16"/>
  </r>
  <r>
    <x v="746"/>
    <x v="500"/>
    <x v="515"/>
    <x v="17"/>
    <x v="1"/>
    <x v="2"/>
    <x v="2"/>
    <x v="0"/>
    <x v="39"/>
    <x v="2"/>
    <x v="181"/>
    <x v="0"/>
    <x v="17"/>
    <x v="4"/>
    <x v="17"/>
    <x v="49"/>
    <x v="49"/>
  </r>
  <r>
    <x v="747"/>
    <x v="722"/>
    <x v="516"/>
    <x v="11"/>
    <x v="1"/>
    <x v="3"/>
    <x v="0"/>
    <x v="0"/>
    <x v="21"/>
    <x v="7"/>
    <x v="520"/>
    <x v="1"/>
    <x v="11"/>
    <x v="1"/>
    <x v="11"/>
    <x v="114"/>
    <x v="114"/>
  </r>
  <r>
    <x v="748"/>
    <x v="723"/>
    <x v="436"/>
    <x v="7"/>
    <x v="3"/>
    <x v="2"/>
    <x v="0"/>
    <x v="0"/>
    <x v="12"/>
    <x v="1"/>
    <x v="328"/>
    <x v="2"/>
    <x v="7"/>
    <x v="1"/>
    <x v="7"/>
    <x v="159"/>
    <x v="159"/>
  </r>
  <r>
    <x v="749"/>
    <x v="724"/>
    <x v="70"/>
    <x v="8"/>
    <x v="3"/>
    <x v="2"/>
    <x v="0"/>
    <x v="0"/>
    <x v="47"/>
    <x v="4"/>
    <x v="521"/>
    <x v="0"/>
    <x v="8"/>
    <x v="1"/>
    <x v="8"/>
    <x v="41"/>
    <x v="41"/>
  </r>
  <r>
    <x v="750"/>
    <x v="725"/>
    <x v="188"/>
    <x v="6"/>
    <x v="1"/>
    <x v="2"/>
    <x v="2"/>
    <x v="0"/>
    <x v="5"/>
    <x v="9"/>
    <x v="522"/>
    <x v="1"/>
    <x v="6"/>
    <x v="0"/>
    <x v="6"/>
    <x v="13"/>
    <x v="13"/>
  </r>
  <r>
    <x v="751"/>
    <x v="726"/>
    <x v="517"/>
    <x v="10"/>
    <x v="3"/>
    <x v="2"/>
    <x v="1"/>
    <x v="0"/>
    <x v="40"/>
    <x v="3"/>
    <x v="523"/>
    <x v="0"/>
    <x v="10"/>
    <x v="3"/>
    <x v="10"/>
    <x v="19"/>
    <x v="19"/>
  </r>
  <r>
    <x v="752"/>
    <x v="727"/>
    <x v="250"/>
    <x v="0"/>
    <x v="1"/>
    <x v="3"/>
    <x v="1"/>
    <x v="0"/>
    <x v="33"/>
    <x v="2"/>
    <x v="454"/>
    <x v="0"/>
    <x v="0"/>
    <x v="0"/>
    <x v="0"/>
    <x v="43"/>
    <x v="43"/>
  </r>
  <r>
    <x v="753"/>
    <x v="728"/>
    <x v="54"/>
    <x v="3"/>
    <x v="2"/>
    <x v="2"/>
    <x v="2"/>
    <x v="0"/>
    <x v="32"/>
    <x v="2"/>
    <x v="524"/>
    <x v="1"/>
    <x v="3"/>
    <x v="2"/>
    <x v="3"/>
    <x v="89"/>
    <x v="89"/>
  </r>
  <r>
    <x v="754"/>
    <x v="729"/>
    <x v="518"/>
    <x v="2"/>
    <x v="3"/>
    <x v="1"/>
    <x v="0"/>
    <x v="0"/>
    <x v="6"/>
    <x v="2"/>
    <x v="525"/>
    <x v="1"/>
    <x v="2"/>
    <x v="1"/>
    <x v="2"/>
    <x v="139"/>
    <x v="139"/>
  </r>
  <r>
    <x v="755"/>
    <x v="730"/>
    <x v="161"/>
    <x v="7"/>
    <x v="0"/>
    <x v="3"/>
    <x v="2"/>
    <x v="0"/>
    <x v="18"/>
    <x v="9"/>
    <x v="526"/>
    <x v="1"/>
    <x v="7"/>
    <x v="1"/>
    <x v="7"/>
    <x v="160"/>
    <x v="160"/>
  </r>
  <r>
    <x v="756"/>
    <x v="731"/>
    <x v="519"/>
    <x v="6"/>
    <x v="3"/>
    <x v="2"/>
    <x v="2"/>
    <x v="0"/>
    <x v="46"/>
    <x v="6"/>
    <x v="527"/>
    <x v="1"/>
    <x v="6"/>
    <x v="0"/>
    <x v="6"/>
    <x v="31"/>
    <x v="31"/>
  </r>
  <r>
    <x v="757"/>
    <x v="732"/>
    <x v="477"/>
    <x v="10"/>
    <x v="1"/>
    <x v="2"/>
    <x v="0"/>
    <x v="0"/>
    <x v="31"/>
    <x v="3"/>
    <x v="163"/>
    <x v="0"/>
    <x v="10"/>
    <x v="3"/>
    <x v="10"/>
    <x v="16"/>
    <x v="16"/>
  </r>
  <r>
    <x v="758"/>
    <x v="733"/>
    <x v="428"/>
    <x v="0"/>
    <x v="2"/>
    <x v="1"/>
    <x v="0"/>
    <x v="0"/>
    <x v="39"/>
    <x v="0"/>
    <x v="528"/>
    <x v="0"/>
    <x v="0"/>
    <x v="0"/>
    <x v="0"/>
    <x v="15"/>
    <x v="15"/>
  </r>
  <r>
    <x v="759"/>
    <x v="734"/>
    <x v="197"/>
    <x v="14"/>
    <x v="3"/>
    <x v="5"/>
    <x v="2"/>
    <x v="0"/>
    <x v="44"/>
    <x v="4"/>
    <x v="529"/>
    <x v="1"/>
    <x v="14"/>
    <x v="1"/>
    <x v="14"/>
    <x v="142"/>
    <x v="142"/>
  </r>
  <r>
    <x v="760"/>
    <x v="735"/>
    <x v="520"/>
    <x v="18"/>
    <x v="2"/>
    <x v="2"/>
    <x v="1"/>
    <x v="2"/>
    <x v="46"/>
    <x v="2"/>
    <x v="530"/>
    <x v="0"/>
    <x v="18"/>
    <x v="1"/>
    <x v="18"/>
    <x v="53"/>
    <x v="53"/>
  </r>
  <r>
    <x v="761"/>
    <x v="736"/>
    <x v="521"/>
    <x v="12"/>
    <x v="1"/>
    <x v="4"/>
    <x v="0"/>
    <x v="0"/>
    <x v="44"/>
    <x v="2"/>
    <x v="531"/>
    <x v="0"/>
    <x v="12"/>
    <x v="4"/>
    <x v="12"/>
    <x v="1"/>
    <x v="1"/>
  </r>
  <r>
    <x v="762"/>
    <x v="737"/>
    <x v="288"/>
    <x v="0"/>
    <x v="1"/>
    <x v="3"/>
    <x v="1"/>
    <x v="0"/>
    <x v="31"/>
    <x v="6"/>
    <x v="532"/>
    <x v="1"/>
    <x v="0"/>
    <x v="0"/>
    <x v="0"/>
    <x v="43"/>
    <x v="43"/>
  </r>
  <r>
    <x v="763"/>
    <x v="738"/>
    <x v="522"/>
    <x v="14"/>
    <x v="1"/>
    <x v="2"/>
    <x v="2"/>
    <x v="0"/>
    <x v="14"/>
    <x v="2"/>
    <x v="122"/>
    <x v="0"/>
    <x v="14"/>
    <x v="1"/>
    <x v="14"/>
    <x v="78"/>
    <x v="78"/>
  </r>
  <r>
    <x v="764"/>
    <x v="739"/>
    <x v="263"/>
    <x v="16"/>
    <x v="1"/>
    <x v="2"/>
    <x v="0"/>
    <x v="0"/>
    <x v="22"/>
    <x v="9"/>
    <x v="362"/>
    <x v="1"/>
    <x v="16"/>
    <x v="1"/>
    <x v="16"/>
    <x v="58"/>
    <x v="58"/>
  </r>
  <r>
    <x v="765"/>
    <x v="740"/>
    <x v="432"/>
    <x v="0"/>
    <x v="2"/>
    <x v="5"/>
    <x v="0"/>
    <x v="0"/>
    <x v="30"/>
    <x v="2"/>
    <x v="477"/>
    <x v="1"/>
    <x v="0"/>
    <x v="0"/>
    <x v="0"/>
    <x v="76"/>
    <x v="76"/>
  </r>
  <r>
    <x v="766"/>
    <x v="741"/>
    <x v="37"/>
    <x v="4"/>
    <x v="2"/>
    <x v="3"/>
    <x v="0"/>
    <x v="0"/>
    <x v="19"/>
    <x v="3"/>
    <x v="437"/>
    <x v="1"/>
    <x v="4"/>
    <x v="0"/>
    <x v="4"/>
    <x v="37"/>
    <x v="37"/>
  </r>
  <r>
    <x v="767"/>
    <x v="742"/>
    <x v="523"/>
    <x v="9"/>
    <x v="2"/>
    <x v="2"/>
    <x v="0"/>
    <x v="0"/>
    <x v="42"/>
    <x v="3"/>
    <x v="533"/>
    <x v="0"/>
    <x v="9"/>
    <x v="0"/>
    <x v="9"/>
    <x v="24"/>
    <x v="24"/>
  </r>
  <r>
    <x v="768"/>
    <x v="743"/>
    <x v="524"/>
    <x v="18"/>
    <x v="1"/>
    <x v="0"/>
    <x v="0"/>
    <x v="0"/>
    <x v="27"/>
    <x v="4"/>
    <x v="534"/>
    <x v="0"/>
    <x v="18"/>
    <x v="1"/>
    <x v="18"/>
    <x v="90"/>
    <x v="90"/>
  </r>
  <r>
    <x v="769"/>
    <x v="744"/>
    <x v="516"/>
    <x v="1"/>
    <x v="2"/>
    <x v="4"/>
    <x v="3"/>
    <x v="0"/>
    <x v="37"/>
    <x v="2"/>
    <x v="535"/>
    <x v="0"/>
    <x v="1"/>
    <x v="0"/>
    <x v="1"/>
    <x v="36"/>
    <x v="36"/>
  </r>
  <r>
    <x v="770"/>
    <x v="745"/>
    <x v="8"/>
    <x v="12"/>
    <x v="2"/>
    <x v="0"/>
    <x v="0"/>
    <x v="0"/>
    <x v="8"/>
    <x v="5"/>
    <x v="536"/>
    <x v="0"/>
    <x v="12"/>
    <x v="4"/>
    <x v="12"/>
    <x v="96"/>
    <x v="96"/>
  </r>
  <r>
    <x v="771"/>
    <x v="746"/>
    <x v="525"/>
    <x v="8"/>
    <x v="1"/>
    <x v="4"/>
    <x v="0"/>
    <x v="0"/>
    <x v="14"/>
    <x v="2"/>
    <x v="537"/>
    <x v="1"/>
    <x v="8"/>
    <x v="1"/>
    <x v="8"/>
    <x v="45"/>
    <x v="45"/>
  </r>
  <r>
    <x v="772"/>
    <x v="747"/>
    <x v="526"/>
    <x v="10"/>
    <x v="2"/>
    <x v="2"/>
    <x v="0"/>
    <x v="0"/>
    <x v="7"/>
    <x v="3"/>
    <x v="261"/>
    <x v="0"/>
    <x v="10"/>
    <x v="3"/>
    <x v="10"/>
    <x v="15"/>
    <x v="15"/>
  </r>
  <r>
    <x v="773"/>
    <x v="748"/>
    <x v="227"/>
    <x v="12"/>
    <x v="3"/>
    <x v="0"/>
    <x v="0"/>
    <x v="0"/>
    <x v="14"/>
    <x v="0"/>
    <x v="538"/>
    <x v="1"/>
    <x v="12"/>
    <x v="4"/>
    <x v="12"/>
    <x v="161"/>
    <x v="161"/>
  </r>
  <r>
    <x v="774"/>
    <x v="749"/>
    <x v="486"/>
    <x v="17"/>
    <x v="2"/>
    <x v="3"/>
    <x v="0"/>
    <x v="0"/>
    <x v="8"/>
    <x v="3"/>
    <x v="539"/>
    <x v="0"/>
    <x v="17"/>
    <x v="4"/>
    <x v="17"/>
    <x v="162"/>
    <x v="162"/>
  </r>
  <r>
    <x v="775"/>
    <x v="750"/>
    <x v="496"/>
    <x v="14"/>
    <x v="4"/>
    <x v="0"/>
    <x v="0"/>
    <x v="0"/>
    <x v="39"/>
    <x v="4"/>
    <x v="236"/>
    <x v="0"/>
    <x v="14"/>
    <x v="1"/>
    <x v="14"/>
    <x v="163"/>
    <x v="163"/>
  </r>
  <r>
    <x v="776"/>
    <x v="751"/>
    <x v="310"/>
    <x v="0"/>
    <x v="4"/>
    <x v="5"/>
    <x v="2"/>
    <x v="0"/>
    <x v="13"/>
    <x v="3"/>
    <x v="375"/>
    <x v="1"/>
    <x v="0"/>
    <x v="0"/>
    <x v="0"/>
    <x v="1"/>
    <x v="1"/>
  </r>
  <r>
    <x v="777"/>
    <x v="752"/>
    <x v="3"/>
    <x v="8"/>
    <x v="2"/>
    <x v="2"/>
    <x v="2"/>
    <x v="0"/>
    <x v="20"/>
    <x v="6"/>
    <x v="540"/>
    <x v="0"/>
    <x v="8"/>
    <x v="1"/>
    <x v="8"/>
    <x v="85"/>
    <x v="85"/>
  </r>
  <r>
    <x v="778"/>
    <x v="753"/>
    <x v="456"/>
    <x v="12"/>
    <x v="1"/>
    <x v="0"/>
    <x v="0"/>
    <x v="0"/>
    <x v="15"/>
    <x v="8"/>
    <x v="541"/>
    <x v="0"/>
    <x v="12"/>
    <x v="4"/>
    <x v="12"/>
    <x v="2"/>
    <x v="2"/>
  </r>
  <r>
    <x v="779"/>
    <x v="754"/>
    <x v="251"/>
    <x v="8"/>
    <x v="1"/>
    <x v="0"/>
    <x v="0"/>
    <x v="0"/>
    <x v="27"/>
    <x v="1"/>
    <x v="542"/>
    <x v="0"/>
    <x v="8"/>
    <x v="1"/>
    <x v="8"/>
    <x v="103"/>
    <x v="103"/>
  </r>
  <r>
    <x v="780"/>
    <x v="755"/>
    <x v="527"/>
    <x v="10"/>
    <x v="0"/>
    <x v="2"/>
    <x v="0"/>
    <x v="0"/>
    <x v="44"/>
    <x v="6"/>
    <x v="125"/>
    <x v="1"/>
    <x v="10"/>
    <x v="3"/>
    <x v="10"/>
    <x v="4"/>
    <x v="4"/>
  </r>
  <r>
    <x v="781"/>
    <x v="756"/>
    <x v="383"/>
    <x v="0"/>
    <x v="1"/>
    <x v="5"/>
    <x v="2"/>
    <x v="0"/>
    <x v="8"/>
    <x v="4"/>
    <x v="543"/>
    <x v="1"/>
    <x v="0"/>
    <x v="0"/>
    <x v="0"/>
    <x v="55"/>
    <x v="55"/>
  </r>
  <r>
    <x v="782"/>
    <x v="757"/>
    <x v="413"/>
    <x v="6"/>
    <x v="1"/>
    <x v="2"/>
    <x v="2"/>
    <x v="0"/>
    <x v="26"/>
    <x v="2"/>
    <x v="185"/>
    <x v="0"/>
    <x v="6"/>
    <x v="0"/>
    <x v="6"/>
    <x v="13"/>
    <x v="13"/>
  </r>
  <r>
    <x v="783"/>
    <x v="758"/>
    <x v="528"/>
    <x v="9"/>
    <x v="1"/>
    <x v="0"/>
    <x v="3"/>
    <x v="1"/>
    <x v="24"/>
    <x v="5"/>
    <x v="322"/>
    <x v="1"/>
    <x v="9"/>
    <x v="0"/>
    <x v="9"/>
    <x v="63"/>
    <x v="63"/>
  </r>
  <r>
    <x v="784"/>
    <x v="759"/>
    <x v="529"/>
    <x v="2"/>
    <x v="0"/>
    <x v="0"/>
    <x v="0"/>
    <x v="0"/>
    <x v="22"/>
    <x v="2"/>
    <x v="544"/>
    <x v="1"/>
    <x v="2"/>
    <x v="1"/>
    <x v="2"/>
    <x v="126"/>
    <x v="126"/>
  </r>
  <r>
    <x v="785"/>
    <x v="760"/>
    <x v="187"/>
    <x v="3"/>
    <x v="2"/>
    <x v="0"/>
    <x v="0"/>
    <x v="0"/>
    <x v="20"/>
    <x v="2"/>
    <x v="545"/>
    <x v="0"/>
    <x v="3"/>
    <x v="2"/>
    <x v="3"/>
    <x v="155"/>
    <x v="155"/>
  </r>
  <r>
    <x v="786"/>
    <x v="761"/>
    <x v="530"/>
    <x v="10"/>
    <x v="3"/>
    <x v="4"/>
    <x v="2"/>
    <x v="0"/>
    <x v="1"/>
    <x v="5"/>
    <x v="546"/>
    <x v="0"/>
    <x v="10"/>
    <x v="3"/>
    <x v="10"/>
    <x v="76"/>
    <x v="76"/>
  </r>
  <r>
    <x v="787"/>
    <x v="762"/>
    <x v="190"/>
    <x v="2"/>
    <x v="2"/>
    <x v="2"/>
    <x v="0"/>
    <x v="0"/>
    <x v="22"/>
    <x v="2"/>
    <x v="246"/>
    <x v="0"/>
    <x v="2"/>
    <x v="1"/>
    <x v="2"/>
    <x v="130"/>
    <x v="130"/>
  </r>
  <r>
    <x v="788"/>
    <x v="763"/>
    <x v="311"/>
    <x v="7"/>
    <x v="3"/>
    <x v="1"/>
    <x v="0"/>
    <x v="0"/>
    <x v="19"/>
    <x v="3"/>
    <x v="547"/>
    <x v="0"/>
    <x v="7"/>
    <x v="1"/>
    <x v="7"/>
    <x v="61"/>
    <x v="61"/>
  </r>
  <r>
    <x v="789"/>
    <x v="764"/>
    <x v="298"/>
    <x v="9"/>
    <x v="2"/>
    <x v="2"/>
    <x v="2"/>
    <x v="0"/>
    <x v="11"/>
    <x v="8"/>
    <x v="242"/>
    <x v="1"/>
    <x v="9"/>
    <x v="0"/>
    <x v="9"/>
    <x v="24"/>
    <x v="24"/>
  </r>
  <r>
    <x v="790"/>
    <x v="765"/>
    <x v="531"/>
    <x v="10"/>
    <x v="1"/>
    <x v="3"/>
    <x v="2"/>
    <x v="0"/>
    <x v="14"/>
    <x v="6"/>
    <x v="342"/>
    <x v="0"/>
    <x v="10"/>
    <x v="3"/>
    <x v="10"/>
    <x v="16"/>
    <x v="16"/>
  </r>
  <r>
    <x v="791"/>
    <x v="766"/>
    <x v="252"/>
    <x v="9"/>
    <x v="1"/>
    <x v="2"/>
    <x v="2"/>
    <x v="0"/>
    <x v="29"/>
    <x v="2"/>
    <x v="548"/>
    <x v="0"/>
    <x v="9"/>
    <x v="0"/>
    <x v="9"/>
    <x v="4"/>
    <x v="4"/>
  </r>
  <r>
    <x v="792"/>
    <x v="767"/>
    <x v="276"/>
    <x v="0"/>
    <x v="1"/>
    <x v="2"/>
    <x v="0"/>
    <x v="0"/>
    <x v="25"/>
    <x v="6"/>
    <x v="549"/>
    <x v="0"/>
    <x v="0"/>
    <x v="0"/>
    <x v="0"/>
    <x v="43"/>
    <x v="43"/>
  </r>
  <r>
    <x v="793"/>
    <x v="768"/>
    <x v="209"/>
    <x v="15"/>
    <x v="1"/>
    <x v="0"/>
    <x v="0"/>
    <x v="0"/>
    <x v="17"/>
    <x v="2"/>
    <x v="550"/>
    <x v="1"/>
    <x v="15"/>
    <x v="5"/>
    <x v="15"/>
    <x v="30"/>
    <x v="30"/>
  </r>
  <r>
    <x v="794"/>
    <x v="769"/>
    <x v="99"/>
    <x v="11"/>
    <x v="2"/>
    <x v="0"/>
    <x v="3"/>
    <x v="0"/>
    <x v="47"/>
    <x v="3"/>
    <x v="551"/>
    <x v="1"/>
    <x v="11"/>
    <x v="1"/>
    <x v="11"/>
    <x v="22"/>
    <x v="22"/>
  </r>
  <r>
    <x v="795"/>
    <x v="770"/>
    <x v="532"/>
    <x v="8"/>
    <x v="1"/>
    <x v="2"/>
    <x v="1"/>
    <x v="0"/>
    <x v="47"/>
    <x v="3"/>
    <x v="552"/>
    <x v="0"/>
    <x v="8"/>
    <x v="1"/>
    <x v="8"/>
    <x v="17"/>
    <x v="17"/>
  </r>
  <r>
    <x v="796"/>
    <x v="771"/>
    <x v="399"/>
    <x v="3"/>
    <x v="2"/>
    <x v="3"/>
    <x v="0"/>
    <x v="0"/>
    <x v="18"/>
    <x v="1"/>
    <x v="553"/>
    <x v="0"/>
    <x v="3"/>
    <x v="2"/>
    <x v="3"/>
    <x v="164"/>
    <x v="164"/>
  </r>
  <r>
    <x v="797"/>
    <x v="772"/>
    <x v="39"/>
    <x v="7"/>
    <x v="1"/>
    <x v="5"/>
    <x v="2"/>
    <x v="0"/>
    <x v="40"/>
    <x v="2"/>
    <x v="554"/>
    <x v="0"/>
    <x v="7"/>
    <x v="1"/>
    <x v="7"/>
    <x v="91"/>
    <x v="91"/>
  </r>
  <r>
    <x v="798"/>
    <x v="773"/>
    <x v="533"/>
    <x v="9"/>
    <x v="2"/>
    <x v="3"/>
    <x v="2"/>
    <x v="0"/>
    <x v="44"/>
    <x v="7"/>
    <x v="422"/>
    <x v="0"/>
    <x v="9"/>
    <x v="0"/>
    <x v="9"/>
    <x v="137"/>
    <x v="137"/>
  </r>
  <r>
    <x v="799"/>
    <x v="774"/>
    <x v="69"/>
    <x v="12"/>
    <x v="1"/>
    <x v="2"/>
    <x v="0"/>
    <x v="0"/>
    <x v="40"/>
    <x v="6"/>
    <x v="306"/>
    <x v="1"/>
    <x v="12"/>
    <x v="4"/>
    <x v="12"/>
    <x v="62"/>
    <x v="62"/>
  </r>
  <r>
    <x v="800"/>
    <x v="775"/>
    <x v="94"/>
    <x v="8"/>
    <x v="1"/>
    <x v="0"/>
    <x v="3"/>
    <x v="0"/>
    <x v="22"/>
    <x v="2"/>
    <x v="555"/>
    <x v="0"/>
    <x v="8"/>
    <x v="1"/>
    <x v="8"/>
    <x v="103"/>
    <x v="103"/>
  </r>
  <r>
    <x v="801"/>
    <x v="776"/>
    <x v="534"/>
    <x v="4"/>
    <x v="1"/>
    <x v="0"/>
    <x v="1"/>
    <x v="0"/>
    <x v="27"/>
    <x v="2"/>
    <x v="556"/>
    <x v="1"/>
    <x v="4"/>
    <x v="0"/>
    <x v="4"/>
    <x v="45"/>
    <x v="45"/>
  </r>
  <r>
    <x v="802"/>
    <x v="777"/>
    <x v="60"/>
    <x v="10"/>
    <x v="2"/>
    <x v="5"/>
    <x v="0"/>
    <x v="0"/>
    <x v="30"/>
    <x v="0"/>
    <x v="557"/>
    <x v="2"/>
    <x v="10"/>
    <x v="3"/>
    <x v="10"/>
    <x v="70"/>
    <x v="70"/>
  </r>
  <r>
    <x v="803"/>
    <x v="778"/>
    <x v="527"/>
    <x v="10"/>
    <x v="2"/>
    <x v="5"/>
    <x v="3"/>
    <x v="2"/>
    <x v="23"/>
    <x v="2"/>
    <x v="80"/>
    <x v="1"/>
    <x v="10"/>
    <x v="3"/>
    <x v="10"/>
    <x v="70"/>
    <x v="70"/>
  </r>
  <r>
    <x v="804"/>
    <x v="779"/>
    <x v="535"/>
    <x v="19"/>
    <x v="1"/>
    <x v="2"/>
    <x v="2"/>
    <x v="0"/>
    <x v="43"/>
    <x v="7"/>
    <x v="558"/>
    <x v="2"/>
    <x v="19"/>
    <x v="1"/>
    <x v="19"/>
    <x v="19"/>
    <x v="19"/>
  </r>
  <r>
    <x v="805"/>
    <x v="780"/>
    <x v="419"/>
    <x v="8"/>
    <x v="2"/>
    <x v="3"/>
    <x v="1"/>
    <x v="0"/>
    <x v="26"/>
    <x v="3"/>
    <x v="332"/>
    <x v="0"/>
    <x v="8"/>
    <x v="1"/>
    <x v="8"/>
    <x v="12"/>
    <x v="12"/>
  </r>
  <r>
    <x v="806"/>
    <x v="781"/>
    <x v="536"/>
    <x v="4"/>
    <x v="1"/>
    <x v="2"/>
    <x v="1"/>
    <x v="0"/>
    <x v="9"/>
    <x v="3"/>
    <x v="559"/>
    <x v="0"/>
    <x v="4"/>
    <x v="0"/>
    <x v="4"/>
    <x v="15"/>
    <x v="15"/>
  </r>
  <r>
    <x v="807"/>
    <x v="782"/>
    <x v="446"/>
    <x v="1"/>
    <x v="2"/>
    <x v="2"/>
    <x v="0"/>
    <x v="0"/>
    <x v="42"/>
    <x v="4"/>
    <x v="6"/>
    <x v="1"/>
    <x v="1"/>
    <x v="0"/>
    <x v="1"/>
    <x v="61"/>
    <x v="61"/>
  </r>
  <r>
    <x v="808"/>
    <x v="783"/>
    <x v="537"/>
    <x v="4"/>
    <x v="2"/>
    <x v="0"/>
    <x v="2"/>
    <x v="0"/>
    <x v="10"/>
    <x v="3"/>
    <x v="157"/>
    <x v="1"/>
    <x v="4"/>
    <x v="0"/>
    <x v="4"/>
    <x v="63"/>
    <x v="63"/>
  </r>
  <r>
    <x v="809"/>
    <x v="784"/>
    <x v="536"/>
    <x v="7"/>
    <x v="2"/>
    <x v="0"/>
    <x v="0"/>
    <x v="0"/>
    <x v="11"/>
    <x v="2"/>
    <x v="504"/>
    <x v="0"/>
    <x v="7"/>
    <x v="1"/>
    <x v="7"/>
    <x v="29"/>
    <x v="29"/>
  </r>
  <r>
    <x v="810"/>
    <x v="785"/>
    <x v="202"/>
    <x v="8"/>
    <x v="3"/>
    <x v="2"/>
    <x v="0"/>
    <x v="0"/>
    <x v="41"/>
    <x v="7"/>
    <x v="400"/>
    <x v="2"/>
    <x v="8"/>
    <x v="1"/>
    <x v="8"/>
    <x v="41"/>
    <x v="41"/>
  </r>
  <r>
    <x v="811"/>
    <x v="786"/>
    <x v="538"/>
    <x v="8"/>
    <x v="3"/>
    <x v="3"/>
    <x v="1"/>
    <x v="0"/>
    <x v="17"/>
    <x v="5"/>
    <x v="108"/>
    <x v="1"/>
    <x v="8"/>
    <x v="1"/>
    <x v="8"/>
    <x v="123"/>
    <x v="123"/>
  </r>
  <r>
    <x v="812"/>
    <x v="787"/>
    <x v="539"/>
    <x v="0"/>
    <x v="1"/>
    <x v="2"/>
    <x v="0"/>
    <x v="0"/>
    <x v="16"/>
    <x v="2"/>
    <x v="173"/>
    <x v="0"/>
    <x v="0"/>
    <x v="0"/>
    <x v="0"/>
    <x v="43"/>
    <x v="43"/>
  </r>
  <r>
    <x v="813"/>
    <x v="788"/>
    <x v="540"/>
    <x v="6"/>
    <x v="1"/>
    <x v="0"/>
    <x v="1"/>
    <x v="0"/>
    <x v="23"/>
    <x v="6"/>
    <x v="560"/>
    <x v="1"/>
    <x v="6"/>
    <x v="0"/>
    <x v="6"/>
    <x v="6"/>
    <x v="6"/>
  </r>
  <r>
    <x v="814"/>
    <x v="789"/>
    <x v="364"/>
    <x v="5"/>
    <x v="2"/>
    <x v="1"/>
    <x v="3"/>
    <x v="2"/>
    <x v="26"/>
    <x v="6"/>
    <x v="561"/>
    <x v="0"/>
    <x v="5"/>
    <x v="2"/>
    <x v="5"/>
    <x v="123"/>
    <x v="123"/>
  </r>
  <r>
    <x v="815"/>
    <x v="790"/>
    <x v="336"/>
    <x v="9"/>
    <x v="2"/>
    <x v="0"/>
    <x v="0"/>
    <x v="0"/>
    <x v="1"/>
    <x v="6"/>
    <x v="122"/>
    <x v="0"/>
    <x v="9"/>
    <x v="0"/>
    <x v="9"/>
    <x v="2"/>
    <x v="2"/>
  </r>
  <r>
    <x v="816"/>
    <x v="791"/>
    <x v="541"/>
    <x v="10"/>
    <x v="1"/>
    <x v="2"/>
    <x v="2"/>
    <x v="0"/>
    <x v="22"/>
    <x v="5"/>
    <x v="562"/>
    <x v="1"/>
    <x v="10"/>
    <x v="3"/>
    <x v="10"/>
    <x v="16"/>
    <x v="16"/>
  </r>
  <r>
    <x v="817"/>
    <x v="792"/>
    <x v="260"/>
    <x v="17"/>
    <x v="3"/>
    <x v="5"/>
    <x v="1"/>
    <x v="0"/>
    <x v="19"/>
    <x v="1"/>
    <x v="429"/>
    <x v="1"/>
    <x v="17"/>
    <x v="4"/>
    <x v="17"/>
    <x v="69"/>
    <x v="69"/>
  </r>
  <r>
    <x v="818"/>
    <x v="131"/>
    <x v="130"/>
    <x v="10"/>
    <x v="0"/>
    <x v="0"/>
    <x v="0"/>
    <x v="0"/>
    <x v="13"/>
    <x v="0"/>
    <x v="70"/>
    <x v="1"/>
    <x v="10"/>
    <x v="3"/>
    <x v="10"/>
    <x v="63"/>
    <x v="63"/>
  </r>
  <r>
    <x v="819"/>
    <x v="283"/>
    <x v="466"/>
    <x v="9"/>
    <x v="1"/>
    <x v="3"/>
    <x v="3"/>
    <x v="0"/>
    <x v="47"/>
    <x v="5"/>
    <x v="242"/>
    <x v="0"/>
    <x v="9"/>
    <x v="0"/>
    <x v="9"/>
    <x v="37"/>
    <x v="37"/>
  </r>
  <r>
    <x v="820"/>
    <x v="793"/>
    <x v="382"/>
    <x v="10"/>
    <x v="3"/>
    <x v="3"/>
    <x v="0"/>
    <x v="0"/>
    <x v="22"/>
    <x v="2"/>
    <x v="2"/>
    <x v="0"/>
    <x v="10"/>
    <x v="3"/>
    <x v="10"/>
    <x v="52"/>
    <x v="52"/>
  </r>
  <r>
    <x v="821"/>
    <x v="794"/>
    <x v="114"/>
    <x v="16"/>
    <x v="2"/>
    <x v="2"/>
    <x v="1"/>
    <x v="0"/>
    <x v="44"/>
    <x v="5"/>
    <x v="288"/>
    <x v="0"/>
    <x v="16"/>
    <x v="1"/>
    <x v="16"/>
    <x v="42"/>
    <x v="42"/>
  </r>
  <r>
    <x v="822"/>
    <x v="795"/>
    <x v="542"/>
    <x v="1"/>
    <x v="2"/>
    <x v="2"/>
    <x v="1"/>
    <x v="0"/>
    <x v="11"/>
    <x v="2"/>
    <x v="563"/>
    <x v="0"/>
    <x v="1"/>
    <x v="0"/>
    <x v="1"/>
    <x v="61"/>
    <x v="61"/>
  </r>
  <r>
    <x v="823"/>
    <x v="796"/>
    <x v="27"/>
    <x v="7"/>
    <x v="1"/>
    <x v="0"/>
    <x v="3"/>
    <x v="0"/>
    <x v="22"/>
    <x v="4"/>
    <x v="194"/>
    <x v="2"/>
    <x v="7"/>
    <x v="1"/>
    <x v="7"/>
    <x v="0"/>
    <x v="0"/>
  </r>
  <r>
    <x v="824"/>
    <x v="251"/>
    <x v="543"/>
    <x v="18"/>
    <x v="2"/>
    <x v="2"/>
    <x v="0"/>
    <x v="0"/>
    <x v="43"/>
    <x v="2"/>
    <x v="217"/>
    <x v="1"/>
    <x v="18"/>
    <x v="1"/>
    <x v="18"/>
    <x v="53"/>
    <x v="53"/>
  </r>
  <r>
    <x v="825"/>
    <x v="797"/>
    <x v="544"/>
    <x v="0"/>
    <x v="4"/>
    <x v="5"/>
    <x v="1"/>
    <x v="0"/>
    <x v="8"/>
    <x v="7"/>
    <x v="564"/>
    <x v="0"/>
    <x v="0"/>
    <x v="0"/>
    <x v="0"/>
    <x v="1"/>
    <x v="1"/>
  </r>
  <r>
    <x v="826"/>
    <x v="798"/>
    <x v="470"/>
    <x v="11"/>
    <x v="1"/>
    <x v="3"/>
    <x v="0"/>
    <x v="0"/>
    <x v="23"/>
    <x v="2"/>
    <x v="565"/>
    <x v="0"/>
    <x v="11"/>
    <x v="1"/>
    <x v="11"/>
    <x v="114"/>
    <x v="114"/>
  </r>
  <r>
    <x v="827"/>
    <x v="799"/>
    <x v="365"/>
    <x v="7"/>
    <x v="0"/>
    <x v="1"/>
    <x v="1"/>
    <x v="0"/>
    <x v="15"/>
    <x v="5"/>
    <x v="566"/>
    <x v="0"/>
    <x v="7"/>
    <x v="1"/>
    <x v="7"/>
    <x v="88"/>
    <x v="88"/>
  </r>
  <r>
    <x v="828"/>
    <x v="800"/>
    <x v="545"/>
    <x v="13"/>
    <x v="2"/>
    <x v="0"/>
    <x v="2"/>
    <x v="2"/>
    <x v="14"/>
    <x v="2"/>
    <x v="567"/>
    <x v="0"/>
    <x v="13"/>
    <x v="1"/>
    <x v="13"/>
    <x v="165"/>
    <x v="165"/>
  </r>
  <r>
    <x v="829"/>
    <x v="801"/>
    <x v="440"/>
    <x v="7"/>
    <x v="2"/>
    <x v="2"/>
    <x v="0"/>
    <x v="0"/>
    <x v="22"/>
    <x v="3"/>
    <x v="530"/>
    <x v="0"/>
    <x v="7"/>
    <x v="1"/>
    <x v="7"/>
    <x v="87"/>
    <x v="87"/>
  </r>
  <r>
    <x v="830"/>
    <x v="802"/>
    <x v="546"/>
    <x v="10"/>
    <x v="3"/>
    <x v="1"/>
    <x v="0"/>
    <x v="0"/>
    <x v="27"/>
    <x v="8"/>
    <x v="568"/>
    <x v="0"/>
    <x v="10"/>
    <x v="3"/>
    <x v="10"/>
    <x v="10"/>
    <x v="10"/>
  </r>
  <r>
    <x v="831"/>
    <x v="803"/>
    <x v="547"/>
    <x v="10"/>
    <x v="2"/>
    <x v="1"/>
    <x v="0"/>
    <x v="0"/>
    <x v="5"/>
    <x v="8"/>
    <x v="569"/>
    <x v="1"/>
    <x v="10"/>
    <x v="3"/>
    <x v="10"/>
    <x v="13"/>
    <x v="13"/>
  </r>
  <r>
    <x v="832"/>
    <x v="804"/>
    <x v="455"/>
    <x v="8"/>
    <x v="2"/>
    <x v="2"/>
    <x v="0"/>
    <x v="0"/>
    <x v="21"/>
    <x v="4"/>
    <x v="48"/>
    <x v="1"/>
    <x v="8"/>
    <x v="1"/>
    <x v="8"/>
    <x v="85"/>
    <x v="85"/>
  </r>
  <r>
    <x v="833"/>
    <x v="805"/>
    <x v="548"/>
    <x v="11"/>
    <x v="1"/>
    <x v="3"/>
    <x v="2"/>
    <x v="0"/>
    <x v="31"/>
    <x v="4"/>
    <x v="570"/>
    <x v="1"/>
    <x v="11"/>
    <x v="1"/>
    <x v="11"/>
    <x v="114"/>
    <x v="114"/>
  </r>
  <r>
    <x v="834"/>
    <x v="806"/>
    <x v="549"/>
    <x v="11"/>
    <x v="0"/>
    <x v="5"/>
    <x v="1"/>
    <x v="0"/>
    <x v="8"/>
    <x v="6"/>
    <x v="571"/>
    <x v="1"/>
    <x v="11"/>
    <x v="1"/>
    <x v="11"/>
    <x v="166"/>
    <x v="166"/>
  </r>
  <r>
    <x v="835"/>
    <x v="807"/>
    <x v="550"/>
    <x v="17"/>
    <x v="4"/>
    <x v="2"/>
    <x v="2"/>
    <x v="0"/>
    <x v="17"/>
    <x v="4"/>
    <x v="399"/>
    <x v="0"/>
    <x v="17"/>
    <x v="4"/>
    <x v="17"/>
    <x v="109"/>
    <x v="109"/>
  </r>
  <r>
    <x v="836"/>
    <x v="808"/>
    <x v="551"/>
    <x v="0"/>
    <x v="1"/>
    <x v="0"/>
    <x v="1"/>
    <x v="0"/>
    <x v="39"/>
    <x v="9"/>
    <x v="407"/>
    <x v="1"/>
    <x v="0"/>
    <x v="0"/>
    <x v="0"/>
    <x v="55"/>
    <x v="55"/>
  </r>
  <r>
    <x v="837"/>
    <x v="809"/>
    <x v="552"/>
    <x v="0"/>
    <x v="2"/>
    <x v="0"/>
    <x v="2"/>
    <x v="1"/>
    <x v="39"/>
    <x v="6"/>
    <x v="572"/>
    <x v="1"/>
    <x v="0"/>
    <x v="0"/>
    <x v="0"/>
    <x v="103"/>
    <x v="103"/>
  </r>
  <r>
    <x v="838"/>
    <x v="810"/>
    <x v="553"/>
    <x v="0"/>
    <x v="2"/>
    <x v="5"/>
    <x v="0"/>
    <x v="0"/>
    <x v="13"/>
    <x v="2"/>
    <x v="543"/>
    <x v="0"/>
    <x v="0"/>
    <x v="0"/>
    <x v="0"/>
    <x v="76"/>
    <x v="76"/>
  </r>
  <r>
    <x v="839"/>
    <x v="811"/>
    <x v="178"/>
    <x v="11"/>
    <x v="1"/>
    <x v="0"/>
    <x v="0"/>
    <x v="0"/>
    <x v="40"/>
    <x v="2"/>
    <x v="573"/>
    <x v="1"/>
    <x v="11"/>
    <x v="1"/>
    <x v="11"/>
    <x v="34"/>
    <x v="34"/>
  </r>
  <r>
    <x v="840"/>
    <x v="812"/>
    <x v="554"/>
    <x v="0"/>
    <x v="2"/>
    <x v="3"/>
    <x v="2"/>
    <x v="0"/>
    <x v="27"/>
    <x v="8"/>
    <x v="298"/>
    <x v="0"/>
    <x v="0"/>
    <x v="0"/>
    <x v="0"/>
    <x v="10"/>
    <x v="10"/>
  </r>
  <r>
    <x v="841"/>
    <x v="813"/>
    <x v="21"/>
    <x v="0"/>
    <x v="1"/>
    <x v="3"/>
    <x v="1"/>
    <x v="0"/>
    <x v="44"/>
    <x v="5"/>
    <x v="247"/>
    <x v="1"/>
    <x v="0"/>
    <x v="0"/>
    <x v="0"/>
    <x v="43"/>
    <x v="43"/>
  </r>
  <r>
    <x v="842"/>
    <x v="814"/>
    <x v="496"/>
    <x v="5"/>
    <x v="1"/>
    <x v="0"/>
    <x v="0"/>
    <x v="0"/>
    <x v="39"/>
    <x v="2"/>
    <x v="574"/>
    <x v="2"/>
    <x v="5"/>
    <x v="2"/>
    <x v="5"/>
    <x v="99"/>
    <x v="99"/>
  </r>
  <r>
    <x v="843"/>
    <x v="815"/>
    <x v="546"/>
    <x v="7"/>
    <x v="1"/>
    <x v="2"/>
    <x v="2"/>
    <x v="0"/>
    <x v="39"/>
    <x v="6"/>
    <x v="432"/>
    <x v="0"/>
    <x v="7"/>
    <x v="1"/>
    <x v="7"/>
    <x v="101"/>
    <x v="101"/>
  </r>
  <r>
    <x v="844"/>
    <x v="816"/>
    <x v="448"/>
    <x v="8"/>
    <x v="1"/>
    <x v="3"/>
    <x v="0"/>
    <x v="0"/>
    <x v="8"/>
    <x v="5"/>
    <x v="575"/>
    <x v="0"/>
    <x v="8"/>
    <x v="1"/>
    <x v="8"/>
    <x v="10"/>
    <x v="10"/>
  </r>
  <r>
    <x v="845"/>
    <x v="817"/>
    <x v="346"/>
    <x v="1"/>
    <x v="1"/>
    <x v="5"/>
    <x v="0"/>
    <x v="0"/>
    <x v="29"/>
    <x v="7"/>
    <x v="576"/>
    <x v="0"/>
    <x v="1"/>
    <x v="0"/>
    <x v="1"/>
    <x v="85"/>
    <x v="85"/>
  </r>
  <r>
    <x v="846"/>
    <x v="818"/>
    <x v="555"/>
    <x v="2"/>
    <x v="2"/>
    <x v="2"/>
    <x v="0"/>
    <x v="0"/>
    <x v="19"/>
    <x v="2"/>
    <x v="165"/>
    <x v="0"/>
    <x v="2"/>
    <x v="1"/>
    <x v="2"/>
    <x v="130"/>
    <x v="130"/>
  </r>
  <r>
    <x v="847"/>
    <x v="819"/>
    <x v="496"/>
    <x v="6"/>
    <x v="1"/>
    <x v="4"/>
    <x v="0"/>
    <x v="0"/>
    <x v="33"/>
    <x v="2"/>
    <x v="577"/>
    <x v="0"/>
    <x v="6"/>
    <x v="0"/>
    <x v="6"/>
    <x v="55"/>
    <x v="55"/>
  </r>
  <r>
    <x v="848"/>
    <x v="507"/>
    <x v="241"/>
    <x v="9"/>
    <x v="1"/>
    <x v="2"/>
    <x v="0"/>
    <x v="0"/>
    <x v="38"/>
    <x v="6"/>
    <x v="396"/>
    <x v="0"/>
    <x v="9"/>
    <x v="0"/>
    <x v="9"/>
    <x v="4"/>
    <x v="4"/>
  </r>
  <r>
    <x v="849"/>
    <x v="820"/>
    <x v="549"/>
    <x v="15"/>
    <x v="0"/>
    <x v="2"/>
    <x v="1"/>
    <x v="0"/>
    <x v="14"/>
    <x v="2"/>
    <x v="63"/>
    <x v="0"/>
    <x v="15"/>
    <x v="5"/>
    <x v="15"/>
    <x v="167"/>
    <x v="167"/>
  </r>
  <r>
    <x v="850"/>
    <x v="121"/>
    <x v="556"/>
    <x v="4"/>
    <x v="4"/>
    <x v="0"/>
    <x v="0"/>
    <x v="0"/>
    <x v="28"/>
    <x v="4"/>
    <x v="114"/>
    <x v="0"/>
    <x v="4"/>
    <x v="0"/>
    <x v="4"/>
    <x v="29"/>
    <x v="29"/>
  </r>
  <r>
    <x v="851"/>
    <x v="821"/>
    <x v="166"/>
    <x v="3"/>
    <x v="1"/>
    <x v="0"/>
    <x v="2"/>
    <x v="0"/>
    <x v="29"/>
    <x v="2"/>
    <x v="457"/>
    <x v="1"/>
    <x v="3"/>
    <x v="2"/>
    <x v="3"/>
    <x v="3"/>
    <x v="3"/>
  </r>
  <r>
    <x v="852"/>
    <x v="822"/>
    <x v="542"/>
    <x v="11"/>
    <x v="2"/>
    <x v="0"/>
    <x v="0"/>
    <x v="0"/>
    <x v="27"/>
    <x v="4"/>
    <x v="578"/>
    <x v="1"/>
    <x v="11"/>
    <x v="1"/>
    <x v="11"/>
    <x v="22"/>
    <x v="22"/>
  </r>
  <r>
    <x v="853"/>
    <x v="823"/>
    <x v="333"/>
    <x v="8"/>
    <x v="1"/>
    <x v="3"/>
    <x v="3"/>
    <x v="0"/>
    <x v="46"/>
    <x v="8"/>
    <x v="579"/>
    <x v="1"/>
    <x v="8"/>
    <x v="1"/>
    <x v="8"/>
    <x v="10"/>
    <x v="10"/>
  </r>
  <r>
    <x v="854"/>
    <x v="824"/>
    <x v="557"/>
    <x v="19"/>
    <x v="1"/>
    <x v="3"/>
    <x v="1"/>
    <x v="0"/>
    <x v="37"/>
    <x v="2"/>
    <x v="580"/>
    <x v="0"/>
    <x v="19"/>
    <x v="1"/>
    <x v="19"/>
    <x v="52"/>
    <x v="52"/>
  </r>
  <r>
    <x v="855"/>
    <x v="30"/>
    <x v="558"/>
    <x v="9"/>
    <x v="2"/>
    <x v="2"/>
    <x v="2"/>
    <x v="0"/>
    <x v="23"/>
    <x v="3"/>
    <x v="29"/>
    <x v="0"/>
    <x v="9"/>
    <x v="0"/>
    <x v="9"/>
    <x v="24"/>
    <x v="24"/>
  </r>
  <r>
    <x v="856"/>
    <x v="825"/>
    <x v="559"/>
    <x v="5"/>
    <x v="2"/>
    <x v="2"/>
    <x v="0"/>
    <x v="0"/>
    <x v="6"/>
    <x v="1"/>
    <x v="190"/>
    <x v="1"/>
    <x v="5"/>
    <x v="2"/>
    <x v="5"/>
    <x v="26"/>
    <x v="26"/>
  </r>
  <r>
    <x v="857"/>
    <x v="826"/>
    <x v="77"/>
    <x v="1"/>
    <x v="2"/>
    <x v="0"/>
    <x v="0"/>
    <x v="0"/>
    <x v="12"/>
    <x v="9"/>
    <x v="522"/>
    <x v="1"/>
    <x v="1"/>
    <x v="0"/>
    <x v="1"/>
    <x v="11"/>
    <x v="11"/>
  </r>
  <r>
    <x v="858"/>
    <x v="366"/>
    <x v="560"/>
    <x v="2"/>
    <x v="2"/>
    <x v="2"/>
    <x v="0"/>
    <x v="0"/>
    <x v="46"/>
    <x v="6"/>
    <x v="303"/>
    <x v="1"/>
    <x v="2"/>
    <x v="1"/>
    <x v="2"/>
    <x v="130"/>
    <x v="130"/>
  </r>
  <r>
    <x v="859"/>
    <x v="827"/>
    <x v="561"/>
    <x v="0"/>
    <x v="1"/>
    <x v="2"/>
    <x v="2"/>
    <x v="0"/>
    <x v="2"/>
    <x v="4"/>
    <x v="581"/>
    <x v="0"/>
    <x v="0"/>
    <x v="0"/>
    <x v="0"/>
    <x v="43"/>
    <x v="43"/>
  </r>
  <r>
    <x v="860"/>
    <x v="828"/>
    <x v="319"/>
    <x v="14"/>
    <x v="1"/>
    <x v="2"/>
    <x v="2"/>
    <x v="0"/>
    <x v="11"/>
    <x v="5"/>
    <x v="582"/>
    <x v="0"/>
    <x v="14"/>
    <x v="1"/>
    <x v="14"/>
    <x v="78"/>
    <x v="78"/>
  </r>
  <r>
    <x v="861"/>
    <x v="484"/>
    <x v="266"/>
    <x v="4"/>
    <x v="1"/>
    <x v="2"/>
    <x v="1"/>
    <x v="0"/>
    <x v="42"/>
    <x v="2"/>
    <x v="381"/>
    <x v="1"/>
    <x v="4"/>
    <x v="0"/>
    <x v="4"/>
    <x v="15"/>
    <x v="15"/>
  </r>
  <r>
    <x v="862"/>
    <x v="829"/>
    <x v="331"/>
    <x v="16"/>
    <x v="2"/>
    <x v="2"/>
    <x v="2"/>
    <x v="0"/>
    <x v="15"/>
    <x v="7"/>
    <x v="583"/>
    <x v="1"/>
    <x v="16"/>
    <x v="1"/>
    <x v="16"/>
    <x v="42"/>
    <x v="42"/>
  </r>
  <r>
    <x v="863"/>
    <x v="830"/>
    <x v="148"/>
    <x v="14"/>
    <x v="2"/>
    <x v="0"/>
    <x v="0"/>
    <x v="0"/>
    <x v="37"/>
    <x v="7"/>
    <x v="471"/>
    <x v="1"/>
    <x v="14"/>
    <x v="1"/>
    <x v="14"/>
    <x v="121"/>
    <x v="121"/>
  </r>
  <r>
    <x v="864"/>
    <x v="831"/>
    <x v="68"/>
    <x v="18"/>
    <x v="1"/>
    <x v="3"/>
    <x v="3"/>
    <x v="0"/>
    <x v="38"/>
    <x v="7"/>
    <x v="584"/>
    <x v="1"/>
    <x v="18"/>
    <x v="1"/>
    <x v="18"/>
    <x v="62"/>
    <x v="62"/>
  </r>
  <r>
    <x v="865"/>
    <x v="832"/>
    <x v="320"/>
    <x v="9"/>
    <x v="1"/>
    <x v="3"/>
    <x v="2"/>
    <x v="0"/>
    <x v="3"/>
    <x v="6"/>
    <x v="585"/>
    <x v="1"/>
    <x v="9"/>
    <x v="0"/>
    <x v="9"/>
    <x v="37"/>
    <x v="37"/>
  </r>
  <r>
    <x v="866"/>
    <x v="833"/>
    <x v="562"/>
    <x v="12"/>
    <x v="2"/>
    <x v="3"/>
    <x v="1"/>
    <x v="0"/>
    <x v="35"/>
    <x v="9"/>
    <x v="586"/>
    <x v="1"/>
    <x v="12"/>
    <x v="4"/>
    <x v="12"/>
    <x v="21"/>
    <x v="21"/>
  </r>
  <r>
    <x v="867"/>
    <x v="834"/>
    <x v="563"/>
    <x v="14"/>
    <x v="1"/>
    <x v="0"/>
    <x v="0"/>
    <x v="0"/>
    <x v="41"/>
    <x v="2"/>
    <x v="408"/>
    <x v="1"/>
    <x v="14"/>
    <x v="1"/>
    <x v="14"/>
    <x v="35"/>
    <x v="35"/>
  </r>
  <r>
    <x v="868"/>
    <x v="835"/>
    <x v="564"/>
    <x v="6"/>
    <x v="1"/>
    <x v="1"/>
    <x v="0"/>
    <x v="0"/>
    <x v="6"/>
    <x v="7"/>
    <x v="39"/>
    <x v="0"/>
    <x v="6"/>
    <x v="0"/>
    <x v="6"/>
    <x v="43"/>
    <x v="43"/>
  </r>
  <r>
    <x v="869"/>
    <x v="836"/>
    <x v="536"/>
    <x v="4"/>
    <x v="2"/>
    <x v="0"/>
    <x v="3"/>
    <x v="0"/>
    <x v="2"/>
    <x v="5"/>
    <x v="587"/>
    <x v="0"/>
    <x v="4"/>
    <x v="0"/>
    <x v="4"/>
    <x v="63"/>
    <x v="63"/>
  </r>
  <r>
    <x v="870"/>
    <x v="11"/>
    <x v="215"/>
    <x v="5"/>
    <x v="1"/>
    <x v="2"/>
    <x v="1"/>
    <x v="0"/>
    <x v="10"/>
    <x v="7"/>
    <x v="10"/>
    <x v="2"/>
    <x v="5"/>
    <x v="2"/>
    <x v="5"/>
    <x v="0"/>
    <x v="0"/>
  </r>
  <r>
    <x v="871"/>
    <x v="837"/>
    <x v="424"/>
    <x v="6"/>
    <x v="1"/>
    <x v="0"/>
    <x v="3"/>
    <x v="0"/>
    <x v="21"/>
    <x v="8"/>
    <x v="588"/>
    <x v="1"/>
    <x v="6"/>
    <x v="0"/>
    <x v="6"/>
    <x v="6"/>
    <x v="6"/>
  </r>
  <r>
    <x v="872"/>
    <x v="838"/>
    <x v="565"/>
    <x v="6"/>
    <x v="1"/>
    <x v="2"/>
    <x v="1"/>
    <x v="0"/>
    <x v="23"/>
    <x v="2"/>
    <x v="567"/>
    <x v="1"/>
    <x v="6"/>
    <x v="0"/>
    <x v="6"/>
    <x v="13"/>
    <x v="13"/>
  </r>
  <r>
    <x v="873"/>
    <x v="839"/>
    <x v="353"/>
    <x v="10"/>
    <x v="3"/>
    <x v="2"/>
    <x v="3"/>
    <x v="0"/>
    <x v="6"/>
    <x v="8"/>
    <x v="589"/>
    <x v="2"/>
    <x v="10"/>
    <x v="3"/>
    <x v="10"/>
    <x v="19"/>
    <x v="19"/>
  </r>
  <r>
    <x v="874"/>
    <x v="840"/>
    <x v="370"/>
    <x v="14"/>
    <x v="0"/>
    <x v="2"/>
    <x v="0"/>
    <x v="0"/>
    <x v="18"/>
    <x v="1"/>
    <x v="590"/>
    <x v="1"/>
    <x v="14"/>
    <x v="1"/>
    <x v="14"/>
    <x v="152"/>
    <x v="152"/>
  </r>
  <r>
    <x v="875"/>
    <x v="841"/>
    <x v="473"/>
    <x v="6"/>
    <x v="1"/>
    <x v="5"/>
    <x v="0"/>
    <x v="0"/>
    <x v="42"/>
    <x v="5"/>
    <x v="121"/>
    <x v="0"/>
    <x v="6"/>
    <x v="0"/>
    <x v="6"/>
    <x v="43"/>
    <x v="43"/>
  </r>
  <r>
    <x v="876"/>
    <x v="842"/>
    <x v="566"/>
    <x v="11"/>
    <x v="1"/>
    <x v="2"/>
    <x v="0"/>
    <x v="0"/>
    <x v="23"/>
    <x v="4"/>
    <x v="591"/>
    <x v="0"/>
    <x v="11"/>
    <x v="1"/>
    <x v="11"/>
    <x v="86"/>
    <x v="86"/>
  </r>
  <r>
    <x v="877"/>
    <x v="843"/>
    <x v="567"/>
    <x v="12"/>
    <x v="1"/>
    <x v="2"/>
    <x v="0"/>
    <x v="0"/>
    <x v="35"/>
    <x v="8"/>
    <x v="574"/>
    <x v="0"/>
    <x v="12"/>
    <x v="4"/>
    <x v="12"/>
    <x v="62"/>
    <x v="62"/>
  </r>
  <r>
    <x v="878"/>
    <x v="844"/>
    <x v="568"/>
    <x v="9"/>
    <x v="1"/>
    <x v="5"/>
    <x v="2"/>
    <x v="0"/>
    <x v="8"/>
    <x v="0"/>
    <x v="459"/>
    <x v="0"/>
    <x v="9"/>
    <x v="0"/>
    <x v="9"/>
    <x v="59"/>
    <x v="59"/>
  </r>
  <r>
    <x v="879"/>
    <x v="736"/>
    <x v="523"/>
    <x v="14"/>
    <x v="1"/>
    <x v="2"/>
    <x v="3"/>
    <x v="0"/>
    <x v="44"/>
    <x v="2"/>
    <x v="531"/>
    <x v="0"/>
    <x v="14"/>
    <x v="1"/>
    <x v="14"/>
    <x v="78"/>
    <x v="78"/>
  </r>
  <r>
    <x v="880"/>
    <x v="845"/>
    <x v="222"/>
    <x v="10"/>
    <x v="1"/>
    <x v="5"/>
    <x v="2"/>
    <x v="0"/>
    <x v="3"/>
    <x v="6"/>
    <x v="592"/>
    <x v="1"/>
    <x v="10"/>
    <x v="3"/>
    <x v="10"/>
    <x v="20"/>
    <x v="20"/>
  </r>
  <r>
    <x v="881"/>
    <x v="846"/>
    <x v="1"/>
    <x v="4"/>
    <x v="1"/>
    <x v="3"/>
    <x v="0"/>
    <x v="0"/>
    <x v="12"/>
    <x v="7"/>
    <x v="152"/>
    <x v="1"/>
    <x v="4"/>
    <x v="0"/>
    <x v="4"/>
    <x v="45"/>
    <x v="45"/>
  </r>
  <r>
    <x v="882"/>
    <x v="847"/>
    <x v="175"/>
    <x v="7"/>
    <x v="1"/>
    <x v="2"/>
    <x v="0"/>
    <x v="0"/>
    <x v="33"/>
    <x v="3"/>
    <x v="264"/>
    <x v="1"/>
    <x v="7"/>
    <x v="1"/>
    <x v="7"/>
    <x v="101"/>
    <x v="101"/>
  </r>
  <r>
    <x v="883"/>
    <x v="848"/>
    <x v="17"/>
    <x v="12"/>
    <x v="3"/>
    <x v="0"/>
    <x v="2"/>
    <x v="0"/>
    <x v="42"/>
    <x v="2"/>
    <x v="476"/>
    <x v="2"/>
    <x v="12"/>
    <x v="4"/>
    <x v="12"/>
    <x v="161"/>
    <x v="161"/>
  </r>
  <r>
    <x v="884"/>
    <x v="379"/>
    <x v="446"/>
    <x v="9"/>
    <x v="1"/>
    <x v="0"/>
    <x v="0"/>
    <x v="0"/>
    <x v="10"/>
    <x v="6"/>
    <x v="311"/>
    <x v="1"/>
    <x v="9"/>
    <x v="0"/>
    <x v="9"/>
    <x v="63"/>
    <x v="63"/>
  </r>
  <r>
    <x v="885"/>
    <x v="849"/>
    <x v="569"/>
    <x v="10"/>
    <x v="0"/>
    <x v="2"/>
    <x v="3"/>
    <x v="0"/>
    <x v="39"/>
    <x v="2"/>
    <x v="593"/>
    <x v="1"/>
    <x v="10"/>
    <x v="3"/>
    <x v="10"/>
    <x v="4"/>
    <x v="4"/>
  </r>
  <r>
    <x v="886"/>
    <x v="850"/>
    <x v="570"/>
    <x v="1"/>
    <x v="3"/>
    <x v="2"/>
    <x v="2"/>
    <x v="2"/>
    <x v="9"/>
    <x v="1"/>
    <x v="594"/>
    <x v="1"/>
    <x v="1"/>
    <x v="0"/>
    <x v="1"/>
    <x v="75"/>
    <x v="75"/>
  </r>
  <r>
    <x v="887"/>
    <x v="851"/>
    <x v="571"/>
    <x v="4"/>
    <x v="0"/>
    <x v="4"/>
    <x v="2"/>
    <x v="0"/>
    <x v="31"/>
    <x v="8"/>
    <x v="136"/>
    <x v="1"/>
    <x v="4"/>
    <x v="0"/>
    <x v="4"/>
    <x v="105"/>
    <x v="105"/>
  </r>
  <r>
    <x v="888"/>
    <x v="852"/>
    <x v="87"/>
    <x v="4"/>
    <x v="3"/>
    <x v="4"/>
    <x v="2"/>
    <x v="0"/>
    <x v="7"/>
    <x v="2"/>
    <x v="399"/>
    <x v="1"/>
    <x v="4"/>
    <x v="0"/>
    <x v="4"/>
    <x v="99"/>
    <x v="99"/>
  </r>
  <r>
    <x v="889"/>
    <x v="853"/>
    <x v="218"/>
    <x v="10"/>
    <x v="1"/>
    <x v="3"/>
    <x v="3"/>
    <x v="0"/>
    <x v="1"/>
    <x v="6"/>
    <x v="165"/>
    <x v="1"/>
    <x v="10"/>
    <x v="3"/>
    <x v="10"/>
    <x v="16"/>
    <x v="16"/>
  </r>
  <r>
    <x v="890"/>
    <x v="854"/>
    <x v="404"/>
    <x v="14"/>
    <x v="0"/>
    <x v="3"/>
    <x v="0"/>
    <x v="0"/>
    <x v="38"/>
    <x v="2"/>
    <x v="595"/>
    <x v="1"/>
    <x v="14"/>
    <x v="1"/>
    <x v="14"/>
    <x v="168"/>
    <x v="168"/>
  </r>
  <r>
    <x v="891"/>
    <x v="707"/>
    <x v="534"/>
    <x v="15"/>
    <x v="1"/>
    <x v="1"/>
    <x v="2"/>
    <x v="0"/>
    <x v="1"/>
    <x v="5"/>
    <x v="512"/>
    <x v="1"/>
    <x v="15"/>
    <x v="5"/>
    <x v="15"/>
    <x v="41"/>
    <x v="41"/>
  </r>
  <r>
    <x v="892"/>
    <x v="855"/>
    <x v="572"/>
    <x v="19"/>
    <x v="1"/>
    <x v="0"/>
    <x v="0"/>
    <x v="0"/>
    <x v="47"/>
    <x v="5"/>
    <x v="148"/>
    <x v="1"/>
    <x v="19"/>
    <x v="1"/>
    <x v="19"/>
    <x v="39"/>
    <x v="39"/>
  </r>
  <r>
    <x v="893"/>
    <x v="856"/>
    <x v="104"/>
    <x v="17"/>
    <x v="1"/>
    <x v="2"/>
    <x v="1"/>
    <x v="0"/>
    <x v="3"/>
    <x v="6"/>
    <x v="596"/>
    <x v="0"/>
    <x v="17"/>
    <x v="4"/>
    <x v="17"/>
    <x v="49"/>
    <x v="49"/>
  </r>
  <r>
    <x v="894"/>
    <x v="857"/>
    <x v="573"/>
    <x v="4"/>
    <x v="1"/>
    <x v="2"/>
    <x v="1"/>
    <x v="0"/>
    <x v="20"/>
    <x v="1"/>
    <x v="597"/>
    <x v="0"/>
    <x v="4"/>
    <x v="0"/>
    <x v="4"/>
    <x v="15"/>
    <x v="15"/>
  </r>
  <r>
    <x v="895"/>
    <x v="858"/>
    <x v="197"/>
    <x v="17"/>
    <x v="2"/>
    <x v="0"/>
    <x v="0"/>
    <x v="0"/>
    <x v="19"/>
    <x v="6"/>
    <x v="226"/>
    <x v="0"/>
    <x v="17"/>
    <x v="4"/>
    <x v="17"/>
    <x v="169"/>
    <x v="169"/>
  </r>
  <r>
    <x v="896"/>
    <x v="859"/>
    <x v="574"/>
    <x v="17"/>
    <x v="0"/>
    <x v="2"/>
    <x v="0"/>
    <x v="0"/>
    <x v="6"/>
    <x v="2"/>
    <x v="213"/>
    <x v="0"/>
    <x v="17"/>
    <x v="4"/>
    <x v="17"/>
    <x v="80"/>
    <x v="80"/>
  </r>
  <r>
    <x v="897"/>
    <x v="860"/>
    <x v="86"/>
    <x v="2"/>
    <x v="3"/>
    <x v="2"/>
    <x v="0"/>
    <x v="0"/>
    <x v="2"/>
    <x v="3"/>
    <x v="598"/>
    <x v="1"/>
    <x v="2"/>
    <x v="1"/>
    <x v="2"/>
    <x v="14"/>
    <x v="14"/>
  </r>
  <r>
    <x v="898"/>
    <x v="861"/>
    <x v="436"/>
    <x v="4"/>
    <x v="1"/>
    <x v="2"/>
    <x v="2"/>
    <x v="0"/>
    <x v="10"/>
    <x v="0"/>
    <x v="599"/>
    <x v="1"/>
    <x v="4"/>
    <x v="0"/>
    <x v="4"/>
    <x v="15"/>
    <x v="15"/>
  </r>
  <r>
    <x v="899"/>
    <x v="862"/>
    <x v="305"/>
    <x v="4"/>
    <x v="1"/>
    <x v="2"/>
    <x v="2"/>
    <x v="0"/>
    <x v="32"/>
    <x v="2"/>
    <x v="600"/>
    <x v="0"/>
    <x v="4"/>
    <x v="0"/>
    <x v="4"/>
    <x v="15"/>
    <x v="15"/>
  </r>
  <r>
    <x v="900"/>
    <x v="863"/>
    <x v="575"/>
    <x v="9"/>
    <x v="1"/>
    <x v="2"/>
    <x v="0"/>
    <x v="0"/>
    <x v="43"/>
    <x v="2"/>
    <x v="601"/>
    <x v="0"/>
    <x v="9"/>
    <x v="0"/>
    <x v="9"/>
    <x v="4"/>
    <x v="4"/>
  </r>
  <r>
    <x v="901"/>
    <x v="864"/>
    <x v="417"/>
    <x v="6"/>
    <x v="2"/>
    <x v="2"/>
    <x v="1"/>
    <x v="0"/>
    <x v="18"/>
    <x v="4"/>
    <x v="529"/>
    <x v="1"/>
    <x v="6"/>
    <x v="0"/>
    <x v="6"/>
    <x v="18"/>
    <x v="18"/>
  </r>
  <r>
    <x v="902"/>
    <x v="865"/>
    <x v="380"/>
    <x v="0"/>
    <x v="3"/>
    <x v="0"/>
    <x v="2"/>
    <x v="0"/>
    <x v="37"/>
    <x v="2"/>
    <x v="602"/>
    <x v="0"/>
    <x v="0"/>
    <x v="0"/>
    <x v="0"/>
    <x v="59"/>
    <x v="59"/>
  </r>
  <r>
    <x v="903"/>
    <x v="866"/>
    <x v="52"/>
    <x v="6"/>
    <x v="1"/>
    <x v="0"/>
    <x v="0"/>
    <x v="0"/>
    <x v="41"/>
    <x v="7"/>
    <x v="297"/>
    <x v="0"/>
    <x v="6"/>
    <x v="0"/>
    <x v="6"/>
    <x v="6"/>
    <x v="6"/>
  </r>
  <r>
    <x v="904"/>
    <x v="867"/>
    <x v="576"/>
    <x v="12"/>
    <x v="3"/>
    <x v="1"/>
    <x v="0"/>
    <x v="2"/>
    <x v="13"/>
    <x v="2"/>
    <x v="603"/>
    <x v="1"/>
    <x v="12"/>
    <x v="4"/>
    <x v="12"/>
    <x v="170"/>
    <x v="170"/>
  </r>
  <r>
    <x v="905"/>
    <x v="868"/>
    <x v="536"/>
    <x v="10"/>
    <x v="2"/>
    <x v="3"/>
    <x v="2"/>
    <x v="0"/>
    <x v="19"/>
    <x v="8"/>
    <x v="604"/>
    <x v="1"/>
    <x v="10"/>
    <x v="3"/>
    <x v="10"/>
    <x v="45"/>
    <x v="45"/>
  </r>
  <r>
    <x v="906"/>
    <x v="869"/>
    <x v="364"/>
    <x v="6"/>
    <x v="2"/>
    <x v="3"/>
    <x v="0"/>
    <x v="0"/>
    <x v="41"/>
    <x v="1"/>
    <x v="605"/>
    <x v="1"/>
    <x v="6"/>
    <x v="0"/>
    <x v="6"/>
    <x v="19"/>
    <x v="19"/>
  </r>
  <r>
    <x v="907"/>
    <x v="870"/>
    <x v="421"/>
    <x v="11"/>
    <x v="3"/>
    <x v="2"/>
    <x v="2"/>
    <x v="0"/>
    <x v="4"/>
    <x v="3"/>
    <x v="606"/>
    <x v="1"/>
    <x v="11"/>
    <x v="1"/>
    <x v="11"/>
    <x v="171"/>
    <x v="171"/>
  </r>
  <r>
    <x v="908"/>
    <x v="871"/>
    <x v="577"/>
    <x v="0"/>
    <x v="3"/>
    <x v="3"/>
    <x v="2"/>
    <x v="2"/>
    <x v="24"/>
    <x v="6"/>
    <x v="607"/>
    <x v="1"/>
    <x v="0"/>
    <x v="0"/>
    <x v="0"/>
    <x v="40"/>
    <x v="40"/>
  </r>
  <r>
    <x v="909"/>
    <x v="872"/>
    <x v="394"/>
    <x v="6"/>
    <x v="4"/>
    <x v="3"/>
    <x v="0"/>
    <x v="0"/>
    <x v="11"/>
    <x v="5"/>
    <x v="319"/>
    <x v="1"/>
    <x v="6"/>
    <x v="0"/>
    <x v="6"/>
    <x v="90"/>
    <x v="90"/>
  </r>
  <r>
    <x v="910"/>
    <x v="873"/>
    <x v="144"/>
    <x v="7"/>
    <x v="1"/>
    <x v="0"/>
    <x v="1"/>
    <x v="0"/>
    <x v="37"/>
    <x v="9"/>
    <x v="463"/>
    <x v="2"/>
    <x v="7"/>
    <x v="1"/>
    <x v="7"/>
    <x v="0"/>
    <x v="0"/>
  </r>
  <r>
    <x v="911"/>
    <x v="874"/>
    <x v="383"/>
    <x v="7"/>
    <x v="3"/>
    <x v="2"/>
    <x v="0"/>
    <x v="0"/>
    <x v="7"/>
    <x v="5"/>
    <x v="608"/>
    <x v="0"/>
    <x v="7"/>
    <x v="1"/>
    <x v="7"/>
    <x v="159"/>
    <x v="159"/>
  </r>
  <r>
    <x v="912"/>
    <x v="875"/>
    <x v="578"/>
    <x v="4"/>
    <x v="1"/>
    <x v="2"/>
    <x v="0"/>
    <x v="0"/>
    <x v="11"/>
    <x v="8"/>
    <x v="402"/>
    <x v="2"/>
    <x v="4"/>
    <x v="0"/>
    <x v="4"/>
    <x v="15"/>
    <x v="15"/>
  </r>
  <r>
    <x v="913"/>
    <x v="876"/>
    <x v="464"/>
    <x v="0"/>
    <x v="2"/>
    <x v="0"/>
    <x v="0"/>
    <x v="0"/>
    <x v="28"/>
    <x v="2"/>
    <x v="588"/>
    <x v="0"/>
    <x v="0"/>
    <x v="0"/>
    <x v="0"/>
    <x v="103"/>
    <x v="103"/>
  </r>
  <r>
    <x v="914"/>
    <x v="877"/>
    <x v="403"/>
    <x v="11"/>
    <x v="3"/>
    <x v="2"/>
    <x v="3"/>
    <x v="0"/>
    <x v="40"/>
    <x v="1"/>
    <x v="189"/>
    <x v="0"/>
    <x v="11"/>
    <x v="1"/>
    <x v="11"/>
    <x v="171"/>
    <x v="171"/>
  </r>
  <r>
    <x v="915"/>
    <x v="878"/>
    <x v="335"/>
    <x v="12"/>
    <x v="1"/>
    <x v="5"/>
    <x v="1"/>
    <x v="0"/>
    <x v="34"/>
    <x v="4"/>
    <x v="168"/>
    <x v="0"/>
    <x v="12"/>
    <x v="4"/>
    <x v="12"/>
    <x v="151"/>
    <x v="151"/>
  </r>
  <r>
    <x v="916"/>
    <x v="879"/>
    <x v="130"/>
    <x v="6"/>
    <x v="1"/>
    <x v="2"/>
    <x v="0"/>
    <x v="0"/>
    <x v="47"/>
    <x v="3"/>
    <x v="609"/>
    <x v="1"/>
    <x v="6"/>
    <x v="0"/>
    <x v="6"/>
    <x v="13"/>
    <x v="13"/>
  </r>
  <r>
    <x v="917"/>
    <x v="880"/>
    <x v="166"/>
    <x v="2"/>
    <x v="1"/>
    <x v="2"/>
    <x v="2"/>
    <x v="0"/>
    <x v="43"/>
    <x v="9"/>
    <x v="421"/>
    <x v="1"/>
    <x v="2"/>
    <x v="1"/>
    <x v="2"/>
    <x v="23"/>
    <x v="23"/>
  </r>
  <r>
    <x v="918"/>
    <x v="881"/>
    <x v="567"/>
    <x v="6"/>
    <x v="3"/>
    <x v="2"/>
    <x v="0"/>
    <x v="0"/>
    <x v="3"/>
    <x v="9"/>
    <x v="610"/>
    <x v="1"/>
    <x v="6"/>
    <x v="0"/>
    <x v="6"/>
    <x v="31"/>
    <x v="31"/>
  </r>
  <r>
    <x v="919"/>
    <x v="882"/>
    <x v="105"/>
    <x v="4"/>
    <x v="1"/>
    <x v="3"/>
    <x v="0"/>
    <x v="0"/>
    <x v="37"/>
    <x v="4"/>
    <x v="611"/>
    <x v="0"/>
    <x v="4"/>
    <x v="0"/>
    <x v="4"/>
    <x v="45"/>
    <x v="45"/>
  </r>
  <r>
    <x v="920"/>
    <x v="665"/>
    <x v="579"/>
    <x v="19"/>
    <x v="1"/>
    <x v="0"/>
    <x v="0"/>
    <x v="0"/>
    <x v="0"/>
    <x v="1"/>
    <x v="491"/>
    <x v="1"/>
    <x v="19"/>
    <x v="1"/>
    <x v="19"/>
    <x v="39"/>
    <x v="39"/>
  </r>
  <r>
    <x v="921"/>
    <x v="883"/>
    <x v="366"/>
    <x v="6"/>
    <x v="2"/>
    <x v="4"/>
    <x v="1"/>
    <x v="0"/>
    <x v="46"/>
    <x v="4"/>
    <x v="612"/>
    <x v="2"/>
    <x v="6"/>
    <x v="0"/>
    <x v="6"/>
    <x v="76"/>
    <x v="76"/>
  </r>
  <r>
    <x v="922"/>
    <x v="884"/>
    <x v="399"/>
    <x v="17"/>
    <x v="3"/>
    <x v="2"/>
    <x v="3"/>
    <x v="2"/>
    <x v="19"/>
    <x v="6"/>
    <x v="381"/>
    <x v="0"/>
    <x v="17"/>
    <x v="4"/>
    <x v="17"/>
    <x v="89"/>
    <x v="89"/>
  </r>
  <r>
    <x v="923"/>
    <x v="885"/>
    <x v="153"/>
    <x v="6"/>
    <x v="1"/>
    <x v="2"/>
    <x v="0"/>
    <x v="0"/>
    <x v="41"/>
    <x v="2"/>
    <x v="366"/>
    <x v="1"/>
    <x v="6"/>
    <x v="0"/>
    <x v="6"/>
    <x v="13"/>
    <x v="13"/>
  </r>
  <r>
    <x v="924"/>
    <x v="886"/>
    <x v="222"/>
    <x v="0"/>
    <x v="3"/>
    <x v="5"/>
    <x v="1"/>
    <x v="0"/>
    <x v="3"/>
    <x v="6"/>
    <x v="613"/>
    <x v="1"/>
    <x v="0"/>
    <x v="0"/>
    <x v="0"/>
    <x v="129"/>
    <x v="129"/>
  </r>
  <r>
    <x v="925"/>
    <x v="887"/>
    <x v="580"/>
    <x v="6"/>
    <x v="1"/>
    <x v="3"/>
    <x v="0"/>
    <x v="0"/>
    <x v="15"/>
    <x v="2"/>
    <x v="283"/>
    <x v="1"/>
    <x v="6"/>
    <x v="0"/>
    <x v="6"/>
    <x v="6"/>
    <x v="6"/>
  </r>
  <r>
    <x v="926"/>
    <x v="888"/>
    <x v="581"/>
    <x v="6"/>
    <x v="3"/>
    <x v="2"/>
    <x v="2"/>
    <x v="0"/>
    <x v="33"/>
    <x v="4"/>
    <x v="614"/>
    <x v="2"/>
    <x v="6"/>
    <x v="0"/>
    <x v="6"/>
    <x v="31"/>
    <x v="31"/>
  </r>
  <r>
    <x v="927"/>
    <x v="889"/>
    <x v="126"/>
    <x v="5"/>
    <x v="1"/>
    <x v="4"/>
    <x v="2"/>
    <x v="0"/>
    <x v="24"/>
    <x v="6"/>
    <x v="437"/>
    <x v="0"/>
    <x v="5"/>
    <x v="2"/>
    <x v="5"/>
    <x v="18"/>
    <x v="18"/>
  </r>
  <r>
    <x v="928"/>
    <x v="890"/>
    <x v="347"/>
    <x v="10"/>
    <x v="3"/>
    <x v="3"/>
    <x v="0"/>
    <x v="0"/>
    <x v="26"/>
    <x v="6"/>
    <x v="615"/>
    <x v="1"/>
    <x v="10"/>
    <x v="3"/>
    <x v="10"/>
    <x v="52"/>
    <x v="52"/>
  </r>
  <r>
    <x v="929"/>
    <x v="891"/>
    <x v="191"/>
    <x v="1"/>
    <x v="3"/>
    <x v="3"/>
    <x v="3"/>
    <x v="2"/>
    <x v="40"/>
    <x v="4"/>
    <x v="616"/>
    <x v="0"/>
    <x v="1"/>
    <x v="0"/>
    <x v="1"/>
    <x v="49"/>
    <x v="49"/>
  </r>
  <r>
    <x v="930"/>
    <x v="195"/>
    <x v="582"/>
    <x v="15"/>
    <x v="1"/>
    <x v="0"/>
    <x v="0"/>
    <x v="1"/>
    <x v="27"/>
    <x v="5"/>
    <x v="176"/>
    <x v="1"/>
    <x v="15"/>
    <x v="5"/>
    <x v="15"/>
    <x v="30"/>
    <x v="30"/>
  </r>
  <r>
    <x v="931"/>
    <x v="892"/>
    <x v="583"/>
    <x v="4"/>
    <x v="1"/>
    <x v="2"/>
    <x v="3"/>
    <x v="0"/>
    <x v="0"/>
    <x v="2"/>
    <x v="548"/>
    <x v="0"/>
    <x v="4"/>
    <x v="0"/>
    <x v="4"/>
    <x v="15"/>
    <x v="15"/>
  </r>
  <r>
    <x v="932"/>
    <x v="893"/>
    <x v="584"/>
    <x v="4"/>
    <x v="1"/>
    <x v="3"/>
    <x v="0"/>
    <x v="0"/>
    <x v="43"/>
    <x v="2"/>
    <x v="477"/>
    <x v="2"/>
    <x v="4"/>
    <x v="0"/>
    <x v="4"/>
    <x v="45"/>
    <x v="45"/>
  </r>
  <r>
    <x v="933"/>
    <x v="894"/>
    <x v="585"/>
    <x v="11"/>
    <x v="0"/>
    <x v="1"/>
    <x v="0"/>
    <x v="0"/>
    <x v="45"/>
    <x v="3"/>
    <x v="617"/>
    <x v="0"/>
    <x v="11"/>
    <x v="1"/>
    <x v="11"/>
    <x v="172"/>
    <x v="172"/>
  </r>
  <r>
    <x v="934"/>
    <x v="895"/>
    <x v="385"/>
    <x v="0"/>
    <x v="1"/>
    <x v="1"/>
    <x v="0"/>
    <x v="0"/>
    <x v="5"/>
    <x v="2"/>
    <x v="508"/>
    <x v="2"/>
    <x v="0"/>
    <x v="0"/>
    <x v="0"/>
    <x v="16"/>
    <x v="16"/>
  </r>
  <r>
    <x v="935"/>
    <x v="896"/>
    <x v="514"/>
    <x v="9"/>
    <x v="1"/>
    <x v="3"/>
    <x v="0"/>
    <x v="0"/>
    <x v="24"/>
    <x v="2"/>
    <x v="618"/>
    <x v="0"/>
    <x v="9"/>
    <x v="0"/>
    <x v="9"/>
    <x v="37"/>
    <x v="37"/>
  </r>
  <r>
    <x v="936"/>
    <x v="897"/>
    <x v="372"/>
    <x v="10"/>
    <x v="3"/>
    <x v="2"/>
    <x v="0"/>
    <x v="0"/>
    <x v="32"/>
    <x v="2"/>
    <x v="74"/>
    <x v="0"/>
    <x v="10"/>
    <x v="3"/>
    <x v="10"/>
    <x v="19"/>
    <x v="19"/>
  </r>
  <r>
    <x v="937"/>
    <x v="898"/>
    <x v="142"/>
    <x v="8"/>
    <x v="1"/>
    <x v="3"/>
    <x v="3"/>
    <x v="0"/>
    <x v="47"/>
    <x v="5"/>
    <x v="531"/>
    <x v="0"/>
    <x v="8"/>
    <x v="1"/>
    <x v="8"/>
    <x v="10"/>
    <x v="10"/>
  </r>
  <r>
    <x v="938"/>
    <x v="523"/>
    <x v="161"/>
    <x v="10"/>
    <x v="2"/>
    <x v="3"/>
    <x v="0"/>
    <x v="0"/>
    <x v="29"/>
    <x v="9"/>
    <x v="407"/>
    <x v="1"/>
    <x v="10"/>
    <x v="3"/>
    <x v="10"/>
    <x v="45"/>
    <x v="45"/>
  </r>
  <r>
    <x v="939"/>
    <x v="899"/>
    <x v="86"/>
    <x v="16"/>
    <x v="2"/>
    <x v="2"/>
    <x v="2"/>
    <x v="0"/>
    <x v="38"/>
    <x v="4"/>
    <x v="494"/>
    <x v="1"/>
    <x v="16"/>
    <x v="1"/>
    <x v="16"/>
    <x v="42"/>
    <x v="42"/>
  </r>
  <r>
    <x v="940"/>
    <x v="73"/>
    <x v="586"/>
    <x v="7"/>
    <x v="2"/>
    <x v="3"/>
    <x v="0"/>
    <x v="0"/>
    <x v="10"/>
    <x v="2"/>
    <x v="71"/>
    <x v="1"/>
    <x v="7"/>
    <x v="1"/>
    <x v="7"/>
    <x v="28"/>
    <x v="28"/>
  </r>
  <r>
    <x v="941"/>
    <x v="514"/>
    <x v="420"/>
    <x v="9"/>
    <x v="1"/>
    <x v="3"/>
    <x v="0"/>
    <x v="0"/>
    <x v="29"/>
    <x v="1"/>
    <x v="402"/>
    <x v="0"/>
    <x v="9"/>
    <x v="0"/>
    <x v="9"/>
    <x v="37"/>
    <x v="37"/>
  </r>
  <r>
    <x v="942"/>
    <x v="900"/>
    <x v="108"/>
    <x v="6"/>
    <x v="2"/>
    <x v="1"/>
    <x v="2"/>
    <x v="1"/>
    <x v="16"/>
    <x v="6"/>
    <x v="619"/>
    <x v="1"/>
    <x v="6"/>
    <x v="0"/>
    <x v="6"/>
    <x v="17"/>
    <x v="17"/>
  </r>
  <r>
    <x v="943"/>
    <x v="901"/>
    <x v="587"/>
    <x v="13"/>
    <x v="1"/>
    <x v="2"/>
    <x v="3"/>
    <x v="0"/>
    <x v="41"/>
    <x v="4"/>
    <x v="433"/>
    <x v="1"/>
    <x v="13"/>
    <x v="1"/>
    <x v="13"/>
    <x v="74"/>
    <x v="74"/>
  </r>
  <r>
    <x v="944"/>
    <x v="902"/>
    <x v="588"/>
    <x v="1"/>
    <x v="2"/>
    <x v="2"/>
    <x v="0"/>
    <x v="0"/>
    <x v="35"/>
    <x v="5"/>
    <x v="318"/>
    <x v="1"/>
    <x v="1"/>
    <x v="0"/>
    <x v="1"/>
    <x v="61"/>
    <x v="61"/>
  </r>
  <r>
    <x v="945"/>
    <x v="903"/>
    <x v="376"/>
    <x v="7"/>
    <x v="1"/>
    <x v="5"/>
    <x v="1"/>
    <x v="0"/>
    <x v="39"/>
    <x v="7"/>
    <x v="620"/>
    <x v="0"/>
    <x v="7"/>
    <x v="1"/>
    <x v="7"/>
    <x v="91"/>
    <x v="91"/>
  </r>
  <r>
    <x v="946"/>
    <x v="904"/>
    <x v="13"/>
    <x v="17"/>
    <x v="1"/>
    <x v="3"/>
    <x v="2"/>
    <x v="0"/>
    <x v="23"/>
    <x v="6"/>
    <x v="107"/>
    <x v="0"/>
    <x v="17"/>
    <x v="4"/>
    <x v="17"/>
    <x v="173"/>
    <x v="173"/>
  </r>
  <r>
    <x v="947"/>
    <x v="905"/>
    <x v="589"/>
    <x v="6"/>
    <x v="2"/>
    <x v="3"/>
    <x v="0"/>
    <x v="0"/>
    <x v="10"/>
    <x v="6"/>
    <x v="621"/>
    <x v="0"/>
    <x v="6"/>
    <x v="0"/>
    <x v="6"/>
    <x v="19"/>
    <x v="19"/>
  </r>
  <r>
    <x v="948"/>
    <x v="714"/>
    <x v="152"/>
    <x v="5"/>
    <x v="0"/>
    <x v="2"/>
    <x v="2"/>
    <x v="2"/>
    <x v="11"/>
    <x v="6"/>
    <x v="516"/>
    <x v="1"/>
    <x v="5"/>
    <x v="2"/>
    <x v="5"/>
    <x v="5"/>
    <x v="5"/>
  </r>
  <r>
    <x v="949"/>
    <x v="69"/>
    <x v="181"/>
    <x v="7"/>
    <x v="1"/>
    <x v="0"/>
    <x v="0"/>
    <x v="0"/>
    <x v="31"/>
    <x v="3"/>
    <x v="67"/>
    <x v="0"/>
    <x v="7"/>
    <x v="1"/>
    <x v="7"/>
    <x v="0"/>
    <x v="0"/>
  </r>
  <r>
    <x v="950"/>
    <x v="906"/>
    <x v="343"/>
    <x v="8"/>
    <x v="2"/>
    <x v="2"/>
    <x v="2"/>
    <x v="0"/>
    <x v="36"/>
    <x v="5"/>
    <x v="204"/>
    <x v="0"/>
    <x v="8"/>
    <x v="1"/>
    <x v="8"/>
    <x v="85"/>
    <x v="85"/>
  </r>
  <r>
    <x v="951"/>
    <x v="907"/>
    <x v="448"/>
    <x v="14"/>
    <x v="1"/>
    <x v="2"/>
    <x v="0"/>
    <x v="0"/>
    <x v="15"/>
    <x v="4"/>
    <x v="429"/>
    <x v="1"/>
    <x v="14"/>
    <x v="1"/>
    <x v="14"/>
    <x v="78"/>
    <x v="78"/>
  </r>
  <r>
    <x v="952"/>
    <x v="908"/>
    <x v="493"/>
    <x v="18"/>
    <x v="1"/>
    <x v="2"/>
    <x v="2"/>
    <x v="0"/>
    <x v="11"/>
    <x v="8"/>
    <x v="124"/>
    <x v="2"/>
    <x v="18"/>
    <x v="1"/>
    <x v="18"/>
    <x v="57"/>
    <x v="57"/>
  </r>
  <r>
    <x v="953"/>
    <x v="190"/>
    <x v="422"/>
    <x v="8"/>
    <x v="3"/>
    <x v="3"/>
    <x v="2"/>
    <x v="0"/>
    <x v="11"/>
    <x v="2"/>
    <x v="172"/>
    <x v="0"/>
    <x v="8"/>
    <x v="1"/>
    <x v="8"/>
    <x v="123"/>
    <x v="123"/>
  </r>
  <r>
    <x v="954"/>
    <x v="909"/>
    <x v="166"/>
    <x v="14"/>
    <x v="1"/>
    <x v="5"/>
    <x v="0"/>
    <x v="0"/>
    <x v="30"/>
    <x v="1"/>
    <x v="538"/>
    <x v="0"/>
    <x v="14"/>
    <x v="1"/>
    <x v="14"/>
    <x v="26"/>
    <x v="26"/>
  </r>
  <r>
    <x v="955"/>
    <x v="70"/>
    <x v="590"/>
    <x v="18"/>
    <x v="1"/>
    <x v="1"/>
    <x v="0"/>
    <x v="0"/>
    <x v="38"/>
    <x v="6"/>
    <x v="68"/>
    <x v="1"/>
    <x v="18"/>
    <x v="1"/>
    <x v="18"/>
    <x v="114"/>
    <x v="114"/>
  </r>
  <r>
    <x v="956"/>
    <x v="910"/>
    <x v="591"/>
    <x v="10"/>
    <x v="2"/>
    <x v="2"/>
    <x v="0"/>
    <x v="0"/>
    <x v="11"/>
    <x v="3"/>
    <x v="271"/>
    <x v="2"/>
    <x v="10"/>
    <x v="3"/>
    <x v="10"/>
    <x v="15"/>
    <x v="15"/>
  </r>
  <r>
    <x v="957"/>
    <x v="911"/>
    <x v="30"/>
    <x v="8"/>
    <x v="1"/>
    <x v="0"/>
    <x v="1"/>
    <x v="0"/>
    <x v="33"/>
    <x v="4"/>
    <x v="622"/>
    <x v="0"/>
    <x v="8"/>
    <x v="1"/>
    <x v="8"/>
    <x v="103"/>
    <x v="103"/>
  </r>
  <r>
    <x v="958"/>
    <x v="912"/>
    <x v="547"/>
    <x v="10"/>
    <x v="1"/>
    <x v="3"/>
    <x v="0"/>
    <x v="0"/>
    <x v="2"/>
    <x v="4"/>
    <x v="439"/>
    <x v="2"/>
    <x v="10"/>
    <x v="3"/>
    <x v="10"/>
    <x v="16"/>
    <x v="16"/>
  </r>
  <r>
    <x v="959"/>
    <x v="913"/>
    <x v="99"/>
    <x v="18"/>
    <x v="0"/>
    <x v="2"/>
    <x v="3"/>
    <x v="0"/>
    <x v="11"/>
    <x v="6"/>
    <x v="569"/>
    <x v="0"/>
    <x v="18"/>
    <x v="1"/>
    <x v="18"/>
    <x v="150"/>
    <x v="150"/>
  </r>
  <r>
    <x v="960"/>
    <x v="914"/>
    <x v="278"/>
    <x v="8"/>
    <x v="2"/>
    <x v="2"/>
    <x v="2"/>
    <x v="0"/>
    <x v="16"/>
    <x v="8"/>
    <x v="71"/>
    <x v="1"/>
    <x v="8"/>
    <x v="1"/>
    <x v="8"/>
    <x v="85"/>
    <x v="85"/>
  </r>
  <r>
    <x v="961"/>
    <x v="915"/>
    <x v="450"/>
    <x v="2"/>
    <x v="1"/>
    <x v="1"/>
    <x v="2"/>
    <x v="0"/>
    <x v="6"/>
    <x v="9"/>
    <x v="163"/>
    <x v="1"/>
    <x v="2"/>
    <x v="1"/>
    <x v="2"/>
    <x v="2"/>
    <x v="2"/>
  </r>
  <r>
    <x v="962"/>
    <x v="916"/>
    <x v="548"/>
    <x v="4"/>
    <x v="0"/>
    <x v="0"/>
    <x v="0"/>
    <x v="2"/>
    <x v="39"/>
    <x v="4"/>
    <x v="589"/>
    <x v="0"/>
    <x v="4"/>
    <x v="0"/>
    <x v="4"/>
    <x v="2"/>
    <x v="2"/>
  </r>
  <r>
    <x v="963"/>
    <x v="917"/>
    <x v="579"/>
    <x v="2"/>
    <x v="3"/>
    <x v="2"/>
    <x v="2"/>
    <x v="0"/>
    <x v="22"/>
    <x v="2"/>
    <x v="623"/>
    <x v="0"/>
    <x v="2"/>
    <x v="1"/>
    <x v="2"/>
    <x v="14"/>
    <x v="14"/>
  </r>
  <r>
    <x v="964"/>
    <x v="918"/>
    <x v="592"/>
    <x v="1"/>
    <x v="2"/>
    <x v="0"/>
    <x v="2"/>
    <x v="0"/>
    <x v="15"/>
    <x v="9"/>
    <x v="624"/>
    <x v="0"/>
    <x v="1"/>
    <x v="0"/>
    <x v="1"/>
    <x v="11"/>
    <x v="11"/>
  </r>
  <r>
    <x v="965"/>
    <x v="919"/>
    <x v="593"/>
    <x v="1"/>
    <x v="2"/>
    <x v="0"/>
    <x v="2"/>
    <x v="0"/>
    <x v="15"/>
    <x v="6"/>
    <x v="625"/>
    <x v="0"/>
    <x v="1"/>
    <x v="0"/>
    <x v="1"/>
    <x v="11"/>
    <x v="11"/>
  </r>
  <r>
    <x v="966"/>
    <x v="920"/>
    <x v="344"/>
    <x v="8"/>
    <x v="1"/>
    <x v="2"/>
    <x v="2"/>
    <x v="0"/>
    <x v="32"/>
    <x v="2"/>
    <x v="83"/>
    <x v="1"/>
    <x v="8"/>
    <x v="1"/>
    <x v="8"/>
    <x v="17"/>
    <x v="17"/>
  </r>
  <r>
    <x v="967"/>
    <x v="921"/>
    <x v="394"/>
    <x v="4"/>
    <x v="2"/>
    <x v="2"/>
    <x v="0"/>
    <x v="0"/>
    <x v="6"/>
    <x v="2"/>
    <x v="474"/>
    <x v="0"/>
    <x v="4"/>
    <x v="0"/>
    <x v="4"/>
    <x v="4"/>
    <x v="4"/>
  </r>
  <r>
    <x v="968"/>
    <x v="922"/>
    <x v="26"/>
    <x v="7"/>
    <x v="2"/>
    <x v="5"/>
    <x v="0"/>
    <x v="0"/>
    <x v="42"/>
    <x v="2"/>
    <x v="98"/>
    <x v="2"/>
    <x v="7"/>
    <x v="1"/>
    <x v="7"/>
    <x v="104"/>
    <x v="104"/>
  </r>
  <r>
    <x v="969"/>
    <x v="923"/>
    <x v="251"/>
    <x v="3"/>
    <x v="2"/>
    <x v="3"/>
    <x v="1"/>
    <x v="0"/>
    <x v="41"/>
    <x v="2"/>
    <x v="178"/>
    <x v="1"/>
    <x v="3"/>
    <x v="2"/>
    <x v="3"/>
    <x v="164"/>
    <x v="164"/>
  </r>
  <r>
    <x v="970"/>
    <x v="924"/>
    <x v="584"/>
    <x v="2"/>
    <x v="1"/>
    <x v="3"/>
    <x v="1"/>
    <x v="1"/>
    <x v="18"/>
    <x v="5"/>
    <x v="35"/>
    <x v="0"/>
    <x v="2"/>
    <x v="1"/>
    <x v="2"/>
    <x v="36"/>
    <x v="36"/>
  </r>
  <r>
    <x v="971"/>
    <x v="925"/>
    <x v="594"/>
    <x v="6"/>
    <x v="3"/>
    <x v="0"/>
    <x v="0"/>
    <x v="2"/>
    <x v="36"/>
    <x v="6"/>
    <x v="143"/>
    <x v="0"/>
    <x v="6"/>
    <x v="0"/>
    <x v="6"/>
    <x v="91"/>
    <x v="91"/>
  </r>
  <r>
    <x v="972"/>
    <x v="926"/>
    <x v="260"/>
    <x v="3"/>
    <x v="0"/>
    <x v="4"/>
    <x v="3"/>
    <x v="0"/>
    <x v="19"/>
    <x v="7"/>
    <x v="100"/>
    <x v="1"/>
    <x v="3"/>
    <x v="2"/>
    <x v="3"/>
    <x v="174"/>
    <x v="174"/>
  </r>
  <r>
    <x v="973"/>
    <x v="927"/>
    <x v="595"/>
    <x v="15"/>
    <x v="2"/>
    <x v="5"/>
    <x v="3"/>
    <x v="0"/>
    <x v="36"/>
    <x v="0"/>
    <x v="554"/>
    <x v="1"/>
    <x v="15"/>
    <x v="5"/>
    <x v="15"/>
    <x v="53"/>
    <x v="53"/>
  </r>
  <r>
    <x v="974"/>
    <x v="928"/>
    <x v="359"/>
    <x v="0"/>
    <x v="2"/>
    <x v="2"/>
    <x v="0"/>
    <x v="0"/>
    <x v="43"/>
    <x v="7"/>
    <x v="353"/>
    <x v="1"/>
    <x v="0"/>
    <x v="0"/>
    <x v="0"/>
    <x v="17"/>
    <x v="17"/>
  </r>
  <r>
    <x v="975"/>
    <x v="929"/>
    <x v="596"/>
    <x v="8"/>
    <x v="3"/>
    <x v="1"/>
    <x v="0"/>
    <x v="0"/>
    <x v="43"/>
    <x v="9"/>
    <x v="35"/>
    <x v="1"/>
    <x v="8"/>
    <x v="1"/>
    <x v="8"/>
    <x v="34"/>
    <x v="34"/>
  </r>
  <r>
    <x v="976"/>
    <x v="930"/>
    <x v="396"/>
    <x v="7"/>
    <x v="1"/>
    <x v="3"/>
    <x v="3"/>
    <x v="0"/>
    <x v="16"/>
    <x v="0"/>
    <x v="425"/>
    <x v="1"/>
    <x v="7"/>
    <x v="1"/>
    <x v="7"/>
    <x v="31"/>
    <x v="31"/>
  </r>
  <r>
    <x v="977"/>
    <x v="931"/>
    <x v="597"/>
    <x v="15"/>
    <x v="1"/>
    <x v="5"/>
    <x v="0"/>
    <x v="0"/>
    <x v="30"/>
    <x v="4"/>
    <x v="626"/>
    <x v="1"/>
    <x v="15"/>
    <x v="5"/>
    <x v="15"/>
    <x v="57"/>
    <x v="57"/>
  </r>
  <r>
    <x v="978"/>
    <x v="661"/>
    <x v="29"/>
    <x v="10"/>
    <x v="1"/>
    <x v="0"/>
    <x v="0"/>
    <x v="0"/>
    <x v="27"/>
    <x v="0"/>
    <x v="13"/>
    <x v="1"/>
    <x v="10"/>
    <x v="3"/>
    <x v="10"/>
    <x v="20"/>
    <x v="20"/>
  </r>
  <r>
    <x v="979"/>
    <x v="932"/>
    <x v="598"/>
    <x v="8"/>
    <x v="2"/>
    <x v="4"/>
    <x v="1"/>
    <x v="0"/>
    <x v="20"/>
    <x v="9"/>
    <x v="353"/>
    <x v="0"/>
    <x v="8"/>
    <x v="1"/>
    <x v="8"/>
    <x v="63"/>
    <x v="63"/>
  </r>
  <r>
    <x v="980"/>
    <x v="933"/>
    <x v="599"/>
    <x v="6"/>
    <x v="1"/>
    <x v="5"/>
    <x v="2"/>
    <x v="0"/>
    <x v="33"/>
    <x v="7"/>
    <x v="627"/>
    <x v="0"/>
    <x v="6"/>
    <x v="0"/>
    <x v="6"/>
    <x v="43"/>
    <x v="43"/>
  </r>
  <r>
    <x v="981"/>
    <x v="934"/>
    <x v="175"/>
    <x v="5"/>
    <x v="1"/>
    <x v="3"/>
    <x v="0"/>
    <x v="0"/>
    <x v="8"/>
    <x v="5"/>
    <x v="205"/>
    <x v="0"/>
    <x v="5"/>
    <x v="2"/>
    <x v="5"/>
    <x v="91"/>
    <x v="91"/>
  </r>
  <r>
    <x v="982"/>
    <x v="935"/>
    <x v="47"/>
    <x v="0"/>
    <x v="3"/>
    <x v="2"/>
    <x v="1"/>
    <x v="0"/>
    <x v="37"/>
    <x v="5"/>
    <x v="536"/>
    <x v="0"/>
    <x v="0"/>
    <x v="0"/>
    <x v="0"/>
    <x v="37"/>
    <x v="37"/>
  </r>
  <r>
    <x v="983"/>
    <x v="936"/>
    <x v="600"/>
    <x v="14"/>
    <x v="2"/>
    <x v="2"/>
    <x v="3"/>
    <x v="0"/>
    <x v="4"/>
    <x v="5"/>
    <x v="393"/>
    <x v="1"/>
    <x v="14"/>
    <x v="1"/>
    <x v="14"/>
    <x v="73"/>
    <x v="73"/>
  </r>
  <r>
    <x v="984"/>
    <x v="937"/>
    <x v="461"/>
    <x v="10"/>
    <x v="2"/>
    <x v="0"/>
    <x v="0"/>
    <x v="0"/>
    <x v="21"/>
    <x v="5"/>
    <x v="628"/>
    <x v="0"/>
    <x v="10"/>
    <x v="3"/>
    <x v="10"/>
    <x v="45"/>
    <x v="45"/>
  </r>
  <r>
    <x v="985"/>
    <x v="938"/>
    <x v="601"/>
    <x v="5"/>
    <x v="1"/>
    <x v="0"/>
    <x v="2"/>
    <x v="0"/>
    <x v="15"/>
    <x v="5"/>
    <x v="256"/>
    <x v="0"/>
    <x v="5"/>
    <x v="2"/>
    <x v="5"/>
    <x v="99"/>
    <x v="99"/>
  </r>
  <r>
    <x v="986"/>
    <x v="939"/>
    <x v="81"/>
    <x v="0"/>
    <x v="1"/>
    <x v="2"/>
    <x v="1"/>
    <x v="0"/>
    <x v="23"/>
    <x v="4"/>
    <x v="629"/>
    <x v="1"/>
    <x v="0"/>
    <x v="0"/>
    <x v="0"/>
    <x v="43"/>
    <x v="43"/>
  </r>
  <r>
    <x v="987"/>
    <x v="940"/>
    <x v="298"/>
    <x v="8"/>
    <x v="1"/>
    <x v="5"/>
    <x v="1"/>
    <x v="0"/>
    <x v="8"/>
    <x v="2"/>
    <x v="630"/>
    <x v="0"/>
    <x v="8"/>
    <x v="1"/>
    <x v="8"/>
    <x v="76"/>
    <x v="76"/>
  </r>
  <r>
    <x v="988"/>
    <x v="941"/>
    <x v="602"/>
    <x v="7"/>
    <x v="0"/>
    <x v="5"/>
    <x v="2"/>
    <x v="0"/>
    <x v="26"/>
    <x v="5"/>
    <x v="631"/>
    <x v="1"/>
    <x v="7"/>
    <x v="1"/>
    <x v="7"/>
    <x v="175"/>
    <x v="175"/>
  </r>
  <r>
    <x v="989"/>
    <x v="942"/>
    <x v="603"/>
    <x v="10"/>
    <x v="1"/>
    <x v="0"/>
    <x v="3"/>
    <x v="0"/>
    <x v="8"/>
    <x v="2"/>
    <x v="632"/>
    <x v="1"/>
    <x v="10"/>
    <x v="3"/>
    <x v="10"/>
    <x v="20"/>
    <x v="20"/>
  </r>
  <r>
    <x v="990"/>
    <x v="943"/>
    <x v="23"/>
    <x v="7"/>
    <x v="1"/>
    <x v="2"/>
    <x v="0"/>
    <x v="0"/>
    <x v="13"/>
    <x v="6"/>
    <x v="105"/>
    <x v="0"/>
    <x v="7"/>
    <x v="1"/>
    <x v="7"/>
    <x v="101"/>
    <x v="101"/>
  </r>
  <r>
    <x v="991"/>
    <x v="944"/>
    <x v="596"/>
    <x v="9"/>
    <x v="3"/>
    <x v="2"/>
    <x v="0"/>
    <x v="0"/>
    <x v="9"/>
    <x v="2"/>
    <x v="194"/>
    <x v="1"/>
    <x v="9"/>
    <x v="0"/>
    <x v="9"/>
    <x v="61"/>
    <x v="61"/>
  </r>
  <r>
    <x v="992"/>
    <x v="945"/>
    <x v="470"/>
    <x v="18"/>
    <x v="2"/>
    <x v="5"/>
    <x v="0"/>
    <x v="0"/>
    <x v="34"/>
    <x v="7"/>
    <x v="633"/>
    <x v="0"/>
    <x v="18"/>
    <x v="1"/>
    <x v="18"/>
    <x v="96"/>
    <x v="96"/>
  </r>
  <r>
    <x v="993"/>
    <x v="946"/>
    <x v="240"/>
    <x v="15"/>
    <x v="3"/>
    <x v="4"/>
    <x v="0"/>
    <x v="0"/>
    <x v="34"/>
    <x v="6"/>
    <x v="634"/>
    <x v="2"/>
    <x v="15"/>
    <x v="5"/>
    <x v="15"/>
    <x v="176"/>
    <x v="176"/>
  </r>
  <r>
    <x v="994"/>
    <x v="947"/>
    <x v="124"/>
    <x v="2"/>
    <x v="2"/>
    <x v="5"/>
    <x v="1"/>
    <x v="0"/>
    <x v="2"/>
    <x v="2"/>
    <x v="382"/>
    <x v="0"/>
    <x v="2"/>
    <x v="1"/>
    <x v="2"/>
    <x v="159"/>
    <x v="159"/>
  </r>
  <r>
    <x v="995"/>
    <x v="948"/>
    <x v="457"/>
    <x v="18"/>
    <x v="0"/>
    <x v="5"/>
    <x v="0"/>
    <x v="0"/>
    <x v="16"/>
    <x v="3"/>
    <x v="366"/>
    <x v="1"/>
    <x v="18"/>
    <x v="1"/>
    <x v="18"/>
    <x v="177"/>
    <x v="177"/>
  </r>
  <r>
    <x v="996"/>
    <x v="949"/>
    <x v="604"/>
    <x v="12"/>
    <x v="1"/>
    <x v="3"/>
    <x v="0"/>
    <x v="0"/>
    <x v="0"/>
    <x v="2"/>
    <x v="635"/>
    <x v="2"/>
    <x v="12"/>
    <x v="4"/>
    <x v="12"/>
    <x v="90"/>
    <x v="90"/>
  </r>
  <r>
    <x v="997"/>
    <x v="950"/>
    <x v="605"/>
    <x v="4"/>
    <x v="0"/>
    <x v="3"/>
    <x v="2"/>
    <x v="0"/>
    <x v="26"/>
    <x v="6"/>
    <x v="477"/>
    <x v="0"/>
    <x v="4"/>
    <x v="0"/>
    <x v="4"/>
    <x v="137"/>
    <x v="137"/>
  </r>
  <r>
    <x v="998"/>
    <x v="951"/>
    <x v="126"/>
    <x v="7"/>
    <x v="1"/>
    <x v="1"/>
    <x v="0"/>
    <x v="0"/>
    <x v="6"/>
    <x v="9"/>
    <x v="636"/>
    <x v="1"/>
    <x v="7"/>
    <x v="1"/>
    <x v="7"/>
    <x v="4"/>
    <x v="4"/>
  </r>
  <r>
    <x v="999"/>
    <x v="952"/>
    <x v="550"/>
    <x v="15"/>
    <x v="0"/>
    <x v="2"/>
    <x v="0"/>
    <x v="0"/>
    <x v="33"/>
    <x v="1"/>
    <x v="205"/>
    <x v="0"/>
    <x v="15"/>
    <x v="5"/>
    <x v="15"/>
    <x v="167"/>
    <x v="167"/>
  </r>
  <r>
    <x v="1000"/>
    <x v="953"/>
    <x v="606"/>
    <x v="20"/>
    <x v="6"/>
    <x v="6"/>
    <x v="4"/>
    <x v="3"/>
    <x v="48"/>
    <x v="10"/>
    <x v="637"/>
    <x v="3"/>
    <x v="20"/>
    <x v="6"/>
    <x v="20"/>
    <x v="178"/>
    <x v="17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0"/>
    <x v="1"/>
    <x v="1"/>
    <x v="1"/>
    <x v="0"/>
    <x v="1"/>
    <x v="0"/>
    <x v="1"/>
    <x v="1"/>
    <x v="1"/>
    <x v="1"/>
  </r>
  <r>
    <x v="2"/>
    <x v="2"/>
    <x v="2"/>
    <x v="2"/>
    <x v="1"/>
    <x v="1"/>
    <x v="2"/>
    <x v="0"/>
    <x v="0"/>
    <x v="2"/>
    <x v="2"/>
    <x v="0"/>
    <x v="2"/>
    <x v="1"/>
    <x v="2"/>
    <x v="2"/>
    <x v="2"/>
    <x v="0"/>
  </r>
  <r>
    <x v="3"/>
    <x v="3"/>
    <x v="3"/>
    <x v="3"/>
    <x v="1"/>
    <x v="0"/>
    <x v="0"/>
    <x v="0"/>
    <x v="2"/>
    <x v="3"/>
    <x v="3"/>
    <x v="0"/>
    <x v="3"/>
    <x v="2"/>
    <x v="3"/>
    <x v="3"/>
    <x v="3"/>
    <x v="1"/>
  </r>
  <r>
    <x v="4"/>
    <x v="4"/>
    <x v="4"/>
    <x v="4"/>
    <x v="2"/>
    <x v="2"/>
    <x v="0"/>
    <x v="0"/>
    <x v="3"/>
    <x v="4"/>
    <x v="4"/>
    <x v="0"/>
    <x v="4"/>
    <x v="0"/>
    <x v="4"/>
    <x v="4"/>
    <x v="4"/>
    <x v="1"/>
  </r>
  <r>
    <x v="5"/>
    <x v="5"/>
    <x v="5"/>
    <x v="5"/>
    <x v="0"/>
    <x v="2"/>
    <x v="0"/>
    <x v="1"/>
    <x v="4"/>
    <x v="2"/>
    <x v="5"/>
    <x v="1"/>
    <x v="5"/>
    <x v="2"/>
    <x v="5"/>
    <x v="5"/>
    <x v="5"/>
    <x v="1"/>
  </r>
  <r>
    <x v="6"/>
    <x v="6"/>
    <x v="6"/>
    <x v="6"/>
    <x v="1"/>
    <x v="3"/>
    <x v="1"/>
    <x v="0"/>
    <x v="5"/>
    <x v="5"/>
    <x v="6"/>
    <x v="1"/>
    <x v="6"/>
    <x v="0"/>
    <x v="6"/>
    <x v="6"/>
    <x v="6"/>
    <x v="0"/>
  </r>
  <r>
    <x v="7"/>
    <x v="7"/>
    <x v="7"/>
    <x v="1"/>
    <x v="1"/>
    <x v="2"/>
    <x v="0"/>
    <x v="0"/>
    <x v="6"/>
    <x v="6"/>
    <x v="7"/>
    <x v="0"/>
    <x v="1"/>
    <x v="0"/>
    <x v="1"/>
    <x v="7"/>
    <x v="7"/>
    <x v="1"/>
  </r>
  <r>
    <x v="8"/>
    <x v="8"/>
    <x v="8"/>
    <x v="7"/>
    <x v="1"/>
    <x v="0"/>
    <x v="0"/>
    <x v="0"/>
    <x v="7"/>
    <x v="5"/>
    <x v="8"/>
    <x v="1"/>
    <x v="7"/>
    <x v="1"/>
    <x v="7"/>
    <x v="0"/>
    <x v="0"/>
    <x v="0"/>
  </r>
  <r>
    <x v="9"/>
    <x v="9"/>
    <x v="9"/>
    <x v="1"/>
    <x v="2"/>
    <x v="3"/>
    <x v="0"/>
    <x v="2"/>
    <x v="8"/>
    <x v="6"/>
    <x v="9"/>
    <x v="1"/>
    <x v="1"/>
    <x v="0"/>
    <x v="1"/>
    <x v="8"/>
    <x v="8"/>
    <x v="1"/>
  </r>
  <r>
    <x v="10"/>
    <x v="10"/>
    <x v="10"/>
    <x v="7"/>
    <x v="3"/>
    <x v="4"/>
    <x v="0"/>
    <x v="0"/>
    <x v="9"/>
    <x v="2"/>
    <x v="4"/>
    <x v="1"/>
    <x v="7"/>
    <x v="1"/>
    <x v="7"/>
    <x v="9"/>
    <x v="9"/>
    <x v="1"/>
  </r>
  <r>
    <x v="11"/>
    <x v="11"/>
    <x v="11"/>
    <x v="8"/>
    <x v="1"/>
    <x v="3"/>
    <x v="1"/>
    <x v="0"/>
    <x v="10"/>
    <x v="7"/>
    <x v="10"/>
    <x v="2"/>
    <x v="8"/>
    <x v="1"/>
    <x v="8"/>
    <x v="10"/>
    <x v="10"/>
    <x v="1"/>
  </r>
  <r>
    <x v="12"/>
    <x v="12"/>
    <x v="12"/>
    <x v="9"/>
    <x v="3"/>
    <x v="0"/>
    <x v="2"/>
    <x v="0"/>
    <x v="11"/>
    <x v="5"/>
    <x v="11"/>
    <x v="0"/>
    <x v="9"/>
    <x v="0"/>
    <x v="9"/>
    <x v="11"/>
    <x v="11"/>
    <x v="0"/>
  </r>
  <r>
    <x v="13"/>
    <x v="13"/>
    <x v="13"/>
    <x v="8"/>
    <x v="2"/>
    <x v="3"/>
    <x v="2"/>
    <x v="0"/>
    <x v="12"/>
    <x v="2"/>
    <x v="12"/>
    <x v="1"/>
    <x v="8"/>
    <x v="1"/>
    <x v="8"/>
    <x v="12"/>
    <x v="12"/>
    <x v="0"/>
  </r>
  <r>
    <x v="14"/>
    <x v="14"/>
    <x v="14"/>
    <x v="6"/>
    <x v="1"/>
    <x v="2"/>
    <x v="1"/>
    <x v="0"/>
    <x v="13"/>
    <x v="2"/>
    <x v="13"/>
    <x v="0"/>
    <x v="6"/>
    <x v="0"/>
    <x v="6"/>
    <x v="13"/>
    <x v="13"/>
    <x v="0"/>
  </r>
  <r>
    <x v="15"/>
    <x v="15"/>
    <x v="15"/>
    <x v="2"/>
    <x v="3"/>
    <x v="2"/>
    <x v="0"/>
    <x v="0"/>
    <x v="9"/>
    <x v="8"/>
    <x v="14"/>
    <x v="1"/>
    <x v="2"/>
    <x v="1"/>
    <x v="2"/>
    <x v="14"/>
    <x v="14"/>
    <x v="1"/>
  </r>
  <r>
    <x v="16"/>
    <x v="16"/>
    <x v="16"/>
    <x v="8"/>
    <x v="2"/>
    <x v="3"/>
    <x v="0"/>
    <x v="0"/>
    <x v="14"/>
    <x v="2"/>
    <x v="15"/>
    <x v="2"/>
    <x v="8"/>
    <x v="1"/>
    <x v="8"/>
    <x v="12"/>
    <x v="12"/>
    <x v="1"/>
  </r>
  <r>
    <x v="17"/>
    <x v="17"/>
    <x v="17"/>
    <x v="10"/>
    <x v="2"/>
    <x v="2"/>
    <x v="0"/>
    <x v="0"/>
    <x v="15"/>
    <x v="8"/>
    <x v="16"/>
    <x v="1"/>
    <x v="10"/>
    <x v="3"/>
    <x v="10"/>
    <x v="15"/>
    <x v="15"/>
    <x v="1"/>
  </r>
  <r>
    <x v="18"/>
    <x v="18"/>
    <x v="18"/>
    <x v="10"/>
    <x v="1"/>
    <x v="2"/>
    <x v="2"/>
    <x v="0"/>
    <x v="16"/>
    <x v="9"/>
    <x v="17"/>
    <x v="0"/>
    <x v="10"/>
    <x v="3"/>
    <x v="10"/>
    <x v="16"/>
    <x v="16"/>
    <x v="0"/>
  </r>
  <r>
    <x v="19"/>
    <x v="19"/>
    <x v="19"/>
    <x v="6"/>
    <x v="2"/>
    <x v="1"/>
    <x v="3"/>
    <x v="0"/>
    <x v="9"/>
    <x v="8"/>
    <x v="18"/>
    <x v="1"/>
    <x v="6"/>
    <x v="0"/>
    <x v="6"/>
    <x v="17"/>
    <x v="17"/>
    <x v="0"/>
  </r>
  <r>
    <x v="20"/>
    <x v="20"/>
    <x v="20"/>
    <x v="6"/>
    <x v="2"/>
    <x v="2"/>
    <x v="0"/>
    <x v="0"/>
    <x v="1"/>
    <x v="4"/>
    <x v="19"/>
    <x v="0"/>
    <x v="6"/>
    <x v="0"/>
    <x v="6"/>
    <x v="18"/>
    <x v="18"/>
    <x v="0"/>
  </r>
  <r>
    <x v="21"/>
    <x v="21"/>
    <x v="21"/>
    <x v="10"/>
    <x v="2"/>
    <x v="2"/>
    <x v="0"/>
    <x v="0"/>
    <x v="2"/>
    <x v="5"/>
    <x v="20"/>
    <x v="0"/>
    <x v="10"/>
    <x v="3"/>
    <x v="10"/>
    <x v="15"/>
    <x v="15"/>
    <x v="1"/>
  </r>
  <r>
    <x v="22"/>
    <x v="22"/>
    <x v="22"/>
    <x v="11"/>
    <x v="1"/>
    <x v="1"/>
    <x v="3"/>
    <x v="0"/>
    <x v="17"/>
    <x v="2"/>
    <x v="21"/>
    <x v="1"/>
    <x v="11"/>
    <x v="1"/>
    <x v="11"/>
    <x v="1"/>
    <x v="1"/>
    <x v="0"/>
  </r>
  <r>
    <x v="23"/>
    <x v="23"/>
    <x v="23"/>
    <x v="10"/>
    <x v="3"/>
    <x v="2"/>
    <x v="0"/>
    <x v="0"/>
    <x v="18"/>
    <x v="2"/>
    <x v="22"/>
    <x v="0"/>
    <x v="10"/>
    <x v="3"/>
    <x v="10"/>
    <x v="19"/>
    <x v="19"/>
    <x v="0"/>
  </r>
  <r>
    <x v="24"/>
    <x v="24"/>
    <x v="24"/>
    <x v="10"/>
    <x v="1"/>
    <x v="5"/>
    <x v="0"/>
    <x v="0"/>
    <x v="19"/>
    <x v="9"/>
    <x v="23"/>
    <x v="1"/>
    <x v="10"/>
    <x v="3"/>
    <x v="10"/>
    <x v="20"/>
    <x v="20"/>
    <x v="0"/>
  </r>
  <r>
    <x v="25"/>
    <x v="25"/>
    <x v="25"/>
    <x v="12"/>
    <x v="2"/>
    <x v="3"/>
    <x v="2"/>
    <x v="0"/>
    <x v="20"/>
    <x v="6"/>
    <x v="24"/>
    <x v="1"/>
    <x v="12"/>
    <x v="4"/>
    <x v="12"/>
    <x v="21"/>
    <x v="21"/>
    <x v="0"/>
  </r>
  <r>
    <x v="26"/>
    <x v="26"/>
    <x v="11"/>
    <x v="11"/>
    <x v="2"/>
    <x v="0"/>
    <x v="3"/>
    <x v="0"/>
    <x v="8"/>
    <x v="2"/>
    <x v="25"/>
    <x v="0"/>
    <x v="11"/>
    <x v="1"/>
    <x v="11"/>
    <x v="22"/>
    <x v="22"/>
    <x v="1"/>
  </r>
  <r>
    <x v="27"/>
    <x v="27"/>
    <x v="26"/>
    <x v="2"/>
    <x v="1"/>
    <x v="2"/>
    <x v="0"/>
    <x v="0"/>
    <x v="21"/>
    <x v="9"/>
    <x v="26"/>
    <x v="0"/>
    <x v="2"/>
    <x v="1"/>
    <x v="2"/>
    <x v="23"/>
    <x v="23"/>
    <x v="0"/>
  </r>
  <r>
    <x v="28"/>
    <x v="28"/>
    <x v="27"/>
    <x v="2"/>
    <x v="1"/>
    <x v="0"/>
    <x v="1"/>
    <x v="0"/>
    <x v="22"/>
    <x v="2"/>
    <x v="27"/>
    <x v="0"/>
    <x v="2"/>
    <x v="1"/>
    <x v="2"/>
    <x v="24"/>
    <x v="24"/>
    <x v="0"/>
  </r>
  <r>
    <x v="29"/>
    <x v="29"/>
    <x v="28"/>
    <x v="13"/>
    <x v="2"/>
    <x v="3"/>
    <x v="2"/>
    <x v="0"/>
    <x v="12"/>
    <x v="2"/>
    <x v="28"/>
    <x v="2"/>
    <x v="13"/>
    <x v="1"/>
    <x v="13"/>
    <x v="25"/>
    <x v="25"/>
    <x v="1"/>
  </r>
  <r>
    <x v="30"/>
    <x v="30"/>
    <x v="29"/>
    <x v="5"/>
    <x v="2"/>
    <x v="2"/>
    <x v="0"/>
    <x v="0"/>
    <x v="23"/>
    <x v="3"/>
    <x v="29"/>
    <x v="0"/>
    <x v="5"/>
    <x v="2"/>
    <x v="5"/>
    <x v="26"/>
    <x v="26"/>
    <x v="0"/>
  </r>
  <r>
    <x v="31"/>
    <x v="31"/>
    <x v="30"/>
    <x v="4"/>
    <x v="2"/>
    <x v="2"/>
    <x v="1"/>
    <x v="0"/>
    <x v="24"/>
    <x v="4"/>
    <x v="30"/>
    <x v="0"/>
    <x v="4"/>
    <x v="0"/>
    <x v="4"/>
    <x v="4"/>
    <x v="4"/>
    <x v="0"/>
  </r>
  <r>
    <x v="32"/>
    <x v="32"/>
    <x v="31"/>
    <x v="14"/>
    <x v="3"/>
    <x v="3"/>
    <x v="0"/>
    <x v="0"/>
    <x v="19"/>
    <x v="1"/>
    <x v="31"/>
    <x v="0"/>
    <x v="14"/>
    <x v="1"/>
    <x v="14"/>
    <x v="27"/>
    <x v="27"/>
    <x v="0"/>
  </r>
  <r>
    <x v="33"/>
    <x v="33"/>
    <x v="32"/>
    <x v="7"/>
    <x v="2"/>
    <x v="3"/>
    <x v="0"/>
    <x v="0"/>
    <x v="16"/>
    <x v="2"/>
    <x v="32"/>
    <x v="1"/>
    <x v="7"/>
    <x v="1"/>
    <x v="7"/>
    <x v="28"/>
    <x v="28"/>
    <x v="0"/>
  </r>
  <r>
    <x v="34"/>
    <x v="34"/>
    <x v="33"/>
    <x v="4"/>
    <x v="4"/>
    <x v="0"/>
    <x v="1"/>
    <x v="0"/>
    <x v="1"/>
    <x v="7"/>
    <x v="33"/>
    <x v="0"/>
    <x v="4"/>
    <x v="0"/>
    <x v="4"/>
    <x v="29"/>
    <x v="29"/>
    <x v="1"/>
  </r>
  <r>
    <x v="35"/>
    <x v="35"/>
    <x v="34"/>
    <x v="10"/>
    <x v="1"/>
    <x v="2"/>
    <x v="0"/>
    <x v="0"/>
    <x v="16"/>
    <x v="2"/>
    <x v="34"/>
    <x v="2"/>
    <x v="10"/>
    <x v="3"/>
    <x v="10"/>
    <x v="16"/>
    <x v="16"/>
    <x v="0"/>
  </r>
  <r>
    <x v="36"/>
    <x v="36"/>
    <x v="35"/>
    <x v="8"/>
    <x v="0"/>
    <x v="5"/>
    <x v="0"/>
    <x v="0"/>
    <x v="25"/>
    <x v="4"/>
    <x v="35"/>
    <x v="0"/>
    <x v="8"/>
    <x v="1"/>
    <x v="8"/>
    <x v="30"/>
    <x v="30"/>
    <x v="0"/>
  </r>
  <r>
    <x v="37"/>
    <x v="37"/>
    <x v="36"/>
    <x v="10"/>
    <x v="4"/>
    <x v="3"/>
    <x v="0"/>
    <x v="1"/>
    <x v="3"/>
    <x v="4"/>
    <x v="36"/>
    <x v="1"/>
    <x v="10"/>
    <x v="3"/>
    <x v="10"/>
    <x v="31"/>
    <x v="31"/>
    <x v="1"/>
  </r>
  <r>
    <x v="38"/>
    <x v="38"/>
    <x v="37"/>
    <x v="5"/>
    <x v="0"/>
    <x v="0"/>
    <x v="0"/>
    <x v="2"/>
    <x v="26"/>
    <x v="2"/>
    <x v="37"/>
    <x v="2"/>
    <x v="5"/>
    <x v="2"/>
    <x v="5"/>
    <x v="32"/>
    <x v="32"/>
    <x v="0"/>
  </r>
  <r>
    <x v="39"/>
    <x v="39"/>
    <x v="38"/>
    <x v="12"/>
    <x v="2"/>
    <x v="4"/>
    <x v="0"/>
    <x v="0"/>
    <x v="23"/>
    <x v="2"/>
    <x v="38"/>
    <x v="0"/>
    <x v="12"/>
    <x v="4"/>
    <x v="12"/>
    <x v="33"/>
    <x v="33"/>
    <x v="1"/>
  </r>
  <r>
    <x v="40"/>
    <x v="40"/>
    <x v="39"/>
    <x v="11"/>
    <x v="1"/>
    <x v="0"/>
    <x v="0"/>
    <x v="0"/>
    <x v="27"/>
    <x v="1"/>
    <x v="39"/>
    <x v="0"/>
    <x v="11"/>
    <x v="1"/>
    <x v="11"/>
    <x v="34"/>
    <x v="34"/>
    <x v="0"/>
  </r>
  <r>
    <x v="41"/>
    <x v="41"/>
    <x v="40"/>
    <x v="15"/>
    <x v="1"/>
    <x v="2"/>
    <x v="0"/>
    <x v="0"/>
    <x v="25"/>
    <x v="7"/>
    <x v="40"/>
    <x v="0"/>
    <x v="15"/>
    <x v="5"/>
    <x v="15"/>
    <x v="35"/>
    <x v="35"/>
    <x v="1"/>
  </r>
  <r>
    <x v="42"/>
    <x v="42"/>
    <x v="41"/>
    <x v="9"/>
    <x v="1"/>
    <x v="2"/>
    <x v="2"/>
    <x v="0"/>
    <x v="26"/>
    <x v="6"/>
    <x v="41"/>
    <x v="0"/>
    <x v="9"/>
    <x v="0"/>
    <x v="9"/>
    <x v="4"/>
    <x v="4"/>
    <x v="1"/>
  </r>
  <r>
    <x v="43"/>
    <x v="43"/>
    <x v="42"/>
    <x v="6"/>
    <x v="2"/>
    <x v="3"/>
    <x v="0"/>
    <x v="0"/>
    <x v="3"/>
    <x v="2"/>
    <x v="42"/>
    <x v="0"/>
    <x v="6"/>
    <x v="0"/>
    <x v="6"/>
    <x v="19"/>
    <x v="19"/>
    <x v="0"/>
  </r>
  <r>
    <x v="44"/>
    <x v="44"/>
    <x v="43"/>
    <x v="2"/>
    <x v="1"/>
    <x v="3"/>
    <x v="2"/>
    <x v="0"/>
    <x v="1"/>
    <x v="6"/>
    <x v="43"/>
    <x v="0"/>
    <x v="2"/>
    <x v="1"/>
    <x v="2"/>
    <x v="36"/>
    <x v="36"/>
    <x v="0"/>
  </r>
  <r>
    <x v="45"/>
    <x v="45"/>
    <x v="44"/>
    <x v="0"/>
    <x v="3"/>
    <x v="2"/>
    <x v="2"/>
    <x v="0"/>
    <x v="19"/>
    <x v="7"/>
    <x v="4"/>
    <x v="0"/>
    <x v="0"/>
    <x v="0"/>
    <x v="0"/>
    <x v="37"/>
    <x v="37"/>
    <x v="0"/>
  </r>
  <r>
    <x v="46"/>
    <x v="46"/>
    <x v="45"/>
    <x v="12"/>
    <x v="2"/>
    <x v="2"/>
    <x v="3"/>
    <x v="0"/>
    <x v="0"/>
    <x v="2"/>
    <x v="44"/>
    <x v="1"/>
    <x v="12"/>
    <x v="4"/>
    <x v="12"/>
    <x v="38"/>
    <x v="38"/>
    <x v="1"/>
  </r>
  <r>
    <x v="47"/>
    <x v="47"/>
    <x v="46"/>
    <x v="0"/>
    <x v="2"/>
    <x v="2"/>
    <x v="2"/>
    <x v="0"/>
    <x v="11"/>
    <x v="0"/>
    <x v="45"/>
    <x v="2"/>
    <x v="0"/>
    <x v="0"/>
    <x v="0"/>
    <x v="17"/>
    <x v="17"/>
    <x v="0"/>
  </r>
  <r>
    <x v="48"/>
    <x v="48"/>
    <x v="47"/>
    <x v="6"/>
    <x v="1"/>
    <x v="3"/>
    <x v="0"/>
    <x v="0"/>
    <x v="28"/>
    <x v="2"/>
    <x v="46"/>
    <x v="0"/>
    <x v="6"/>
    <x v="0"/>
    <x v="6"/>
    <x v="6"/>
    <x v="6"/>
    <x v="0"/>
  </r>
  <r>
    <x v="49"/>
    <x v="49"/>
    <x v="48"/>
    <x v="5"/>
    <x v="1"/>
    <x v="2"/>
    <x v="0"/>
    <x v="0"/>
    <x v="14"/>
    <x v="8"/>
    <x v="47"/>
    <x v="1"/>
    <x v="5"/>
    <x v="2"/>
    <x v="5"/>
    <x v="0"/>
    <x v="0"/>
    <x v="1"/>
  </r>
  <r>
    <x v="50"/>
    <x v="50"/>
    <x v="11"/>
    <x v="10"/>
    <x v="3"/>
    <x v="0"/>
    <x v="1"/>
    <x v="0"/>
    <x v="29"/>
    <x v="6"/>
    <x v="48"/>
    <x v="2"/>
    <x v="10"/>
    <x v="3"/>
    <x v="10"/>
    <x v="39"/>
    <x v="39"/>
    <x v="1"/>
  </r>
  <r>
    <x v="51"/>
    <x v="51"/>
    <x v="49"/>
    <x v="10"/>
    <x v="1"/>
    <x v="2"/>
    <x v="1"/>
    <x v="0"/>
    <x v="30"/>
    <x v="2"/>
    <x v="49"/>
    <x v="1"/>
    <x v="10"/>
    <x v="3"/>
    <x v="10"/>
    <x v="16"/>
    <x v="16"/>
    <x v="0"/>
  </r>
  <r>
    <x v="52"/>
    <x v="52"/>
    <x v="50"/>
    <x v="5"/>
    <x v="1"/>
    <x v="1"/>
    <x v="1"/>
    <x v="1"/>
    <x v="18"/>
    <x v="7"/>
    <x v="50"/>
    <x v="1"/>
    <x v="5"/>
    <x v="2"/>
    <x v="5"/>
    <x v="40"/>
    <x v="40"/>
    <x v="0"/>
  </r>
  <r>
    <x v="53"/>
    <x v="53"/>
    <x v="51"/>
    <x v="5"/>
    <x v="2"/>
    <x v="5"/>
    <x v="3"/>
    <x v="0"/>
    <x v="8"/>
    <x v="2"/>
    <x v="51"/>
    <x v="1"/>
    <x v="5"/>
    <x v="2"/>
    <x v="5"/>
    <x v="41"/>
    <x v="41"/>
    <x v="1"/>
  </r>
  <r>
    <x v="54"/>
    <x v="54"/>
    <x v="52"/>
    <x v="16"/>
    <x v="2"/>
    <x v="2"/>
    <x v="1"/>
    <x v="0"/>
    <x v="26"/>
    <x v="2"/>
    <x v="52"/>
    <x v="1"/>
    <x v="16"/>
    <x v="1"/>
    <x v="16"/>
    <x v="42"/>
    <x v="42"/>
    <x v="1"/>
  </r>
  <r>
    <x v="55"/>
    <x v="55"/>
    <x v="53"/>
    <x v="5"/>
    <x v="1"/>
    <x v="2"/>
    <x v="0"/>
    <x v="0"/>
    <x v="31"/>
    <x v="5"/>
    <x v="53"/>
    <x v="1"/>
    <x v="5"/>
    <x v="2"/>
    <x v="5"/>
    <x v="0"/>
    <x v="0"/>
    <x v="0"/>
  </r>
  <r>
    <x v="56"/>
    <x v="56"/>
    <x v="54"/>
    <x v="12"/>
    <x v="2"/>
    <x v="2"/>
    <x v="0"/>
    <x v="0"/>
    <x v="10"/>
    <x v="2"/>
    <x v="54"/>
    <x v="1"/>
    <x v="12"/>
    <x v="4"/>
    <x v="12"/>
    <x v="38"/>
    <x v="38"/>
    <x v="0"/>
  </r>
  <r>
    <x v="57"/>
    <x v="57"/>
    <x v="55"/>
    <x v="0"/>
    <x v="1"/>
    <x v="2"/>
    <x v="1"/>
    <x v="0"/>
    <x v="29"/>
    <x v="2"/>
    <x v="55"/>
    <x v="1"/>
    <x v="0"/>
    <x v="0"/>
    <x v="0"/>
    <x v="43"/>
    <x v="43"/>
    <x v="0"/>
  </r>
  <r>
    <x v="58"/>
    <x v="58"/>
    <x v="56"/>
    <x v="17"/>
    <x v="2"/>
    <x v="5"/>
    <x v="1"/>
    <x v="0"/>
    <x v="32"/>
    <x v="5"/>
    <x v="56"/>
    <x v="0"/>
    <x v="17"/>
    <x v="4"/>
    <x v="17"/>
    <x v="44"/>
    <x v="44"/>
    <x v="0"/>
  </r>
  <r>
    <x v="59"/>
    <x v="59"/>
    <x v="57"/>
    <x v="5"/>
    <x v="2"/>
    <x v="2"/>
    <x v="3"/>
    <x v="0"/>
    <x v="33"/>
    <x v="6"/>
    <x v="57"/>
    <x v="1"/>
    <x v="5"/>
    <x v="2"/>
    <x v="5"/>
    <x v="26"/>
    <x v="26"/>
    <x v="1"/>
  </r>
  <r>
    <x v="60"/>
    <x v="60"/>
    <x v="58"/>
    <x v="14"/>
    <x v="3"/>
    <x v="3"/>
    <x v="0"/>
    <x v="0"/>
    <x v="34"/>
    <x v="7"/>
    <x v="58"/>
    <x v="1"/>
    <x v="14"/>
    <x v="1"/>
    <x v="14"/>
    <x v="27"/>
    <x v="27"/>
    <x v="1"/>
  </r>
  <r>
    <x v="61"/>
    <x v="61"/>
    <x v="59"/>
    <x v="5"/>
    <x v="1"/>
    <x v="2"/>
    <x v="0"/>
    <x v="0"/>
    <x v="12"/>
    <x v="7"/>
    <x v="59"/>
    <x v="0"/>
    <x v="5"/>
    <x v="2"/>
    <x v="5"/>
    <x v="0"/>
    <x v="0"/>
    <x v="1"/>
  </r>
  <r>
    <x v="62"/>
    <x v="62"/>
    <x v="60"/>
    <x v="18"/>
    <x v="2"/>
    <x v="0"/>
    <x v="2"/>
    <x v="0"/>
    <x v="35"/>
    <x v="2"/>
    <x v="60"/>
    <x v="0"/>
    <x v="18"/>
    <x v="1"/>
    <x v="18"/>
    <x v="21"/>
    <x v="21"/>
    <x v="0"/>
  </r>
  <r>
    <x v="63"/>
    <x v="63"/>
    <x v="61"/>
    <x v="1"/>
    <x v="1"/>
    <x v="2"/>
    <x v="2"/>
    <x v="0"/>
    <x v="36"/>
    <x v="6"/>
    <x v="61"/>
    <x v="0"/>
    <x v="1"/>
    <x v="0"/>
    <x v="1"/>
    <x v="7"/>
    <x v="7"/>
    <x v="0"/>
  </r>
  <r>
    <x v="64"/>
    <x v="64"/>
    <x v="62"/>
    <x v="6"/>
    <x v="1"/>
    <x v="3"/>
    <x v="0"/>
    <x v="0"/>
    <x v="37"/>
    <x v="6"/>
    <x v="62"/>
    <x v="1"/>
    <x v="6"/>
    <x v="0"/>
    <x v="6"/>
    <x v="6"/>
    <x v="6"/>
    <x v="1"/>
  </r>
  <r>
    <x v="65"/>
    <x v="65"/>
    <x v="63"/>
    <x v="10"/>
    <x v="1"/>
    <x v="3"/>
    <x v="0"/>
    <x v="0"/>
    <x v="34"/>
    <x v="4"/>
    <x v="63"/>
    <x v="0"/>
    <x v="10"/>
    <x v="3"/>
    <x v="10"/>
    <x v="16"/>
    <x v="16"/>
    <x v="0"/>
  </r>
  <r>
    <x v="66"/>
    <x v="66"/>
    <x v="64"/>
    <x v="2"/>
    <x v="1"/>
    <x v="3"/>
    <x v="1"/>
    <x v="2"/>
    <x v="31"/>
    <x v="2"/>
    <x v="64"/>
    <x v="0"/>
    <x v="2"/>
    <x v="1"/>
    <x v="2"/>
    <x v="36"/>
    <x v="36"/>
    <x v="0"/>
  </r>
  <r>
    <x v="67"/>
    <x v="67"/>
    <x v="65"/>
    <x v="5"/>
    <x v="0"/>
    <x v="0"/>
    <x v="0"/>
    <x v="1"/>
    <x v="15"/>
    <x v="7"/>
    <x v="65"/>
    <x v="1"/>
    <x v="5"/>
    <x v="2"/>
    <x v="5"/>
    <x v="32"/>
    <x v="32"/>
    <x v="1"/>
  </r>
  <r>
    <x v="68"/>
    <x v="68"/>
    <x v="66"/>
    <x v="0"/>
    <x v="3"/>
    <x v="2"/>
    <x v="0"/>
    <x v="0"/>
    <x v="5"/>
    <x v="0"/>
    <x v="66"/>
    <x v="1"/>
    <x v="0"/>
    <x v="0"/>
    <x v="0"/>
    <x v="37"/>
    <x v="37"/>
    <x v="1"/>
  </r>
  <r>
    <x v="69"/>
    <x v="69"/>
    <x v="67"/>
    <x v="4"/>
    <x v="1"/>
    <x v="0"/>
    <x v="1"/>
    <x v="0"/>
    <x v="31"/>
    <x v="3"/>
    <x v="67"/>
    <x v="0"/>
    <x v="4"/>
    <x v="0"/>
    <x v="4"/>
    <x v="45"/>
    <x v="45"/>
    <x v="0"/>
  </r>
  <r>
    <x v="70"/>
    <x v="70"/>
    <x v="68"/>
    <x v="6"/>
    <x v="1"/>
    <x v="1"/>
    <x v="2"/>
    <x v="0"/>
    <x v="38"/>
    <x v="6"/>
    <x v="68"/>
    <x v="1"/>
    <x v="6"/>
    <x v="0"/>
    <x v="6"/>
    <x v="43"/>
    <x v="43"/>
    <x v="0"/>
  </r>
  <r>
    <x v="71"/>
    <x v="71"/>
    <x v="69"/>
    <x v="2"/>
    <x v="2"/>
    <x v="3"/>
    <x v="0"/>
    <x v="0"/>
    <x v="39"/>
    <x v="3"/>
    <x v="69"/>
    <x v="1"/>
    <x v="2"/>
    <x v="1"/>
    <x v="2"/>
    <x v="46"/>
    <x v="46"/>
    <x v="1"/>
  </r>
  <r>
    <x v="72"/>
    <x v="72"/>
    <x v="70"/>
    <x v="1"/>
    <x v="4"/>
    <x v="0"/>
    <x v="0"/>
    <x v="0"/>
    <x v="22"/>
    <x v="1"/>
    <x v="70"/>
    <x v="0"/>
    <x v="1"/>
    <x v="0"/>
    <x v="1"/>
    <x v="47"/>
    <x v="47"/>
    <x v="1"/>
  </r>
  <r>
    <x v="73"/>
    <x v="73"/>
    <x v="71"/>
    <x v="14"/>
    <x v="1"/>
    <x v="3"/>
    <x v="1"/>
    <x v="0"/>
    <x v="10"/>
    <x v="2"/>
    <x v="71"/>
    <x v="1"/>
    <x v="14"/>
    <x v="1"/>
    <x v="14"/>
    <x v="48"/>
    <x v="48"/>
    <x v="1"/>
  </r>
  <r>
    <x v="74"/>
    <x v="74"/>
    <x v="72"/>
    <x v="1"/>
    <x v="3"/>
    <x v="3"/>
    <x v="0"/>
    <x v="0"/>
    <x v="1"/>
    <x v="5"/>
    <x v="72"/>
    <x v="0"/>
    <x v="1"/>
    <x v="0"/>
    <x v="1"/>
    <x v="49"/>
    <x v="49"/>
    <x v="0"/>
  </r>
  <r>
    <x v="75"/>
    <x v="75"/>
    <x v="73"/>
    <x v="0"/>
    <x v="2"/>
    <x v="4"/>
    <x v="0"/>
    <x v="0"/>
    <x v="34"/>
    <x v="2"/>
    <x v="73"/>
    <x v="0"/>
    <x v="0"/>
    <x v="0"/>
    <x v="0"/>
    <x v="45"/>
    <x v="45"/>
    <x v="1"/>
  </r>
  <r>
    <x v="76"/>
    <x v="76"/>
    <x v="74"/>
    <x v="2"/>
    <x v="2"/>
    <x v="4"/>
    <x v="2"/>
    <x v="0"/>
    <x v="1"/>
    <x v="0"/>
    <x v="74"/>
    <x v="1"/>
    <x v="2"/>
    <x v="1"/>
    <x v="2"/>
    <x v="50"/>
    <x v="50"/>
    <x v="1"/>
  </r>
  <r>
    <x v="77"/>
    <x v="77"/>
    <x v="75"/>
    <x v="18"/>
    <x v="2"/>
    <x v="1"/>
    <x v="1"/>
    <x v="0"/>
    <x v="34"/>
    <x v="3"/>
    <x v="75"/>
    <x v="1"/>
    <x v="18"/>
    <x v="1"/>
    <x v="18"/>
    <x v="51"/>
    <x v="51"/>
    <x v="1"/>
  </r>
  <r>
    <x v="78"/>
    <x v="78"/>
    <x v="76"/>
    <x v="10"/>
    <x v="1"/>
    <x v="2"/>
    <x v="0"/>
    <x v="2"/>
    <x v="18"/>
    <x v="5"/>
    <x v="76"/>
    <x v="1"/>
    <x v="10"/>
    <x v="3"/>
    <x v="10"/>
    <x v="16"/>
    <x v="16"/>
    <x v="0"/>
  </r>
  <r>
    <x v="79"/>
    <x v="23"/>
    <x v="47"/>
    <x v="16"/>
    <x v="2"/>
    <x v="2"/>
    <x v="0"/>
    <x v="0"/>
    <x v="18"/>
    <x v="2"/>
    <x v="22"/>
    <x v="0"/>
    <x v="16"/>
    <x v="1"/>
    <x v="16"/>
    <x v="42"/>
    <x v="42"/>
    <x v="0"/>
  </r>
  <r>
    <x v="80"/>
    <x v="79"/>
    <x v="77"/>
    <x v="14"/>
    <x v="3"/>
    <x v="3"/>
    <x v="2"/>
    <x v="0"/>
    <x v="32"/>
    <x v="2"/>
    <x v="77"/>
    <x v="0"/>
    <x v="14"/>
    <x v="1"/>
    <x v="14"/>
    <x v="27"/>
    <x v="27"/>
    <x v="1"/>
  </r>
  <r>
    <x v="81"/>
    <x v="80"/>
    <x v="25"/>
    <x v="4"/>
    <x v="1"/>
    <x v="2"/>
    <x v="1"/>
    <x v="0"/>
    <x v="15"/>
    <x v="2"/>
    <x v="78"/>
    <x v="0"/>
    <x v="4"/>
    <x v="0"/>
    <x v="4"/>
    <x v="15"/>
    <x v="15"/>
    <x v="0"/>
  </r>
  <r>
    <x v="82"/>
    <x v="81"/>
    <x v="78"/>
    <x v="10"/>
    <x v="3"/>
    <x v="3"/>
    <x v="2"/>
    <x v="0"/>
    <x v="38"/>
    <x v="6"/>
    <x v="79"/>
    <x v="1"/>
    <x v="10"/>
    <x v="3"/>
    <x v="10"/>
    <x v="52"/>
    <x v="52"/>
    <x v="0"/>
  </r>
  <r>
    <x v="83"/>
    <x v="82"/>
    <x v="79"/>
    <x v="0"/>
    <x v="1"/>
    <x v="2"/>
    <x v="0"/>
    <x v="0"/>
    <x v="6"/>
    <x v="2"/>
    <x v="80"/>
    <x v="1"/>
    <x v="0"/>
    <x v="0"/>
    <x v="0"/>
    <x v="43"/>
    <x v="43"/>
    <x v="0"/>
  </r>
  <r>
    <x v="84"/>
    <x v="83"/>
    <x v="80"/>
    <x v="8"/>
    <x v="1"/>
    <x v="2"/>
    <x v="0"/>
    <x v="0"/>
    <x v="16"/>
    <x v="3"/>
    <x v="81"/>
    <x v="0"/>
    <x v="8"/>
    <x v="1"/>
    <x v="8"/>
    <x v="17"/>
    <x v="17"/>
    <x v="0"/>
  </r>
  <r>
    <x v="85"/>
    <x v="84"/>
    <x v="81"/>
    <x v="18"/>
    <x v="2"/>
    <x v="2"/>
    <x v="0"/>
    <x v="0"/>
    <x v="22"/>
    <x v="6"/>
    <x v="82"/>
    <x v="1"/>
    <x v="18"/>
    <x v="1"/>
    <x v="18"/>
    <x v="53"/>
    <x v="53"/>
    <x v="0"/>
  </r>
  <r>
    <x v="86"/>
    <x v="85"/>
    <x v="47"/>
    <x v="4"/>
    <x v="3"/>
    <x v="3"/>
    <x v="2"/>
    <x v="0"/>
    <x v="40"/>
    <x v="7"/>
    <x v="83"/>
    <x v="0"/>
    <x v="4"/>
    <x v="0"/>
    <x v="4"/>
    <x v="54"/>
    <x v="54"/>
    <x v="0"/>
  </r>
  <r>
    <x v="87"/>
    <x v="86"/>
    <x v="82"/>
    <x v="13"/>
    <x v="2"/>
    <x v="3"/>
    <x v="0"/>
    <x v="0"/>
    <x v="11"/>
    <x v="6"/>
    <x v="84"/>
    <x v="0"/>
    <x v="13"/>
    <x v="1"/>
    <x v="13"/>
    <x v="25"/>
    <x v="25"/>
    <x v="1"/>
  </r>
  <r>
    <x v="88"/>
    <x v="87"/>
    <x v="83"/>
    <x v="0"/>
    <x v="0"/>
    <x v="0"/>
    <x v="1"/>
    <x v="0"/>
    <x v="41"/>
    <x v="8"/>
    <x v="85"/>
    <x v="1"/>
    <x v="0"/>
    <x v="0"/>
    <x v="0"/>
    <x v="0"/>
    <x v="0"/>
    <x v="0"/>
  </r>
  <r>
    <x v="89"/>
    <x v="88"/>
    <x v="84"/>
    <x v="0"/>
    <x v="1"/>
    <x v="0"/>
    <x v="3"/>
    <x v="2"/>
    <x v="23"/>
    <x v="9"/>
    <x v="86"/>
    <x v="0"/>
    <x v="0"/>
    <x v="0"/>
    <x v="0"/>
    <x v="55"/>
    <x v="55"/>
    <x v="0"/>
  </r>
  <r>
    <x v="90"/>
    <x v="89"/>
    <x v="85"/>
    <x v="8"/>
    <x v="4"/>
    <x v="3"/>
    <x v="2"/>
    <x v="0"/>
    <x v="14"/>
    <x v="0"/>
    <x v="87"/>
    <x v="0"/>
    <x v="8"/>
    <x v="1"/>
    <x v="8"/>
    <x v="22"/>
    <x v="22"/>
    <x v="1"/>
  </r>
  <r>
    <x v="91"/>
    <x v="90"/>
    <x v="86"/>
    <x v="18"/>
    <x v="2"/>
    <x v="4"/>
    <x v="0"/>
    <x v="0"/>
    <x v="6"/>
    <x v="2"/>
    <x v="88"/>
    <x v="0"/>
    <x v="18"/>
    <x v="1"/>
    <x v="18"/>
    <x v="56"/>
    <x v="56"/>
    <x v="1"/>
  </r>
  <r>
    <x v="92"/>
    <x v="91"/>
    <x v="87"/>
    <x v="15"/>
    <x v="1"/>
    <x v="5"/>
    <x v="0"/>
    <x v="0"/>
    <x v="6"/>
    <x v="5"/>
    <x v="89"/>
    <x v="0"/>
    <x v="15"/>
    <x v="5"/>
    <x v="15"/>
    <x v="57"/>
    <x v="57"/>
    <x v="0"/>
  </r>
  <r>
    <x v="93"/>
    <x v="92"/>
    <x v="88"/>
    <x v="16"/>
    <x v="1"/>
    <x v="2"/>
    <x v="2"/>
    <x v="0"/>
    <x v="1"/>
    <x v="8"/>
    <x v="90"/>
    <x v="0"/>
    <x v="16"/>
    <x v="1"/>
    <x v="16"/>
    <x v="58"/>
    <x v="58"/>
    <x v="1"/>
  </r>
  <r>
    <x v="94"/>
    <x v="93"/>
    <x v="89"/>
    <x v="7"/>
    <x v="1"/>
    <x v="4"/>
    <x v="0"/>
    <x v="0"/>
    <x v="42"/>
    <x v="5"/>
    <x v="91"/>
    <x v="0"/>
    <x v="7"/>
    <x v="1"/>
    <x v="7"/>
    <x v="59"/>
    <x v="59"/>
    <x v="1"/>
  </r>
  <r>
    <x v="95"/>
    <x v="94"/>
    <x v="90"/>
    <x v="6"/>
    <x v="3"/>
    <x v="2"/>
    <x v="0"/>
    <x v="2"/>
    <x v="13"/>
    <x v="7"/>
    <x v="92"/>
    <x v="0"/>
    <x v="6"/>
    <x v="0"/>
    <x v="6"/>
    <x v="31"/>
    <x v="31"/>
    <x v="1"/>
  </r>
  <r>
    <x v="96"/>
    <x v="95"/>
    <x v="91"/>
    <x v="1"/>
    <x v="0"/>
    <x v="0"/>
    <x v="2"/>
    <x v="0"/>
    <x v="12"/>
    <x v="5"/>
    <x v="93"/>
    <x v="1"/>
    <x v="1"/>
    <x v="0"/>
    <x v="1"/>
    <x v="60"/>
    <x v="60"/>
    <x v="1"/>
  </r>
  <r>
    <x v="97"/>
    <x v="96"/>
    <x v="92"/>
    <x v="9"/>
    <x v="3"/>
    <x v="2"/>
    <x v="2"/>
    <x v="0"/>
    <x v="23"/>
    <x v="2"/>
    <x v="32"/>
    <x v="1"/>
    <x v="9"/>
    <x v="0"/>
    <x v="9"/>
    <x v="61"/>
    <x v="61"/>
    <x v="1"/>
  </r>
  <r>
    <x v="98"/>
    <x v="97"/>
    <x v="93"/>
    <x v="4"/>
    <x v="2"/>
    <x v="5"/>
    <x v="0"/>
    <x v="0"/>
    <x v="9"/>
    <x v="2"/>
    <x v="94"/>
    <x v="0"/>
    <x v="4"/>
    <x v="0"/>
    <x v="4"/>
    <x v="59"/>
    <x v="59"/>
    <x v="0"/>
  </r>
  <r>
    <x v="99"/>
    <x v="98"/>
    <x v="94"/>
    <x v="12"/>
    <x v="1"/>
    <x v="2"/>
    <x v="0"/>
    <x v="0"/>
    <x v="25"/>
    <x v="4"/>
    <x v="95"/>
    <x v="0"/>
    <x v="12"/>
    <x v="4"/>
    <x v="12"/>
    <x v="62"/>
    <x v="62"/>
    <x v="0"/>
  </r>
  <r>
    <x v="100"/>
    <x v="99"/>
    <x v="95"/>
    <x v="9"/>
    <x v="1"/>
    <x v="3"/>
    <x v="0"/>
    <x v="0"/>
    <x v="2"/>
    <x v="7"/>
    <x v="96"/>
    <x v="1"/>
    <x v="9"/>
    <x v="0"/>
    <x v="9"/>
    <x v="37"/>
    <x v="37"/>
    <x v="0"/>
  </r>
  <r>
    <x v="101"/>
    <x v="100"/>
    <x v="96"/>
    <x v="9"/>
    <x v="1"/>
    <x v="0"/>
    <x v="2"/>
    <x v="0"/>
    <x v="40"/>
    <x v="8"/>
    <x v="97"/>
    <x v="0"/>
    <x v="9"/>
    <x v="0"/>
    <x v="9"/>
    <x v="63"/>
    <x v="63"/>
    <x v="1"/>
  </r>
  <r>
    <x v="102"/>
    <x v="101"/>
    <x v="97"/>
    <x v="18"/>
    <x v="1"/>
    <x v="5"/>
    <x v="0"/>
    <x v="0"/>
    <x v="12"/>
    <x v="7"/>
    <x v="98"/>
    <x v="0"/>
    <x v="18"/>
    <x v="1"/>
    <x v="18"/>
    <x v="64"/>
    <x v="64"/>
    <x v="0"/>
  </r>
  <r>
    <x v="103"/>
    <x v="102"/>
    <x v="79"/>
    <x v="14"/>
    <x v="3"/>
    <x v="2"/>
    <x v="0"/>
    <x v="0"/>
    <x v="43"/>
    <x v="5"/>
    <x v="99"/>
    <x v="0"/>
    <x v="14"/>
    <x v="1"/>
    <x v="14"/>
    <x v="65"/>
    <x v="65"/>
    <x v="0"/>
  </r>
  <r>
    <x v="104"/>
    <x v="103"/>
    <x v="98"/>
    <x v="14"/>
    <x v="3"/>
    <x v="0"/>
    <x v="1"/>
    <x v="0"/>
    <x v="42"/>
    <x v="5"/>
    <x v="100"/>
    <x v="0"/>
    <x v="14"/>
    <x v="1"/>
    <x v="14"/>
    <x v="66"/>
    <x v="66"/>
    <x v="0"/>
  </r>
  <r>
    <x v="105"/>
    <x v="104"/>
    <x v="99"/>
    <x v="16"/>
    <x v="0"/>
    <x v="2"/>
    <x v="1"/>
    <x v="0"/>
    <x v="13"/>
    <x v="6"/>
    <x v="101"/>
    <x v="0"/>
    <x v="16"/>
    <x v="1"/>
    <x v="16"/>
    <x v="67"/>
    <x v="67"/>
    <x v="0"/>
  </r>
  <r>
    <x v="106"/>
    <x v="105"/>
    <x v="100"/>
    <x v="6"/>
    <x v="2"/>
    <x v="3"/>
    <x v="0"/>
    <x v="0"/>
    <x v="4"/>
    <x v="6"/>
    <x v="102"/>
    <x v="1"/>
    <x v="6"/>
    <x v="0"/>
    <x v="6"/>
    <x v="19"/>
    <x v="19"/>
    <x v="0"/>
  </r>
  <r>
    <x v="107"/>
    <x v="106"/>
    <x v="101"/>
    <x v="0"/>
    <x v="1"/>
    <x v="5"/>
    <x v="0"/>
    <x v="2"/>
    <x v="6"/>
    <x v="4"/>
    <x v="41"/>
    <x v="0"/>
    <x v="0"/>
    <x v="0"/>
    <x v="0"/>
    <x v="55"/>
    <x v="55"/>
    <x v="0"/>
  </r>
  <r>
    <x v="108"/>
    <x v="107"/>
    <x v="17"/>
    <x v="0"/>
    <x v="3"/>
    <x v="2"/>
    <x v="0"/>
    <x v="0"/>
    <x v="42"/>
    <x v="0"/>
    <x v="103"/>
    <x v="2"/>
    <x v="0"/>
    <x v="0"/>
    <x v="0"/>
    <x v="37"/>
    <x v="37"/>
    <x v="1"/>
  </r>
  <r>
    <x v="109"/>
    <x v="108"/>
    <x v="102"/>
    <x v="9"/>
    <x v="2"/>
    <x v="0"/>
    <x v="0"/>
    <x v="0"/>
    <x v="34"/>
    <x v="7"/>
    <x v="104"/>
    <x v="0"/>
    <x v="9"/>
    <x v="0"/>
    <x v="9"/>
    <x v="2"/>
    <x v="2"/>
    <x v="0"/>
  </r>
  <r>
    <x v="110"/>
    <x v="109"/>
    <x v="103"/>
    <x v="10"/>
    <x v="1"/>
    <x v="5"/>
    <x v="0"/>
    <x v="2"/>
    <x v="8"/>
    <x v="5"/>
    <x v="57"/>
    <x v="2"/>
    <x v="10"/>
    <x v="3"/>
    <x v="10"/>
    <x v="20"/>
    <x v="20"/>
    <x v="1"/>
  </r>
  <r>
    <x v="111"/>
    <x v="110"/>
    <x v="104"/>
    <x v="14"/>
    <x v="3"/>
    <x v="2"/>
    <x v="0"/>
    <x v="0"/>
    <x v="44"/>
    <x v="3"/>
    <x v="105"/>
    <x v="0"/>
    <x v="14"/>
    <x v="1"/>
    <x v="14"/>
    <x v="65"/>
    <x v="65"/>
    <x v="0"/>
  </r>
  <r>
    <x v="112"/>
    <x v="111"/>
    <x v="105"/>
    <x v="4"/>
    <x v="2"/>
    <x v="2"/>
    <x v="0"/>
    <x v="0"/>
    <x v="28"/>
    <x v="5"/>
    <x v="106"/>
    <x v="1"/>
    <x v="4"/>
    <x v="0"/>
    <x v="4"/>
    <x v="4"/>
    <x v="4"/>
    <x v="0"/>
  </r>
  <r>
    <x v="113"/>
    <x v="112"/>
    <x v="106"/>
    <x v="8"/>
    <x v="1"/>
    <x v="3"/>
    <x v="0"/>
    <x v="0"/>
    <x v="28"/>
    <x v="3"/>
    <x v="107"/>
    <x v="0"/>
    <x v="8"/>
    <x v="1"/>
    <x v="8"/>
    <x v="10"/>
    <x v="10"/>
    <x v="0"/>
  </r>
  <r>
    <x v="114"/>
    <x v="113"/>
    <x v="9"/>
    <x v="4"/>
    <x v="2"/>
    <x v="5"/>
    <x v="1"/>
    <x v="1"/>
    <x v="14"/>
    <x v="2"/>
    <x v="108"/>
    <x v="0"/>
    <x v="4"/>
    <x v="0"/>
    <x v="4"/>
    <x v="59"/>
    <x v="59"/>
    <x v="1"/>
  </r>
  <r>
    <x v="115"/>
    <x v="114"/>
    <x v="107"/>
    <x v="9"/>
    <x v="1"/>
    <x v="3"/>
    <x v="0"/>
    <x v="0"/>
    <x v="6"/>
    <x v="4"/>
    <x v="87"/>
    <x v="0"/>
    <x v="9"/>
    <x v="0"/>
    <x v="9"/>
    <x v="37"/>
    <x v="37"/>
    <x v="0"/>
  </r>
  <r>
    <x v="116"/>
    <x v="115"/>
    <x v="108"/>
    <x v="14"/>
    <x v="3"/>
    <x v="2"/>
    <x v="0"/>
    <x v="0"/>
    <x v="6"/>
    <x v="7"/>
    <x v="109"/>
    <x v="0"/>
    <x v="14"/>
    <x v="1"/>
    <x v="14"/>
    <x v="65"/>
    <x v="65"/>
    <x v="0"/>
  </r>
  <r>
    <x v="117"/>
    <x v="116"/>
    <x v="109"/>
    <x v="8"/>
    <x v="4"/>
    <x v="2"/>
    <x v="0"/>
    <x v="0"/>
    <x v="32"/>
    <x v="8"/>
    <x v="110"/>
    <x v="0"/>
    <x v="8"/>
    <x v="1"/>
    <x v="8"/>
    <x v="68"/>
    <x v="68"/>
    <x v="0"/>
  </r>
  <r>
    <x v="118"/>
    <x v="117"/>
    <x v="110"/>
    <x v="4"/>
    <x v="3"/>
    <x v="2"/>
    <x v="2"/>
    <x v="0"/>
    <x v="13"/>
    <x v="0"/>
    <x v="102"/>
    <x v="2"/>
    <x v="4"/>
    <x v="0"/>
    <x v="4"/>
    <x v="7"/>
    <x v="7"/>
    <x v="0"/>
  </r>
  <r>
    <x v="119"/>
    <x v="118"/>
    <x v="36"/>
    <x v="3"/>
    <x v="2"/>
    <x v="5"/>
    <x v="0"/>
    <x v="0"/>
    <x v="5"/>
    <x v="9"/>
    <x v="111"/>
    <x v="2"/>
    <x v="3"/>
    <x v="2"/>
    <x v="3"/>
    <x v="69"/>
    <x v="69"/>
    <x v="1"/>
  </r>
  <r>
    <x v="120"/>
    <x v="119"/>
    <x v="111"/>
    <x v="4"/>
    <x v="1"/>
    <x v="5"/>
    <x v="0"/>
    <x v="0"/>
    <x v="25"/>
    <x v="9"/>
    <x v="112"/>
    <x v="1"/>
    <x v="4"/>
    <x v="0"/>
    <x v="4"/>
    <x v="70"/>
    <x v="70"/>
    <x v="0"/>
  </r>
  <r>
    <x v="121"/>
    <x v="120"/>
    <x v="112"/>
    <x v="2"/>
    <x v="1"/>
    <x v="4"/>
    <x v="2"/>
    <x v="0"/>
    <x v="44"/>
    <x v="5"/>
    <x v="113"/>
    <x v="1"/>
    <x v="2"/>
    <x v="1"/>
    <x v="2"/>
    <x v="34"/>
    <x v="34"/>
    <x v="0"/>
  </r>
  <r>
    <x v="122"/>
    <x v="121"/>
    <x v="113"/>
    <x v="14"/>
    <x v="0"/>
    <x v="4"/>
    <x v="0"/>
    <x v="0"/>
    <x v="28"/>
    <x v="4"/>
    <x v="114"/>
    <x v="0"/>
    <x v="14"/>
    <x v="1"/>
    <x v="14"/>
    <x v="71"/>
    <x v="71"/>
    <x v="0"/>
  </r>
  <r>
    <x v="123"/>
    <x v="122"/>
    <x v="114"/>
    <x v="9"/>
    <x v="0"/>
    <x v="3"/>
    <x v="3"/>
    <x v="0"/>
    <x v="20"/>
    <x v="2"/>
    <x v="12"/>
    <x v="1"/>
    <x v="9"/>
    <x v="0"/>
    <x v="9"/>
    <x v="72"/>
    <x v="72"/>
    <x v="0"/>
  </r>
  <r>
    <x v="124"/>
    <x v="123"/>
    <x v="115"/>
    <x v="14"/>
    <x v="2"/>
    <x v="2"/>
    <x v="2"/>
    <x v="0"/>
    <x v="40"/>
    <x v="1"/>
    <x v="115"/>
    <x v="2"/>
    <x v="14"/>
    <x v="1"/>
    <x v="14"/>
    <x v="73"/>
    <x v="73"/>
    <x v="0"/>
  </r>
  <r>
    <x v="125"/>
    <x v="124"/>
    <x v="116"/>
    <x v="1"/>
    <x v="1"/>
    <x v="3"/>
    <x v="2"/>
    <x v="0"/>
    <x v="40"/>
    <x v="2"/>
    <x v="116"/>
    <x v="1"/>
    <x v="1"/>
    <x v="0"/>
    <x v="1"/>
    <x v="54"/>
    <x v="54"/>
    <x v="1"/>
  </r>
  <r>
    <x v="126"/>
    <x v="125"/>
    <x v="117"/>
    <x v="13"/>
    <x v="1"/>
    <x v="2"/>
    <x v="0"/>
    <x v="0"/>
    <x v="32"/>
    <x v="5"/>
    <x v="117"/>
    <x v="0"/>
    <x v="13"/>
    <x v="1"/>
    <x v="13"/>
    <x v="74"/>
    <x v="74"/>
    <x v="1"/>
  </r>
  <r>
    <x v="127"/>
    <x v="126"/>
    <x v="118"/>
    <x v="3"/>
    <x v="1"/>
    <x v="4"/>
    <x v="0"/>
    <x v="0"/>
    <x v="45"/>
    <x v="2"/>
    <x v="118"/>
    <x v="0"/>
    <x v="3"/>
    <x v="2"/>
    <x v="3"/>
    <x v="75"/>
    <x v="75"/>
    <x v="1"/>
  </r>
  <r>
    <x v="128"/>
    <x v="127"/>
    <x v="119"/>
    <x v="14"/>
    <x v="1"/>
    <x v="3"/>
    <x v="1"/>
    <x v="0"/>
    <x v="8"/>
    <x v="9"/>
    <x v="119"/>
    <x v="2"/>
    <x v="14"/>
    <x v="1"/>
    <x v="14"/>
    <x v="48"/>
    <x v="48"/>
    <x v="0"/>
  </r>
  <r>
    <x v="129"/>
    <x v="128"/>
    <x v="120"/>
    <x v="4"/>
    <x v="1"/>
    <x v="3"/>
    <x v="0"/>
    <x v="0"/>
    <x v="28"/>
    <x v="2"/>
    <x v="120"/>
    <x v="1"/>
    <x v="4"/>
    <x v="0"/>
    <x v="4"/>
    <x v="45"/>
    <x v="45"/>
    <x v="0"/>
  </r>
  <r>
    <x v="130"/>
    <x v="129"/>
    <x v="121"/>
    <x v="6"/>
    <x v="2"/>
    <x v="0"/>
    <x v="0"/>
    <x v="0"/>
    <x v="11"/>
    <x v="6"/>
    <x v="121"/>
    <x v="0"/>
    <x v="6"/>
    <x v="0"/>
    <x v="6"/>
    <x v="52"/>
    <x v="52"/>
    <x v="0"/>
  </r>
  <r>
    <x v="131"/>
    <x v="130"/>
    <x v="122"/>
    <x v="6"/>
    <x v="1"/>
    <x v="2"/>
    <x v="2"/>
    <x v="0"/>
    <x v="11"/>
    <x v="7"/>
    <x v="122"/>
    <x v="1"/>
    <x v="6"/>
    <x v="0"/>
    <x v="6"/>
    <x v="13"/>
    <x v="13"/>
    <x v="0"/>
  </r>
  <r>
    <x v="132"/>
    <x v="131"/>
    <x v="123"/>
    <x v="6"/>
    <x v="2"/>
    <x v="4"/>
    <x v="2"/>
    <x v="0"/>
    <x v="13"/>
    <x v="0"/>
    <x v="70"/>
    <x v="1"/>
    <x v="6"/>
    <x v="0"/>
    <x v="6"/>
    <x v="76"/>
    <x v="76"/>
    <x v="0"/>
  </r>
  <r>
    <x v="133"/>
    <x v="132"/>
    <x v="124"/>
    <x v="16"/>
    <x v="2"/>
    <x v="2"/>
    <x v="0"/>
    <x v="0"/>
    <x v="6"/>
    <x v="6"/>
    <x v="123"/>
    <x v="1"/>
    <x v="16"/>
    <x v="1"/>
    <x v="16"/>
    <x v="42"/>
    <x v="42"/>
    <x v="0"/>
  </r>
  <r>
    <x v="134"/>
    <x v="133"/>
    <x v="125"/>
    <x v="6"/>
    <x v="3"/>
    <x v="3"/>
    <x v="2"/>
    <x v="0"/>
    <x v="46"/>
    <x v="7"/>
    <x v="124"/>
    <x v="1"/>
    <x v="6"/>
    <x v="0"/>
    <x v="6"/>
    <x v="77"/>
    <x v="77"/>
    <x v="0"/>
  </r>
  <r>
    <x v="135"/>
    <x v="134"/>
    <x v="126"/>
    <x v="14"/>
    <x v="1"/>
    <x v="2"/>
    <x v="0"/>
    <x v="0"/>
    <x v="46"/>
    <x v="4"/>
    <x v="125"/>
    <x v="0"/>
    <x v="14"/>
    <x v="1"/>
    <x v="14"/>
    <x v="78"/>
    <x v="78"/>
    <x v="0"/>
  </r>
  <r>
    <x v="136"/>
    <x v="135"/>
    <x v="127"/>
    <x v="5"/>
    <x v="0"/>
    <x v="3"/>
    <x v="2"/>
    <x v="0"/>
    <x v="41"/>
    <x v="4"/>
    <x v="64"/>
    <x v="0"/>
    <x v="5"/>
    <x v="2"/>
    <x v="5"/>
    <x v="79"/>
    <x v="79"/>
    <x v="0"/>
  </r>
  <r>
    <x v="137"/>
    <x v="136"/>
    <x v="128"/>
    <x v="4"/>
    <x v="1"/>
    <x v="1"/>
    <x v="1"/>
    <x v="0"/>
    <x v="6"/>
    <x v="2"/>
    <x v="126"/>
    <x v="0"/>
    <x v="4"/>
    <x v="0"/>
    <x v="4"/>
    <x v="13"/>
    <x v="13"/>
    <x v="0"/>
  </r>
  <r>
    <x v="138"/>
    <x v="137"/>
    <x v="129"/>
    <x v="12"/>
    <x v="2"/>
    <x v="3"/>
    <x v="0"/>
    <x v="0"/>
    <x v="18"/>
    <x v="4"/>
    <x v="127"/>
    <x v="1"/>
    <x v="12"/>
    <x v="4"/>
    <x v="12"/>
    <x v="21"/>
    <x v="21"/>
    <x v="0"/>
  </r>
  <r>
    <x v="139"/>
    <x v="138"/>
    <x v="130"/>
    <x v="12"/>
    <x v="1"/>
    <x v="0"/>
    <x v="2"/>
    <x v="0"/>
    <x v="6"/>
    <x v="2"/>
    <x v="128"/>
    <x v="2"/>
    <x v="12"/>
    <x v="4"/>
    <x v="12"/>
    <x v="2"/>
    <x v="2"/>
    <x v="0"/>
  </r>
  <r>
    <x v="140"/>
    <x v="139"/>
    <x v="131"/>
    <x v="19"/>
    <x v="2"/>
    <x v="0"/>
    <x v="0"/>
    <x v="0"/>
    <x v="25"/>
    <x v="4"/>
    <x v="129"/>
    <x v="0"/>
    <x v="19"/>
    <x v="1"/>
    <x v="19"/>
    <x v="1"/>
    <x v="1"/>
    <x v="1"/>
  </r>
  <r>
    <x v="141"/>
    <x v="140"/>
    <x v="132"/>
    <x v="4"/>
    <x v="2"/>
    <x v="5"/>
    <x v="2"/>
    <x v="0"/>
    <x v="15"/>
    <x v="7"/>
    <x v="130"/>
    <x v="0"/>
    <x v="4"/>
    <x v="0"/>
    <x v="4"/>
    <x v="59"/>
    <x v="59"/>
    <x v="0"/>
  </r>
  <r>
    <x v="142"/>
    <x v="140"/>
    <x v="133"/>
    <x v="17"/>
    <x v="0"/>
    <x v="2"/>
    <x v="3"/>
    <x v="0"/>
    <x v="15"/>
    <x v="7"/>
    <x v="130"/>
    <x v="0"/>
    <x v="17"/>
    <x v="4"/>
    <x v="17"/>
    <x v="80"/>
    <x v="80"/>
    <x v="1"/>
  </r>
  <r>
    <x v="143"/>
    <x v="141"/>
    <x v="134"/>
    <x v="12"/>
    <x v="0"/>
    <x v="2"/>
    <x v="1"/>
    <x v="0"/>
    <x v="13"/>
    <x v="5"/>
    <x v="131"/>
    <x v="1"/>
    <x v="12"/>
    <x v="4"/>
    <x v="12"/>
    <x v="81"/>
    <x v="81"/>
    <x v="0"/>
  </r>
  <r>
    <x v="144"/>
    <x v="142"/>
    <x v="135"/>
    <x v="10"/>
    <x v="3"/>
    <x v="0"/>
    <x v="1"/>
    <x v="0"/>
    <x v="40"/>
    <x v="2"/>
    <x v="132"/>
    <x v="1"/>
    <x v="10"/>
    <x v="3"/>
    <x v="10"/>
    <x v="39"/>
    <x v="39"/>
    <x v="0"/>
  </r>
  <r>
    <x v="145"/>
    <x v="143"/>
    <x v="136"/>
    <x v="17"/>
    <x v="2"/>
    <x v="4"/>
    <x v="2"/>
    <x v="0"/>
    <x v="21"/>
    <x v="5"/>
    <x v="133"/>
    <x v="0"/>
    <x v="17"/>
    <x v="4"/>
    <x v="17"/>
    <x v="82"/>
    <x v="82"/>
    <x v="1"/>
  </r>
  <r>
    <x v="146"/>
    <x v="144"/>
    <x v="137"/>
    <x v="1"/>
    <x v="1"/>
    <x v="3"/>
    <x v="2"/>
    <x v="0"/>
    <x v="44"/>
    <x v="2"/>
    <x v="22"/>
    <x v="0"/>
    <x v="1"/>
    <x v="0"/>
    <x v="1"/>
    <x v="54"/>
    <x v="54"/>
    <x v="0"/>
  </r>
  <r>
    <x v="147"/>
    <x v="145"/>
    <x v="138"/>
    <x v="11"/>
    <x v="0"/>
    <x v="3"/>
    <x v="0"/>
    <x v="0"/>
    <x v="14"/>
    <x v="3"/>
    <x v="134"/>
    <x v="0"/>
    <x v="11"/>
    <x v="1"/>
    <x v="11"/>
    <x v="83"/>
    <x v="83"/>
    <x v="1"/>
  </r>
  <r>
    <x v="148"/>
    <x v="146"/>
    <x v="139"/>
    <x v="3"/>
    <x v="1"/>
    <x v="2"/>
    <x v="1"/>
    <x v="0"/>
    <x v="18"/>
    <x v="5"/>
    <x v="135"/>
    <x v="0"/>
    <x v="3"/>
    <x v="2"/>
    <x v="3"/>
    <x v="84"/>
    <x v="84"/>
    <x v="1"/>
  </r>
  <r>
    <x v="149"/>
    <x v="147"/>
    <x v="140"/>
    <x v="16"/>
    <x v="1"/>
    <x v="2"/>
    <x v="2"/>
    <x v="0"/>
    <x v="45"/>
    <x v="5"/>
    <x v="136"/>
    <x v="1"/>
    <x v="16"/>
    <x v="1"/>
    <x v="16"/>
    <x v="58"/>
    <x v="58"/>
    <x v="1"/>
  </r>
  <r>
    <x v="150"/>
    <x v="148"/>
    <x v="141"/>
    <x v="14"/>
    <x v="1"/>
    <x v="5"/>
    <x v="1"/>
    <x v="0"/>
    <x v="43"/>
    <x v="7"/>
    <x v="137"/>
    <x v="1"/>
    <x v="14"/>
    <x v="1"/>
    <x v="14"/>
    <x v="26"/>
    <x v="26"/>
    <x v="0"/>
  </r>
  <r>
    <x v="151"/>
    <x v="149"/>
    <x v="142"/>
    <x v="0"/>
    <x v="2"/>
    <x v="3"/>
    <x v="1"/>
    <x v="1"/>
    <x v="23"/>
    <x v="9"/>
    <x v="138"/>
    <x v="0"/>
    <x v="0"/>
    <x v="0"/>
    <x v="0"/>
    <x v="10"/>
    <x v="10"/>
    <x v="0"/>
  </r>
  <r>
    <x v="152"/>
    <x v="150"/>
    <x v="143"/>
    <x v="1"/>
    <x v="1"/>
    <x v="0"/>
    <x v="0"/>
    <x v="0"/>
    <x v="39"/>
    <x v="3"/>
    <x v="139"/>
    <x v="0"/>
    <x v="1"/>
    <x v="0"/>
    <x v="1"/>
    <x v="1"/>
    <x v="1"/>
    <x v="0"/>
  </r>
  <r>
    <x v="153"/>
    <x v="151"/>
    <x v="144"/>
    <x v="1"/>
    <x v="1"/>
    <x v="5"/>
    <x v="0"/>
    <x v="0"/>
    <x v="42"/>
    <x v="2"/>
    <x v="140"/>
    <x v="1"/>
    <x v="1"/>
    <x v="0"/>
    <x v="1"/>
    <x v="85"/>
    <x v="85"/>
    <x v="0"/>
  </r>
  <r>
    <x v="154"/>
    <x v="152"/>
    <x v="145"/>
    <x v="17"/>
    <x v="2"/>
    <x v="4"/>
    <x v="2"/>
    <x v="0"/>
    <x v="6"/>
    <x v="2"/>
    <x v="141"/>
    <x v="1"/>
    <x v="17"/>
    <x v="4"/>
    <x v="17"/>
    <x v="82"/>
    <x v="82"/>
    <x v="1"/>
  </r>
  <r>
    <x v="155"/>
    <x v="153"/>
    <x v="146"/>
    <x v="0"/>
    <x v="2"/>
    <x v="3"/>
    <x v="0"/>
    <x v="0"/>
    <x v="1"/>
    <x v="1"/>
    <x v="142"/>
    <x v="0"/>
    <x v="0"/>
    <x v="0"/>
    <x v="0"/>
    <x v="10"/>
    <x v="10"/>
    <x v="0"/>
  </r>
  <r>
    <x v="156"/>
    <x v="154"/>
    <x v="147"/>
    <x v="14"/>
    <x v="3"/>
    <x v="2"/>
    <x v="3"/>
    <x v="0"/>
    <x v="33"/>
    <x v="2"/>
    <x v="143"/>
    <x v="0"/>
    <x v="14"/>
    <x v="1"/>
    <x v="14"/>
    <x v="65"/>
    <x v="65"/>
    <x v="0"/>
  </r>
  <r>
    <x v="157"/>
    <x v="155"/>
    <x v="148"/>
    <x v="19"/>
    <x v="1"/>
    <x v="0"/>
    <x v="3"/>
    <x v="0"/>
    <x v="23"/>
    <x v="6"/>
    <x v="144"/>
    <x v="2"/>
    <x v="19"/>
    <x v="1"/>
    <x v="19"/>
    <x v="39"/>
    <x v="39"/>
    <x v="0"/>
  </r>
  <r>
    <x v="158"/>
    <x v="156"/>
    <x v="149"/>
    <x v="1"/>
    <x v="1"/>
    <x v="1"/>
    <x v="0"/>
    <x v="0"/>
    <x v="20"/>
    <x v="2"/>
    <x v="145"/>
    <x v="0"/>
    <x v="1"/>
    <x v="0"/>
    <x v="1"/>
    <x v="12"/>
    <x v="12"/>
    <x v="1"/>
  </r>
  <r>
    <x v="159"/>
    <x v="157"/>
    <x v="150"/>
    <x v="11"/>
    <x v="1"/>
    <x v="2"/>
    <x v="2"/>
    <x v="0"/>
    <x v="43"/>
    <x v="8"/>
    <x v="146"/>
    <x v="1"/>
    <x v="11"/>
    <x v="1"/>
    <x v="11"/>
    <x v="86"/>
    <x v="86"/>
    <x v="0"/>
  </r>
  <r>
    <x v="160"/>
    <x v="158"/>
    <x v="151"/>
    <x v="7"/>
    <x v="2"/>
    <x v="3"/>
    <x v="0"/>
    <x v="0"/>
    <x v="16"/>
    <x v="5"/>
    <x v="89"/>
    <x v="0"/>
    <x v="7"/>
    <x v="1"/>
    <x v="7"/>
    <x v="28"/>
    <x v="28"/>
    <x v="0"/>
  </r>
  <r>
    <x v="161"/>
    <x v="159"/>
    <x v="152"/>
    <x v="0"/>
    <x v="1"/>
    <x v="1"/>
    <x v="2"/>
    <x v="0"/>
    <x v="37"/>
    <x v="4"/>
    <x v="147"/>
    <x v="0"/>
    <x v="0"/>
    <x v="0"/>
    <x v="0"/>
    <x v="16"/>
    <x v="16"/>
    <x v="1"/>
  </r>
  <r>
    <x v="162"/>
    <x v="160"/>
    <x v="153"/>
    <x v="14"/>
    <x v="3"/>
    <x v="2"/>
    <x v="0"/>
    <x v="0"/>
    <x v="6"/>
    <x v="6"/>
    <x v="85"/>
    <x v="1"/>
    <x v="14"/>
    <x v="1"/>
    <x v="14"/>
    <x v="65"/>
    <x v="65"/>
    <x v="1"/>
  </r>
  <r>
    <x v="163"/>
    <x v="161"/>
    <x v="154"/>
    <x v="7"/>
    <x v="2"/>
    <x v="2"/>
    <x v="3"/>
    <x v="2"/>
    <x v="21"/>
    <x v="2"/>
    <x v="148"/>
    <x v="1"/>
    <x v="7"/>
    <x v="1"/>
    <x v="7"/>
    <x v="87"/>
    <x v="87"/>
    <x v="1"/>
  </r>
  <r>
    <x v="164"/>
    <x v="162"/>
    <x v="155"/>
    <x v="4"/>
    <x v="4"/>
    <x v="2"/>
    <x v="0"/>
    <x v="0"/>
    <x v="34"/>
    <x v="0"/>
    <x v="149"/>
    <x v="0"/>
    <x v="4"/>
    <x v="0"/>
    <x v="4"/>
    <x v="87"/>
    <x v="87"/>
    <x v="0"/>
  </r>
  <r>
    <x v="165"/>
    <x v="163"/>
    <x v="156"/>
    <x v="0"/>
    <x v="1"/>
    <x v="2"/>
    <x v="1"/>
    <x v="0"/>
    <x v="16"/>
    <x v="3"/>
    <x v="150"/>
    <x v="1"/>
    <x v="0"/>
    <x v="0"/>
    <x v="0"/>
    <x v="43"/>
    <x v="43"/>
    <x v="0"/>
  </r>
  <r>
    <x v="166"/>
    <x v="164"/>
    <x v="157"/>
    <x v="4"/>
    <x v="1"/>
    <x v="0"/>
    <x v="3"/>
    <x v="0"/>
    <x v="22"/>
    <x v="2"/>
    <x v="151"/>
    <x v="0"/>
    <x v="4"/>
    <x v="0"/>
    <x v="4"/>
    <x v="45"/>
    <x v="45"/>
    <x v="1"/>
  </r>
  <r>
    <x v="167"/>
    <x v="165"/>
    <x v="158"/>
    <x v="5"/>
    <x v="2"/>
    <x v="2"/>
    <x v="2"/>
    <x v="0"/>
    <x v="13"/>
    <x v="2"/>
    <x v="152"/>
    <x v="1"/>
    <x v="5"/>
    <x v="2"/>
    <x v="5"/>
    <x v="26"/>
    <x v="26"/>
    <x v="1"/>
  </r>
  <r>
    <x v="168"/>
    <x v="166"/>
    <x v="125"/>
    <x v="8"/>
    <x v="1"/>
    <x v="3"/>
    <x v="0"/>
    <x v="0"/>
    <x v="9"/>
    <x v="6"/>
    <x v="153"/>
    <x v="2"/>
    <x v="8"/>
    <x v="1"/>
    <x v="8"/>
    <x v="10"/>
    <x v="10"/>
    <x v="0"/>
  </r>
  <r>
    <x v="169"/>
    <x v="167"/>
    <x v="159"/>
    <x v="4"/>
    <x v="1"/>
    <x v="5"/>
    <x v="0"/>
    <x v="2"/>
    <x v="47"/>
    <x v="2"/>
    <x v="154"/>
    <x v="1"/>
    <x v="4"/>
    <x v="0"/>
    <x v="4"/>
    <x v="70"/>
    <x v="70"/>
    <x v="0"/>
  </r>
  <r>
    <x v="170"/>
    <x v="168"/>
    <x v="160"/>
    <x v="19"/>
    <x v="1"/>
    <x v="0"/>
    <x v="0"/>
    <x v="0"/>
    <x v="6"/>
    <x v="2"/>
    <x v="155"/>
    <x v="1"/>
    <x v="19"/>
    <x v="1"/>
    <x v="19"/>
    <x v="39"/>
    <x v="39"/>
    <x v="0"/>
  </r>
  <r>
    <x v="171"/>
    <x v="169"/>
    <x v="161"/>
    <x v="9"/>
    <x v="0"/>
    <x v="2"/>
    <x v="0"/>
    <x v="0"/>
    <x v="29"/>
    <x v="7"/>
    <x v="156"/>
    <x v="0"/>
    <x v="9"/>
    <x v="0"/>
    <x v="9"/>
    <x v="88"/>
    <x v="88"/>
    <x v="1"/>
  </r>
  <r>
    <x v="172"/>
    <x v="170"/>
    <x v="39"/>
    <x v="6"/>
    <x v="1"/>
    <x v="3"/>
    <x v="3"/>
    <x v="0"/>
    <x v="44"/>
    <x v="2"/>
    <x v="142"/>
    <x v="0"/>
    <x v="6"/>
    <x v="0"/>
    <x v="6"/>
    <x v="6"/>
    <x v="6"/>
    <x v="0"/>
  </r>
  <r>
    <x v="173"/>
    <x v="171"/>
    <x v="162"/>
    <x v="2"/>
    <x v="2"/>
    <x v="0"/>
    <x v="2"/>
    <x v="0"/>
    <x v="17"/>
    <x v="6"/>
    <x v="157"/>
    <x v="1"/>
    <x v="2"/>
    <x v="1"/>
    <x v="2"/>
    <x v="88"/>
    <x v="88"/>
    <x v="0"/>
  </r>
  <r>
    <x v="174"/>
    <x v="172"/>
    <x v="163"/>
    <x v="10"/>
    <x v="1"/>
    <x v="5"/>
    <x v="1"/>
    <x v="0"/>
    <x v="6"/>
    <x v="4"/>
    <x v="135"/>
    <x v="0"/>
    <x v="10"/>
    <x v="3"/>
    <x v="10"/>
    <x v="20"/>
    <x v="20"/>
    <x v="1"/>
  </r>
  <r>
    <x v="175"/>
    <x v="173"/>
    <x v="164"/>
    <x v="4"/>
    <x v="1"/>
    <x v="2"/>
    <x v="0"/>
    <x v="0"/>
    <x v="11"/>
    <x v="0"/>
    <x v="158"/>
    <x v="0"/>
    <x v="4"/>
    <x v="0"/>
    <x v="4"/>
    <x v="15"/>
    <x v="15"/>
    <x v="0"/>
  </r>
  <r>
    <x v="176"/>
    <x v="174"/>
    <x v="165"/>
    <x v="1"/>
    <x v="1"/>
    <x v="3"/>
    <x v="2"/>
    <x v="0"/>
    <x v="26"/>
    <x v="4"/>
    <x v="159"/>
    <x v="1"/>
    <x v="1"/>
    <x v="0"/>
    <x v="1"/>
    <x v="54"/>
    <x v="54"/>
    <x v="1"/>
  </r>
  <r>
    <x v="177"/>
    <x v="175"/>
    <x v="166"/>
    <x v="12"/>
    <x v="2"/>
    <x v="2"/>
    <x v="0"/>
    <x v="0"/>
    <x v="27"/>
    <x v="3"/>
    <x v="160"/>
    <x v="0"/>
    <x v="12"/>
    <x v="4"/>
    <x v="12"/>
    <x v="38"/>
    <x v="38"/>
    <x v="1"/>
  </r>
  <r>
    <x v="178"/>
    <x v="176"/>
    <x v="167"/>
    <x v="0"/>
    <x v="1"/>
    <x v="0"/>
    <x v="3"/>
    <x v="0"/>
    <x v="41"/>
    <x v="0"/>
    <x v="161"/>
    <x v="0"/>
    <x v="0"/>
    <x v="0"/>
    <x v="0"/>
    <x v="55"/>
    <x v="55"/>
    <x v="0"/>
  </r>
  <r>
    <x v="179"/>
    <x v="177"/>
    <x v="168"/>
    <x v="19"/>
    <x v="1"/>
    <x v="3"/>
    <x v="0"/>
    <x v="0"/>
    <x v="42"/>
    <x v="6"/>
    <x v="162"/>
    <x v="0"/>
    <x v="19"/>
    <x v="1"/>
    <x v="19"/>
    <x v="52"/>
    <x v="52"/>
    <x v="0"/>
  </r>
  <r>
    <x v="180"/>
    <x v="178"/>
    <x v="89"/>
    <x v="6"/>
    <x v="3"/>
    <x v="3"/>
    <x v="0"/>
    <x v="0"/>
    <x v="8"/>
    <x v="2"/>
    <x v="98"/>
    <x v="1"/>
    <x v="6"/>
    <x v="0"/>
    <x v="6"/>
    <x v="77"/>
    <x v="77"/>
    <x v="1"/>
  </r>
  <r>
    <x v="181"/>
    <x v="179"/>
    <x v="169"/>
    <x v="10"/>
    <x v="1"/>
    <x v="2"/>
    <x v="0"/>
    <x v="0"/>
    <x v="25"/>
    <x v="1"/>
    <x v="163"/>
    <x v="1"/>
    <x v="10"/>
    <x v="3"/>
    <x v="10"/>
    <x v="16"/>
    <x v="16"/>
    <x v="1"/>
  </r>
  <r>
    <x v="182"/>
    <x v="180"/>
    <x v="118"/>
    <x v="14"/>
    <x v="1"/>
    <x v="2"/>
    <x v="0"/>
    <x v="0"/>
    <x v="36"/>
    <x v="2"/>
    <x v="164"/>
    <x v="0"/>
    <x v="14"/>
    <x v="1"/>
    <x v="14"/>
    <x v="78"/>
    <x v="78"/>
    <x v="1"/>
  </r>
  <r>
    <x v="183"/>
    <x v="181"/>
    <x v="135"/>
    <x v="0"/>
    <x v="3"/>
    <x v="1"/>
    <x v="0"/>
    <x v="0"/>
    <x v="6"/>
    <x v="5"/>
    <x v="165"/>
    <x v="0"/>
    <x v="0"/>
    <x v="0"/>
    <x v="0"/>
    <x v="18"/>
    <x v="18"/>
    <x v="0"/>
  </r>
  <r>
    <x v="184"/>
    <x v="182"/>
    <x v="170"/>
    <x v="2"/>
    <x v="1"/>
    <x v="3"/>
    <x v="3"/>
    <x v="0"/>
    <x v="6"/>
    <x v="6"/>
    <x v="166"/>
    <x v="0"/>
    <x v="2"/>
    <x v="1"/>
    <x v="2"/>
    <x v="36"/>
    <x v="36"/>
    <x v="1"/>
  </r>
  <r>
    <x v="185"/>
    <x v="183"/>
    <x v="171"/>
    <x v="1"/>
    <x v="2"/>
    <x v="5"/>
    <x v="0"/>
    <x v="0"/>
    <x v="3"/>
    <x v="7"/>
    <x v="126"/>
    <x v="0"/>
    <x v="1"/>
    <x v="0"/>
    <x v="1"/>
    <x v="48"/>
    <x v="48"/>
    <x v="0"/>
  </r>
  <r>
    <x v="186"/>
    <x v="184"/>
    <x v="172"/>
    <x v="7"/>
    <x v="1"/>
    <x v="0"/>
    <x v="1"/>
    <x v="0"/>
    <x v="11"/>
    <x v="2"/>
    <x v="167"/>
    <x v="2"/>
    <x v="7"/>
    <x v="1"/>
    <x v="7"/>
    <x v="0"/>
    <x v="0"/>
    <x v="1"/>
  </r>
  <r>
    <x v="187"/>
    <x v="185"/>
    <x v="173"/>
    <x v="3"/>
    <x v="2"/>
    <x v="2"/>
    <x v="3"/>
    <x v="0"/>
    <x v="15"/>
    <x v="7"/>
    <x v="70"/>
    <x v="1"/>
    <x v="3"/>
    <x v="2"/>
    <x v="3"/>
    <x v="89"/>
    <x v="89"/>
    <x v="0"/>
  </r>
  <r>
    <x v="188"/>
    <x v="186"/>
    <x v="174"/>
    <x v="18"/>
    <x v="1"/>
    <x v="0"/>
    <x v="1"/>
    <x v="0"/>
    <x v="42"/>
    <x v="7"/>
    <x v="168"/>
    <x v="0"/>
    <x v="18"/>
    <x v="1"/>
    <x v="18"/>
    <x v="90"/>
    <x v="90"/>
    <x v="0"/>
  </r>
  <r>
    <x v="189"/>
    <x v="187"/>
    <x v="175"/>
    <x v="4"/>
    <x v="1"/>
    <x v="3"/>
    <x v="0"/>
    <x v="0"/>
    <x v="14"/>
    <x v="6"/>
    <x v="169"/>
    <x v="1"/>
    <x v="4"/>
    <x v="0"/>
    <x v="4"/>
    <x v="45"/>
    <x v="45"/>
    <x v="1"/>
  </r>
  <r>
    <x v="190"/>
    <x v="188"/>
    <x v="176"/>
    <x v="10"/>
    <x v="2"/>
    <x v="3"/>
    <x v="2"/>
    <x v="0"/>
    <x v="47"/>
    <x v="2"/>
    <x v="170"/>
    <x v="0"/>
    <x v="10"/>
    <x v="3"/>
    <x v="10"/>
    <x v="45"/>
    <x v="45"/>
    <x v="0"/>
  </r>
  <r>
    <x v="191"/>
    <x v="189"/>
    <x v="56"/>
    <x v="9"/>
    <x v="1"/>
    <x v="3"/>
    <x v="2"/>
    <x v="0"/>
    <x v="32"/>
    <x v="2"/>
    <x v="171"/>
    <x v="1"/>
    <x v="9"/>
    <x v="0"/>
    <x v="9"/>
    <x v="37"/>
    <x v="37"/>
    <x v="0"/>
  </r>
  <r>
    <x v="192"/>
    <x v="190"/>
    <x v="163"/>
    <x v="4"/>
    <x v="1"/>
    <x v="3"/>
    <x v="0"/>
    <x v="0"/>
    <x v="11"/>
    <x v="2"/>
    <x v="172"/>
    <x v="0"/>
    <x v="4"/>
    <x v="0"/>
    <x v="4"/>
    <x v="45"/>
    <x v="45"/>
    <x v="1"/>
  </r>
  <r>
    <x v="193"/>
    <x v="191"/>
    <x v="177"/>
    <x v="4"/>
    <x v="2"/>
    <x v="0"/>
    <x v="2"/>
    <x v="1"/>
    <x v="12"/>
    <x v="3"/>
    <x v="173"/>
    <x v="0"/>
    <x v="4"/>
    <x v="0"/>
    <x v="4"/>
    <x v="63"/>
    <x v="63"/>
    <x v="0"/>
  </r>
  <r>
    <x v="194"/>
    <x v="192"/>
    <x v="178"/>
    <x v="5"/>
    <x v="1"/>
    <x v="3"/>
    <x v="0"/>
    <x v="0"/>
    <x v="24"/>
    <x v="2"/>
    <x v="31"/>
    <x v="0"/>
    <x v="5"/>
    <x v="2"/>
    <x v="5"/>
    <x v="91"/>
    <x v="91"/>
    <x v="0"/>
  </r>
  <r>
    <x v="195"/>
    <x v="193"/>
    <x v="179"/>
    <x v="5"/>
    <x v="2"/>
    <x v="2"/>
    <x v="0"/>
    <x v="0"/>
    <x v="26"/>
    <x v="5"/>
    <x v="174"/>
    <x v="1"/>
    <x v="5"/>
    <x v="2"/>
    <x v="5"/>
    <x v="26"/>
    <x v="26"/>
    <x v="0"/>
  </r>
  <r>
    <x v="196"/>
    <x v="194"/>
    <x v="173"/>
    <x v="4"/>
    <x v="2"/>
    <x v="0"/>
    <x v="2"/>
    <x v="0"/>
    <x v="25"/>
    <x v="7"/>
    <x v="175"/>
    <x v="2"/>
    <x v="4"/>
    <x v="0"/>
    <x v="4"/>
    <x v="63"/>
    <x v="63"/>
    <x v="0"/>
  </r>
  <r>
    <x v="197"/>
    <x v="195"/>
    <x v="149"/>
    <x v="8"/>
    <x v="3"/>
    <x v="2"/>
    <x v="0"/>
    <x v="0"/>
    <x v="27"/>
    <x v="5"/>
    <x v="176"/>
    <x v="1"/>
    <x v="8"/>
    <x v="1"/>
    <x v="8"/>
    <x v="41"/>
    <x v="41"/>
    <x v="1"/>
  </r>
  <r>
    <x v="198"/>
    <x v="196"/>
    <x v="180"/>
    <x v="17"/>
    <x v="2"/>
    <x v="2"/>
    <x v="0"/>
    <x v="2"/>
    <x v="24"/>
    <x v="4"/>
    <x v="177"/>
    <x v="1"/>
    <x v="17"/>
    <x v="4"/>
    <x v="17"/>
    <x v="92"/>
    <x v="92"/>
    <x v="1"/>
  </r>
  <r>
    <x v="199"/>
    <x v="197"/>
    <x v="181"/>
    <x v="4"/>
    <x v="1"/>
    <x v="2"/>
    <x v="3"/>
    <x v="0"/>
    <x v="12"/>
    <x v="2"/>
    <x v="178"/>
    <x v="1"/>
    <x v="4"/>
    <x v="0"/>
    <x v="4"/>
    <x v="15"/>
    <x v="15"/>
    <x v="0"/>
  </r>
  <r>
    <x v="200"/>
    <x v="198"/>
    <x v="182"/>
    <x v="10"/>
    <x v="1"/>
    <x v="5"/>
    <x v="0"/>
    <x v="0"/>
    <x v="13"/>
    <x v="1"/>
    <x v="132"/>
    <x v="1"/>
    <x v="10"/>
    <x v="3"/>
    <x v="10"/>
    <x v="20"/>
    <x v="20"/>
    <x v="0"/>
  </r>
  <r>
    <x v="201"/>
    <x v="199"/>
    <x v="183"/>
    <x v="0"/>
    <x v="1"/>
    <x v="2"/>
    <x v="2"/>
    <x v="0"/>
    <x v="36"/>
    <x v="3"/>
    <x v="179"/>
    <x v="2"/>
    <x v="0"/>
    <x v="0"/>
    <x v="0"/>
    <x v="43"/>
    <x v="43"/>
    <x v="0"/>
  </r>
  <r>
    <x v="202"/>
    <x v="200"/>
    <x v="184"/>
    <x v="15"/>
    <x v="2"/>
    <x v="2"/>
    <x v="2"/>
    <x v="0"/>
    <x v="37"/>
    <x v="0"/>
    <x v="72"/>
    <x v="0"/>
    <x v="15"/>
    <x v="5"/>
    <x v="15"/>
    <x v="93"/>
    <x v="93"/>
    <x v="0"/>
  </r>
  <r>
    <x v="203"/>
    <x v="201"/>
    <x v="45"/>
    <x v="16"/>
    <x v="1"/>
    <x v="3"/>
    <x v="0"/>
    <x v="0"/>
    <x v="14"/>
    <x v="6"/>
    <x v="74"/>
    <x v="0"/>
    <x v="16"/>
    <x v="1"/>
    <x v="16"/>
    <x v="56"/>
    <x v="56"/>
    <x v="1"/>
  </r>
  <r>
    <x v="204"/>
    <x v="202"/>
    <x v="185"/>
    <x v="1"/>
    <x v="3"/>
    <x v="3"/>
    <x v="1"/>
    <x v="0"/>
    <x v="36"/>
    <x v="2"/>
    <x v="180"/>
    <x v="1"/>
    <x v="1"/>
    <x v="0"/>
    <x v="1"/>
    <x v="49"/>
    <x v="49"/>
    <x v="1"/>
  </r>
  <r>
    <x v="205"/>
    <x v="203"/>
    <x v="186"/>
    <x v="11"/>
    <x v="1"/>
    <x v="5"/>
    <x v="3"/>
    <x v="0"/>
    <x v="3"/>
    <x v="5"/>
    <x v="181"/>
    <x v="0"/>
    <x v="11"/>
    <x v="1"/>
    <x v="11"/>
    <x v="94"/>
    <x v="94"/>
    <x v="0"/>
  </r>
  <r>
    <x v="206"/>
    <x v="204"/>
    <x v="187"/>
    <x v="17"/>
    <x v="1"/>
    <x v="2"/>
    <x v="1"/>
    <x v="0"/>
    <x v="5"/>
    <x v="2"/>
    <x v="182"/>
    <x v="0"/>
    <x v="17"/>
    <x v="4"/>
    <x v="17"/>
    <x v="49"/>
    <x v="49"/>
    <x v="0"/>
  </r>
  <r>
    <x v="207"/>
    <x v="205"/>
    <x v="188"/>
    <x v="1"/>
    <x v="2"/>
    <x v="2"/>
    <x v="0"/>
    <x v="0"/>
    <x v="30"/>
    <x v="2"/>
    <x v="183"/>
    <x v="1"/>
    <x v="1"/>
    <x v="0"/>
    <x v="1"/>
    <x v="61"/>
    <x v="61"/>
    <x v="1"/>
  </r>
  <r>
    <x v="208"/>
    <x v="206"/>
    <x v="66"/>
    <x v="4"/>
    <x v="1"/>
    <x v="0"/>
    <x v="0"/>
    <x v="0"/>
    <x v="3"/>
    <x v="2"/>
    <x v="184"/>
    <x v="1"/>
    <x v="4"/>
    <x v="0"/>
    <x v="4"/>
    <x v="45"/>
    <x v="45"/>
    <x v="1"/>
  </r>
  <r>
    <x v="209"/>
    <x v="207"/>
    <x v="40"/>
    <x v="4"/>
    <x v="1"/>
    <x v="0"/>
    <x v="0"/>
    <x v="0"/>
    <x v="16"/>
    <x v="2"/>
    <x v="155"/>
    <x v="0"/>
    <x v="4"/>
    <x v="0"/>
    <x v="4"/>
    <x v="45"/>
    <x v="45"/>
    <x v="1"/>
  </r>
  <r>
    <x v="210"/>
    <x v="208"/>
    <x v="189"/>
    <x v="1"/>
    <x v="1"/>
    <x v="0"/>
    <x v="0"/>
    <x v="0"/>
    <x v="14"/>
    <x v="0"/>
    <x v="185"/>
    <x v="0"/>
    <x v="1"/>
    <x v="0"/>
    <x v="1"/>
    <x v="1"/>
    <x v="1"/>
    <x v="0"/>
  </r>
  <r>
    <x v="211"/>
    <x v="209"/>
    <x v="190"/>
    <x v="4"/>
    <x v="1"/>
    <x v="0"/>
    <x v="1"/>
    <x v="0"/>
    <x v="18"/>
    <x v="6"/>
    <x v="186"/>
    <x v="2"/>
    <x v="4"/>
    <x v="0"/>
    <x v="4"/>
    <x v="45"/>
    <x v="45"/>
    <x v="1"/>
  </r>
  <r>
    <x v="212"/>
    <x v="210"/>
    <x v="191"/>
    <x v="1"/>
    <x v="3"/>
    <x v="0"/>
    <x v="0"/>
    <x v="0"/>
    <x v="32"/>
    <x v="6"/>
    <x v="187"/>
    <x v="1"/>
    <x v="1"/>
    <x v="0"/>
    <x v="1"/>
    <x v="95"/>
    <x v="95"/>
    <x v="0"/>
  </r>
  <r>
    <x v="213"/>
    <x v="211"/>
    <x v="192"/>
    <x v="10"/>
    <x v="1"/>
    <x v="3"/>
    <x v="0"/>
    <x v="0"/>
    <x v="19"/>
    <x v="9"/>
    <x v="188"/>
    <x v="2"/>
    <x v="10"/>
    <x v="3"/>
    <x v="10"/>
    <x v="16"/>
    <x v="16"/>
    <x v="0"/>
  </r>
  <r>
    <x v="214"/>
    <x v="212"/>
    <x v="193"/>
    <x v="14"/>
    <x v="1"/>
    <x v="5"/>
    <x v="0"/>
    <x v="0"/>
    <x v="10"/>
    <x v="2"/>
    <x v="189"/>
    <x v="0"/>
    <x v="14"/>
    <x v="1"/>
    <x v="14"/>
    <x v="26"/>
    <x v="26"/>
    <x v="0"/>
  </r>
  <r>
    <x v="215"/>
    <x v="213"/>
    <x v="145"/>
    <x v="1"/>
    <x v="2"/>
    <x v="2"/>
    <x v="2"/>
    <x v="0"/>
    <x v="6"/>
    <x v="4"/>
    <x v="190"/>
    <x v="0"/>
    <x v="1"/>
    <x v="0"/>
    <x v="1"/>
    <x v="61"/>
    <x v="61"/>
    <x v="1"/>
  </r>
  <r>
    <x v="216"/>
    <x v="214"/>
    <x v="194"/>
    <x v="10"/>
    <x v="1"/>
    <x v="5"/>
    <x v="1"/>
    <x v="2"/>
    <x v="14"/>
    <x v="6"/>
    <x v="191"/>
    <x v="0"/>
    <x v="10"/>
    <x v="3"/>
    <x v="10"/>
    <x v="20"/>
    <x v="20"/>
    <x v="0"/>
  </r>
  <r>
    <x v="217"/>
    <x v="215"/>
    <x v="195"/>
    <x v="18"/>
    <x v="2"/>
    <x v="5"/>
    <x v="2"/>
    <x v="0"/>
    <x v="0"/>
    <x v="4"/>
    <x v="192"/>
    <x v="1"/>
    <x v="18"/>
    <x v="1"/>
    <x v="18"/>
    <x v="96"/>
    <x v="96"/>
    <x v="0"/>
  </r>
  <r>
    <x v="218"/>
    <x v="216"/>
    <x v="196"/>
    <x v="14"/>
    <x v="0"/>
    <x v="5"/>
    <x v="0"/>
    <x v="0"/>
    <x v="32"/>
    <x v="8"/>
    <x v="108"/>
    <x v="0"/>
    <x v="14"/>
    <x v="1"/>
    <x v="14"/>
    <x v="97"/>
    <x v="97"/>
    <x v="0"/>
  </r>
  <r>
    <x v="219"/>
    <x v="217"/>
    <x v="197"/>
    <x v="9"/>
    <x v="3"/>
    <x v="5"/>
    <x v="0"/>
    <x v="0"/>
    <x v="43"/>
    <x v="5"/>
    <x v="193"/>
    <x v="2"/>
    <x v="9"/>
    <x v="0"/>
    <x v="9"/>
    <x v="48"/>
    <x v="48"/>
    <x v="0"/>
  </r>
  <r>
    <x v="220"/>
    <x v="218"/>
    <x v="198"/>
    <x v="8"/>
    <x v="1"/>
    <x v="2"/>
    <x v="2"/>
    <x v="0"/>
    <x v="46"/>
    <x v="9"/>
    <x v="31"/>
    <x v="1"/>
    <x v="8"/>
    <x v="1"/>
    <x v="8"/>
    <x v="17"/>
    <x v="17"/>
    <x v="1"/>
  </r>
  <r>
    <x v="221"/>
    <x v="219"/>
    <x v="199"/>
    <x v="12"/>
    <x v="1"/>
    <x v="0"/>
    <x v="0"/>
    <x v="0"/>
    <x v="35"/>
    <x v="4"/>
    <x v="65"/>
    <x v="0"/>
    <x v="12"/>
    <x v="4"/>
    <x v="12"/>
    <x v="2"/>
    <x v="2"/>
    <x v="0"/>
  </r>
  <r>
    <x v="222"/>
    <x v="220"/>
    <x v="200"/>
    <x v="1"/>
    <x v="2"/>
    <x v="0"/>
    <x v="3"/>
    <x v="2"/>
    <x v="20"/>
    <x v="2"/>
    <x v="194"/>
    <x v="0"/>
    <x v="1"/>
    <x v="0"/>
    <x v="1"/>
    <x v="11"/>
    <x v="11"/>
    <x v="1"/>
  </r>
  <r>
    <x v="223"/>
    <x v="221"/>
    <x v="201"/>
    <x v="10"/>
    <x v="1"/>
    <x v="5"/>
    <x v="0"/>
    <x v="0"/>
    <x v="22"/>
    <x v="6"/>
    <x v="69"/>
    <x v="0"/>
    <x v="10"/>
    <x v="3"/>
    <x v="10"/>
    <x v="20"/>
    <x v="20"/>
    <x v="0"/>
  </r>
  <r>
    <x v="224"/>
    <x v="222"/>
    <x v="202"/>
    <x v="10"/>
    <x v="1"/>
    <x v="2"/>
    <x v="0"/>
    <x v="0"/>
    <x v="46"/>
    <x v="2"/>
    <x v="40"/>
    <x v="1"/>
    <x v="10"/>
    <x v="3"/>
    <x v="10"/>
    <x v="16"/>
    <x v="16"/>
    <x v="1"/>
  </r>
  <r>
    <x v="225"/>
    <x v="223"/>
    <x v="203"/>
    <x v="11"/>
    <x v="2"/>
    <x v="3"/>
    <x v="1"/>
    <x v="0"/>
    <x v="30"/>
    <x v="3"/>
    <x v="149"/>
    <x v="1"/>
    <x v="11"/>
    <x v="1"/>
    <x v="11"/>
    <x v="98"/>
    <x v="98"/>
    <x v="1"/>
  </r>
  <r>
    <x v="226"/>
    <x v="224"/>
    <x v="204"/>
    <x v="15"/>
    <x v="2"/>
    <x v="2"/>
    <x v="0"/>
    <x v="0"/>
    <x v="40"/>
    <x v="1"/>
    <x v="195"/>
    <x v="0"/>
    <x v="15"/>
    <x v="5"/>
    <x v="15"/>
    <x v="93"/>
    <x v="93"/>
    <x v="0"/>
  </r>
  <r>
    <x v="227"/>
    <x v="225"/>
    <x v="205"/>
    <x v="8"/>
    <x v="1"/>
    <x v="5"/>
    <x v="2"/>
    <x v="0"/>
    <x v="38"/>
    <x v="5"/>
    <x v="196"/>
    <x v="1"/>
    <x v="8"/>
    <x v="1"/>
    <x v="8"/>
    <x v="76"/>
    <x v="76"/>
    <x v="0"/>
  </r>
  <r>
    <x v="228"/>
    <x v="226"/>
    <x v="206"/>
    <x v="2"/>
    <x v="1"/>
    <x v="3"/>
    <x v="1"/>
    <x v="0"/>
    <x v="16"/>
    <x v="1"/>
    <x v="197"/>
    <x v="1"/>
    <x v="2"/>
    <x v="1"/>
    <x v="2"/>
    <x v="36"/>
    <x v="36"/>
    <x v="1"/>
  </r>
  <r>
    <x v="229"/>
    <x v="227"/>
    <x v="76"/>
    <x v="1"/>
    <x v="3"/>
    <x v="2"/>
    <x v="2"/>
    <x v="0"/>
    <x v="29"/>
    <x v="6"/>
    <x v="198"/>
    <x v="0"/>
    <x v="1"/>
    <x v="0"/>
    <x v="1"/>
    <x v="75"/>
    <x v="75"/>
    <x v="0"/>
  </r>
  <r>
    <x v="230"/>
    <x v="228"/>
    <x v="207"/>
    <x v="9"/>
    <x v="2"/>
    <x v="0"/>
    <x v="2"/>
    <x v="0"/>
    <x v="24"/>
    <x v="2"/>
    <x v="65"/>
    <x v="1"/>
    <x v="9"/>
    <x v="0"/>
    <x v="9"/>
    <x v="2"/>
    <x v="2"/>
    <x v="0"/>
  </r>
  <r>
    <x v="231"/>
    <x v="229"/>
    <x v="208"/>
    <x v="0"/>
    <x v="2"/>
    <x v="2"/>
    <x v="3"/>
    <x v="0"/>
    <x v="45"/>
    <x v="1"/>
    <x v="173"/>
    <x v="0"/>
    <x v="0"/>
    <x v="0"/>
    <x v="0"/>
    <x v="17"/>
    <x v="17"/>
    <x v="1"/>
  </r>
  <r>
    <x v="232"/>
    <x v="230"/>
    <x v="150"/>
    <x v="14"/>
    <x v="1"/>
    <x v="0"/>
    <x v="0"/>
    <x v="0"/>
    <x v="4"/>
    <x v="6"/>
    <x v="199"/>
    <x v="1"/>
    <x v="14"/>
    <x v="1"/>
    <x v="14"/>
    <x v="35"/>
    <x v="35"/>
    <x v="0"/>
  </r>
  <r>
    <x v="233"/>
    <x v="231"/>
    <x v="209"/>
    <x v="8"/>
    <x v="2"/>
    <x v="1"/>
    <x v="0"/>
    <x v="2"/>
    <x v="9"/>
    <x v="1"/>
    <x v="200"/>
    <x v="0"/>
    <x v="8"/>
    <x v="1"/>
    <x v="8"/>
    <x v="99"/>
    <x v="99"/>
    <x v="0"/>
  </r>
  <r>
    <x v="234"/>
    <x v="232"/>
    <x v="126"/>
    <x v="5"/>
    <x v="2"/>
    <x v="0"/>
    <x v="3"/>
    <x v="0"/>
    <x v="43"/>
    <x v="2"/>
    <x v="201"/>
    <x v="2"/>
    <x v="5"/>
    <x v="2"/>
    <x v="5"/>
    <x v="57"/>
    <x v="57"/>
    <x v="0"/>
  </r>
  <r>
    <x v="235"/>
    <x v="233"/>
    <x v="210"/>
    <x v="4"/>
    <x v="1"/>
    <x v="2"/>
    <x v="0"/>
    <x v="0"/>
    <x v="33"/>
    <x v="2"/>
    <x v="202"/>
    <x v="0"/>
    <x v="4"/>
    <x v="0"/>
    <x v="4"/>
    <x v="15"/>
    <x v="15"/>
    <x v="0"/>
  </r>
  <r>
    <x v="236"/>
    <x v="234"/>
    <x v="211"/>
    <x v="7"/>
    <x v="2"/>
    <x v="2"/>
    <x v="1"/>
    <x v="1"/>
    <x v="34"/>
    <x v="7"/>
    <x v="203"/>
    <x v="0"/>
    <x v="7"/>
    <x v="1"/>
    <x v="7"/>
    <x v="87"/>
    <x v="87"/>
    <x v="1"/>
  </r>
  <r>
    <x v="237"/>
    <x v="235"/>
    <x v="212"/>
    <x v="18"/>
    <x v="1"/>
    <x v="2"/>
    <x v="0"/>
    <x v="0"/>
    <x v="0"/>
    <x v="4"/>
    <x v="204"/>
    <x v="0"/>
    <x v="18"/>
    <x v="1"/>
    <x v="18"/>
    <x v="57"/>
    <x v="57"/>
    <x v="0"/>
  </r>
  <r>
    <x v="238"/>
    <x v="236"/>
    <x v="213"/>
    <x v="10"/>
    <x v="1"/>
    <x v="2"/>
    <x v="3"/>
    <x v="0"/>
    <x v="21"/>
    <x v="3"/>
    <x v="205"/>
    <x v="0"/>
    <x v="10"/>
    <x v="3"/>
    <x v="10"/>
    <x v="16"/>
    <x v="16"/>
    <x v="0"/>
  </r>
  <r>
    <x v="239"/>
    <x v="237"/>
    <x v="214"/>
    <x v="10"/>
    <x v="2"/>
    <x v="3"/>
    <x v="3"/>
    <x v="0"/>
    <x v="38"/>
    <x v="2"/>
    <x v="206"/>
    <x v="0"/>
    <x v="10"/>
    <x v="3"/>
    <x v="10"/>
    <x v="45"/>
    <x v="45"/>
    <x v="0"/>
  </r>
  <r>
    <x v="240"/>
    <x v="238"/>
    <x v="215"/>
    <x v="16"/>
    <x v="1"/>
    <x v="2"/>
    <x v="0"/>
    <x v="0"/>
    <x v="30"/>
    <x v="9"/>
    <x v="207"/>
    <x v="0"/>
    <x v="16"/>
    <x v="1"/>
    <x v="16"/>
    <x v="58"/>
    <x v="58"/>
    <x v="1"/>
  </r>
  <r>
    <x v="241"/>
    <x v="239"/>
    <x v="121"/>
    <x v="9"/>
    <x v="3"/>
    <x v="2"/>
    <x v="3"/>
    <x v="0"/>
    <x v="19"/>
    <x v="6"/>
    <x v="208"/>
    <x v="0"/>
    <x v="9"/>
    <x v="0"/>
    <x v="9"/>
    <x v="61"/>
    <x v="61"/>
    <x v="0"/>
  </r>
  <r>
    <x v="242"/>
    <x v="240"/>
    <x v="216"/>
    <x v="9"/>
    <x v="1"/>
    <x v="5"/>
    <x v="2"/>
    <x v="0"/>
    <x v="6"/>
    <x v="3"/>
    <x v="209"/>
    <x v="0"/>
    <x v="9"/>
    <x v="0"/>
    <x v="9"/>
    <x v="59"/>
    <x v="59"/>
    <x v="0"/>
  </r>
  <r>
    <x v="243"/>
    <x v="241"/>
    <x v="217"/>
    <x v="1"/>
    <x v="2"/>
    <x v="2"/>
    <x v="0"/>
    <x v="0"/>
    <x v="10"/>
    <x v="2"/>
    <x v="171"/>
    <x v="0"/>
    <x v="1"/>
    <x v="0"/>
    <x v="1"/>
    <x v="61"/>
    <x v="61"/>
    <x v="0"/>
  </r>
  <r>
    <x v="244"/>
    <x v="242"/>
    <x v="218"/>
    <x v="7"/>
    <x v="1"/>
    <x v="3"/>
    <x v="0"/>
    <x v="0"/>
    <x v="10"/>
    <x v="5"/>
    <x v="210"/>
    <x v="0"/>
    <x v="7"/>
    <x v="1"/>
    <x v="7"/>
    <x v="31"/>
    <x v="31"/>
    <x v="1"/>
  </r>
  <r>
    <x v="245"/>
    <x v="243"/>
    <x v="219"/>
    <x v="13"/>
    <x v="1"/>
    <x v="2"/>
    <x v="2"/>
    <x v="2"/>
    <x v="44"/>
    <x v="1"/>
    <x v="211"/>
    <x v="2"/>
    <x v="13"/>
    <x v="1"/>
    <x v="13"/>
    <x v="74"/>
    <x v="74"/>
    <x v="0"/>
  </r>
  <r>
    <x v="246"/>
    <x v="244"/>
    <x v="220"/>
    <x v="7"/>
    <x v="2"/>
    <x v="3"/>
    <x v="2"/>
    <x v="0"/>
    <x v="46"/>
    <x v="2"/>
    <x v="212"/>
    <x v="2"/>
    <x v="7"/>
    <x v="1"/>
    <x v="7"/>
    <x v="28"/>
    <x v="28"/>
    <x v="1"/>
  </r>
  <r>
    <x v="247"/>
    <x v="245"/>
    <x v="221"/>
    <x v="0"/>
    <x v="3"/>
    <x v="3"/>
    <x v="2"/>
    <x v="0"/>
    <x v="47"/>
    <x v="2"/>
    <x v="213"/>
    <x v="0"/>
    <x v="0"/>
    <x v="0"/>
    <x v="0"/>
    <x v="40"/>
    <x v="40"/>
    <x v="0"/>
  </r>
  <r>
    <x v="248"/>
    <x v="246"/>
    <x v="222"/>
    <x v="4"/>
    <x v="1"/>
    <x v="3"/>
    <x v="3"/>
    <x v="0"/>
    <x v="47"/>
    <x v="4"/>
    <x v="203"/>
    <x v="1"/>
    <x v="4"/>
    <x v="0"/>
    <x v="4"/>
    <x v="45"/>
    <x v="45"/>
    <x v="1"/>
  </r>
  <r>
    <x v="249"/>
    <x v="247"/>
    <x v="223"/>
    <x v="8"/>
    <x v="3"/>
    <x v="0"/>
    <x v="0"/>
    <x v="0"/>
    <x v="18"/>
    <x v="1"/>
    <x v="214"/>
    <x v="0"/>
    <x v="8"/>
    <x v="1"/>
    <x v="8"/>
    <x v="64"/>
    <x v="64"/>
    <x v="0"/>
  </r>
  <r>
    <x v="250"/>
    <x v="248"/>
    <x v="42"/>
    <x v="10"/>
    <x v="0"/>
    <x v="2"/>
    <x v="3"/>
    <x v="0"/>
    <x v="35"/>
    <x v="4"/>
    <x v="176"/>
    <x v="1"/>
    <x v="10"/>
    <x v="3"/>
    <x v="10"/>
    <x v="4"/>
    <x v="4"/>
    <x v="0"/>
  </r>
  <r>
    <x v="251"/>
    <x v="249"/>
    <x v="224"/>
    <x v="1"/>
    <x v="1"/>
    <x v="2"/>
    <x v="1"/>
    <x v="0"/>
    <x v="6"/>
    <x v="6"/>
    <x v="215"/>
    <x v="0"/>
    <x v="1"/>
    <x v="0"/>
    <x v="1"/>
    <x v="7"/>
    <x v="7"/>
    <x v="1"/>
  </r>
  <r>
    <x v="252"/>
    <x v="250"/>
    <x v="213"/>
    <x v="14"/>
    <x v="1"/>
    <x v="2"/>
    <x v="0"/>
    <x v="0"/>
    <x v="22"/>
    <x v="9"/>
    <x v="216"/>
    <x v="2"/>
    <x v="14"/>
    <x v="1"/>
    <x v="14"/>
    <x v="78"/>
    <x v="78"/>
    <x v="0"/>
  </r>
  <r>
    <x v="253"/>
    <x v="251"/>
    <x v="225"/>
    <x v="11"/>
    <x v="2"/>
    <x v="0"/>
    <x v="0"/>
    <x v="2"/>
    <x v="43"/>
    <x v="2"/>
    <x v="217"/>
    <x v="1"/>
    <x v="11"/>
    <x v="1"/>
    <x v="11"/>
    <x v="22"/>
    <x v="22"/>
    <x v="1"/>
  </r>
  <r>
    <x v="254"/>
    <x v="252"/>
    <x v="118"/>
    <x v="10"/>
    <x v="1"/>
    <x v="2"/>
    <x v="0"/>
    <x v="0"/>
    <x v="26"/>
    <x v="8"/>
    <x v="218"/>
    <x v="0"/>
    <x v="10"/>
    <x v="3"/>
    <x v="10"/>
    <x v="16"/>
    <x v="16"/>
    <x v="1"/>
  </r>
  <r>
    <x v="255"/>
    <x v="253"/>
    <x v="226"/>
    <x v="17"/>
    <x v="3"/>
    <x v="2"/>
    <x v="2"/>
    <x v="0"/>
    <x v="35"/>
    <x v="8"/>
    <x v="219"/>
    <x v="0"/>
    <x v="17"/>
    <x v="4"/>
    <x v="17"/>
    <x v="89"/>
    <x v="89"/>
    <x v="1"/>
  </r>
  <r>
    <x v="256"/>
    <x v="254"/>
    <x v="227"/>
    <x v="4"/>
    <x v="1"/>
    <x v="0"/>
    <x v="2"/>
    <x v="0"/>
    <x v="32"/>
    <x v="4"/>
    <x v="78"/>
    <x v="0"/>
    <x v="4"/>
    <x v="0"/>
    <x v="4"/>
    <x v="45"/>
    <x v="45"/>
    <x v="0"/>
  </r>
  <r>
    <x v="257"/>
    <x v="255"/>
    <x v="228"/>
    <x v="4"/>
    <x v="3"/>
    <x v="2"/>
    <x v="0"/>
    <x v="0"/>
    <x v="10"/>
    <x v="5"/>
    <x v="220"/>
    <x v="0"/>
    <x v="4"/>
    <x v="0"/>
    <x v="4"/>
    <x v="7"/>
    <x v="7"/>
    <x v="0"/>
  </r>
  <r>
    <x v="258"/>
    <x v="256"/>
    <x v="229"/>
    <x v="6"/>
    <x v="4"/>
    <x v="0"/>
    <x v="2"/>
    <x v="0"/>
    <x v="4"/>
    <x v="0"/>
    <x v="221"/>
    <x v="1"/>
    <x v="6"/>
    <x v="0"/>
    <x v="6"/>
    <x v="2"/>
    <x v="2"/>
    <x v="1"/>
  </r>
  <r>
    <x v="259"/>
    <x v="257"/>
    <x v="230"/>
    <x v="8"/>
    <x v="2"/>
    <x v="2"/>
    <x v="0"/>
    <x v="0"/>
    <x v="8"/>
    <x v="6"/>
    <x v="69"/>
    <x v="0"/>
    <x v="8"/>
    <x v="1"/>
    <x v="8"/>
    <x v="85"/>
    <x v="85"/>
    <x v="0"/>
  </r>
  <r>
    <x v="260"/>
    <x v="258"/>
    <x v="231"/>
    <x v="12"/>
    <x v="1"/>
    <x v="4"/>
    <x v="0"/>
    <x v="0"/>
    <x v="47"/>
    <x v="2"/>
    <x v="222"/>
    <x v="0"/>
    <x v="12"/>
    <x v="4"/>
    <x v="12"/>
    <x v="1"/>
    <x v="1"/>
    <x v="1"/>
  </r>
  <r>
    <x v="261"/>
    <x v="259"/>
    <x v="232"/>
    <x v="4"/>
    <x v="1"/>
    <x v="3"/>
    <x v="0"/>
    <x v="0"/>
    <x v="12"/>
    <x v="0"/>
    <x v="223"/>
    <x v="0"/>
    <x v="4"/>
    <x v="0"/>
    <x v="4"/>
    <x v="45"/>
    <x v="45"/>
    <x v="1"/>
  </r>
  <r>
    <x v="262"/>
    <x v="260"/>
    <x v="105"/>
    <x v="9"/>
    <x v="1"/>
    <x v="0"/>
    <x v="0"/>
    <x v="0"/>
    <x v="24"/>
    <x v="5"/>
    <x v="224"/>
    <x v="1"/>
    <x v="9"/>
    <x v="0"/>
    <x v="9"/>
    <x v="63"/>
    <x v="63"/>
    <x v="0"/>
  </r>
  <r>
    <x v="263"/>
    <x v="261"/>
    <x v="233"/>
    <x v="9"/>
    <x v="0"/>
    <x v="3"/>
    <x v="0"/>
    <x v="0"/>
    <x v="32"/>
    <x v="8"/>
    <x v="225"/>
    <x v="0"/>
    <x v="9"/>
    <x v="0"/>
    <x v="9"/>
    <x v="72"/>
    <x v="72"/>
    <x v="0"/>
  </r>
  <r>
    <x v="264"/>
    <x v="262"/>
    <x v="234"/>
    <x v="4"/>
    <x v="2"/>
    <x v="3"/>
    <x v="0"/>
    <x v="1"/>
    <x v="29"/>
    <x v="9"/>
    <x v="226"/>
    <x v="2"/>
    <x v="4"/>
    <x v="0"/>
    <x v="4"/>
    <x v="37"/>
    <x v="37"/>
    <x v="0"/>
  </r>
  <r>
    <x v="265"/>
    <x v="263"/>
    <x v="221"/>
    <x v="8"/>
    <x v="1"/>
    <x v="2"/>
    <x v="0"/>
    <x v="0"/>
    <x v="42"/>
    <x v="4"/>
    <x v="227"/>
    <x v="1"/>
    <x v="8"/>
    <x v="1"/>
    <x v="8"/>
    <x v="17"/>
    <x v="17"/>
    <x v="0"/>
  </r>
  <r>
    <x v="266"/>
    <x v="264"/>
    <x v="130"/>
    <x v="4"/>
    <x v="1"/>
    <x v="3"/>
    <x v="1"/>
    <x v="0"/>
    <x v="16"/>
    <x v="0"/>
    <x v="228"/>
    <x v="2"/>
    <x v="4"/>
    <x v="0"/>
    <x v="4"/>
    <x v="45"/>
    <x v="45"/>
    <x v="0"/>
  </r>
  <r>
    <x v="267"/>
    <x v="265"/>
    <x v="235"/>
    <x v="6"/>
    <x v="1"/>
    <x v="3"/>
    <x v="0"/>
    <x v="0"/>
    <x v="7"/>
    <x v="4"/>
    <x v="229"/>
    <x v="2"/>
    <x v="6"/>
    <x v="0"/>
    <x v="6"/>
    <x v="6"/>
    <x v="6"/>
    <x v="1"/>
  </r>
  <r>
    <x v="268"/>
    <x v="266"/>
    <x v="236"/>
    <x v="1"/>
    <x v="1"/>
    <x v="3"/>
    <x v="2"/>
    <x v="1"/>
    <x v="31"/>
    <x v="7"/>
    <x v="230"/>
    <x v="0"/>
    <x v="1"/>
    <x v="0"/>
    <x v="1"/>
    <x v="54"/>
    <x v="54"/>
    <x v="1"/>
  </r>
  <r>
    <x v="269"/>
    <x v="267"/>
    <x v="237"/>
    <x v="9"/>
    <x v="1"/>
    <x v="0"/>
    <x v="3"/>
    <x v="0"/>
    <x v="24"/>
    <x v="7"/>
    <x v="231"/>
    <x v="0"/>
    <x v="9"/>
    <x v="0"/>
    <x v="9"/>
    <x v="63"/>
    <x v="63"/>
    <x v="0"/>
  </r>
  <r>
    <x v="270"/>
    <x v="268"/>
    <x v="227"/>
    <x v="8"/>
    <x v="1"/>
    <x v="2"/>
    <x v="0"/>
    <x v="0"/>
    <x v="2"/>
    <x v="9"/>
    <x v="232"/>
    <x v="1"/>
    <x v="8"/>
    <x v="1"/>
    <x v="8"/>
    <x v="17"/>
    <x v="17"/>
    <x v="0"/>
  </r>
  <r>
    <x v="271"/>
    <x v="269"/>
    <x v="238"/>
    <x v="14"/>
    <x v="1"/>
    <x v="3"/>
    <x v="3"/>
    <x v="0"/>
    <x v="16"/>
    <x v="4"/>
    <x v="233"/>
    <x v="0"/>
    <x v="14"/>
    <x v="1"/>
    <x v="14"/>
    <x v="48"/>
    <x v="48"/>
    <x v="1"/>
  </r>
  <r>
    <x v="272"/>
    <x v="270"/>
    <x v="239"/>
    <x v="11"/>
    <x v="1"/>
    <x v="2"/>
    <x v="3"/>
    <x v="0"/>
    <x v="18"/>
    <x v="2"/>
    <x v="234"/>
    <x v="1"/>
    <x v="11"/>
    <x v="1"/>
    <x v="11"/>
    <x v="86"/>
    <x v="86"/>
    <x v="1"/>
  </r>
  <r>
    <x v="273"/>
    <x v="271"/>
    <x v="240"/>
    <x v="2"/>
    <x v="1"/>
    <x v="2"/>
    <x v="3"/>
    <x v="0"/>
    <x v="15"/>
    <x v="7"/>
    <x v="212"/>
    <x v="0"/>
    <x v="2"/>
    <x v="1"/>
    <x v="2"/>
    <x v="23"/>
    <x v="23"/>
    <x v="1"/>
  </r>
  <r>
    <x v="274"/>
    <x v="272"/>
    <x v="241"/>
    <x v="9"/>
    <x v="2"/>
    <x v="2"/>
    <x v="2"/>
    <x v="0"/>
    <x v="7"/>
    <x v="2"/>
    <x v="235"/>
    <x v="1"/>
    <x v="9"/>
    <x v="0"/>
    <x v="9"/>
    <x v="24"/>
    <x v="24"/>
    <x v="0"/>
  </r>
  <r>
    <x v="275"/>
    <x v="273"/>
    <x v="242"/>
    <x v="15"/>
    <x v="1"/>
    <x v="2"/>
    <x v="0"/>
    <x v="0"/>
    <x v="27"/>
    <x v="4"/>
    <x v="37"/>
    <x v="0"/>
    <x v="15"/>
    <x v="5"/>
    <x v="15"/>
    <x v="35"/>
    <x v="35"/>
    <x v="1"/>
  </r>
  <r>
    <x v="276"/>
    <x v="274"/>
    <x v="60"/>
    <x v="15"/>
    <x v="1"/>
    <x v="0"/>
    <x v="3"/>
    <x v="1"/>
    <x v="6"/>
    <x v="0"/>
    <x v="236"/>
    <x v="0"/>
    <x v="15"/>
    <x v="5"/>
    <x v="15"/>
    <x v="30"/>
    <x v="30"/>
    <x v="0"/>
  </r>
  <r>
    <x v="277"/>
    <x v="275"/>
    <x v="243"/>
    <x v="7"/>
    <x v="2"/>
    <x v="0"/>
    <x v="0"/>
    <x v="0"/>
    <x v="14"/>
    <x v="7"/>
    <x v="237"/>
    <x v="1"/>
    <x v="7"/>
    <x v="1"/>
    <x v="7"/>
    <x v="29"/>
    <x v="29"/>
    <x v="0"/>
  </r>
  <r>
    <x v="278"/>
    <x v="276"/>
    <x v="244"/>
    <x v="7"/>
    <x v="0"/>
    <x v="2"/>
    <x v="0"/>
    <x v="1"/>
    <x v="8"/>
    <x v="4"/>
    <x v="96"/>
    <x v="0"/>
    <x v="7"/>
    <x v="1"/>
    <x v="7"/>
    <x v="100"/>
    <x v="100"/>
    <x v="0"/>
  </r>
  <r>
    <x v="279"/>
    <x v="277"/>
    <x v="245"/>
    <x v="6"/>
    <x v="2"/>
    <x v="5"/>
    <x v="1"/>
    <x v="0"/>
    <x v="41"/>
    <x v="4"/>
    <x v="238"/>
    <x v="1"/>
    <x v="6"/>
    <x v="0"/>
    <x v="6"/>
    <x v="39"/>
    <x v="39"/>
    <x v="1"/>
  </r>
  <r>
    <x v="280"/>
    <x v="66"/>
    <x v="139"/>
    <x v="1"/>
    <x v="3"/>
    <x v="2"/>
    <x v="0"/>
    <x v="0"/>
    <x v="31"/>
    <x v="2"/>
    <x v="64"/>
    <x v="0"/>
    <x v="1"/>
    <x v="0"/>
    <x v="1"/>
    <x v="75"/>
    <x v="75"/>
    <x v="1"/>
  </r>
  <r>
    <x v="281"/>
    <x v="278"/>
    <x v="57"/>
    <x v="1"/>
    <x v="2"/>
    <x v="2"/>
    <x v="0"/>
    <x v="0"/>
    <x v="26"/>
    <x v="7"/>
    <x v="239"/>
    <x v="0"/>
    <x v="1"/>
    <x v="0"/>
    <x v="1"/>
    <x v="61"/>
    <x v="61"/>
    <x v="1"/>
  </r>
  <r>
    <x v="282"/>
    <x v="279"/>
    <x v="246"/>
    <x v="12"/>
    <x v="1"/>
    <x v="2"/>
    <x v="0"/>
    <x v="0"/>
    <x v="4"/>
    <x v="4"/>
    <x v="72"/>
    <x v="0"/>
    <x v="12"/>
    <x v="4"/>
    <x v="12"/>
    <x v="62"/>
    <x v="62"/>
    <x v="1"/>
  </r>
  <r>
    <x v="283"/>
    <x v="280"/>
    <x v="247"/>
    <x v="4"/>
    <x v="2"/>
    <x v="0"/>
    <x v="0"/>
    <x v="0"/>
    <x v="7"/>
    <x v="8"/>
    <x v="240"/>
    <x v="0"/>
    <x v="4"/>
    <x v="0"/>
    <x v="4"/>
    <x v="63"/>
    <x v="63"/>
    <x v="0"/>
  </r>
  <r>
    <x v="284"/>
    <x v="281"/>
    <x v="248"/>
    <x v="2"/>
    <x v="1"/>
    <x v="3"/>
    <x v="0"/>
    <x v="0"/>
    <x v="47"/>
    <x v="0"/>
    <x v="241"/>
    <x v="0"/>
    <x v="2"/>
    <x v="1"/>
    <x v="2"/>
    <x v="36"/>
    <x v="36"/>
    <x v="0"/>
  </r>
  <r>
    <x v="285"/>
    <x v="282"/>
    <x v="169"/>
    <x v="6"/>
    <x v="2"/>
    <x v="2"/>
    <x v="2"/>
    <x v="0"/>
    <x v="26"/>
    <x v="7"/>
    <x v="118"/>
    <x v="1"/>
    <x v="6"/>
    <x v="0"/>
    <x v="6"/>
    <x v="18"/>
    <x v="18"/>
    <x v="1"/>
  </r>
  <r>
    <x v="286"/>
    <x v="283"/>
    <x v="249"/>
    <x v="6"/>
    <x v="1"/>
    <x v="0"/>
    <x v="2"/>
    <x v="0"/>
    <x v="47"/>
    <x v="5"/>
    <x v="242"/>
    <x v="0"/>
    <x v="6"/>
    <x v="0"/>
    <x v="6"/>
    <x v="6"/>
    <x v="6"/>
    <x v="0"/>
  </r>
  <r>
    <x v="287"/>
    <x v="284"/>
    <x v="250"/>
    <x v="14"/>
    <x v="1"/>
    <x v="3"/>
    <x v="1"/>
    <x v="0"/>
    <x v="6"/>
    <x v="8"/>
    <x v="243"/>
    <x v="0"/>
    <x v="14"/>
    <x v="1"/>
    <x v="14"/>
    <x v="48"/>
    <x v="48"/>
    <x v="0"/>
  </r>
  <r>
    <x v="288"/>
    <x v="285"/>
    <x v="251"/>
    <x v="0"/>
    <x v="0"/>
    <x v="2"/>
    <x v="1"/>
    <x v="0"/>
    <x v="35"/>
    <x v="2"/>
    <x v="244"/>
    <x v="0"/>
    <x v="0"/>
    <x v="0"/>
    <x v="0"/>
    <x v="85"/>
    <x v="85"/>
    <x v="0"/>
  </r>
  <r>
    <x v="289"/>
    <x v="286"/>
    <x v="252"/>
    <x v="4"/>
    <x v="2"/>
    <x v="2"/>
    <x v="0"/>
    <x v="0"/>
    <x v="26"/>
    <x v="7"/>
    <x v="245"/>
    <x v="0"/>
    <x v="4"/>
    <x v="0"/>
    <x v="4"/>
    <x v="4"/>
    <x v="4"/>
    <x v="1"/>
  </r>
  <r>
    <x v="290"/>
    <x v="287"/>
    <x v="190"/>
    <x v="15"/>
    <x v="1"/>
    <x v="2"/>
    <x v="1"/>
    <x v="0"/>
    <x v="0"/>
    <x v="2"/>
    <x v="246"/>
    <x v="0"/>
    <x v="15"/>
    <x v="5"/>
    <x v="15"/>
    <x v="35"/>
    <x v="35"/>
    <x v="1"/>
  </r>
  <r>
    <x v="291"/>
    <x v="288"/>
    <x v="253"/>
    <x v="4"/>
    <x v="3"/>
    <x v="2"/>
    <x v="2"/>
    <x v="0"/>
    <x v="11"/>
    <x v="6"/>
    <x v="247"/>
    <x v="2"/>
    <x v="4"/>
    <x v="0"/>
    <x v="4"/>
    <x v="7"/>
    <x v="7"/>
    <x v="1"/>
  </r>
  <r>
    <x v="292"/>
    <x v="289"/>
    <x v="254"/>
    <x v="6"/>
    <x v="0"/>
    <x v="1"/>
    <x v="0"/>
    <x v="2"/>
    <x v="35"/>
    <x v="6"/>
    <x v="248"/>
    <x v="0"/>
    <x v="6"/>
    <x v="0"/>
    <x v="6"/>
    <x v="101"/>
    <x v="101"/>
    <x v="0"/>
  </r>
  <r>
    <x v="293"/>
    <x v="290"/>
    <x v="255"/>
    <x v="5"/>
    <x v="1"/>
    <x v="0"/>
    <x v="0"/>
    <x v="1"/>
    <x v="40"/>
    <x v="4"/>
    <x v="249"/>
    <x v="1"/>
    <x v="5"/>
    <x v="2"/>
    <x v="5"/>
    <x v="99"/>
    <x v="99"/>
    <x v="1"/>
  </r>
  <r>
    <x v="294"/>
    <x v="291"/>
    <x v="256"/>
    <x v="17"/>
    <x v="1"/>
    <x v="2"/>
    <x v="3"/>
    <x v="0"/>
    <x v="1"/>
    <x v="0"/>
    <x v="250"/>
    <x v="0"/>
    <x v="17"/>
    <x v="4"/>
    <x v="17"/>
    <x v="49"/>
    <x v="49"/>
    <x v="0"/>
  </r>
  <r>
    <x v="295"/>
    <x v="292"/>
    <x v="257"/>
    <x v="10"/>
    <x v="1"/>
    <x v="1"/>
    <x v="0"/>
    <x v="0"/>
    <x v="24"/>
    <x v="3"/>
    <x v="251"/>
    <x v="1"/>
    <x v="10"/>
    <x v="3"/>
    <x v="10"/>
    <x v="20"/>
    <x v="20"/>
    <x v="0"/>
  </r>
  <r>
    <x v="296"/>
    <x v="293"/>
    <x v="258"/>
    <x v="13"/>
    <x v="1"/>
    <x v="2"/>
    <x v="0"/>
    <x v="0"/>
    <x v="18"/>
    <x v="7"/>
    <x v="115"/>
    <x v="0"/>
    <x v="13"/>
    <x v="1"/>
    <x v="13"/>
    <x v="74"/>
    <x v="74"/>
    <x v="1"/>
  </r>
  <r>
    <x v="297"/>
    <x v="294"/>
    <x v="226"/>
    <x v="1"/>
    <x v="1"/>
    <x v="2"/>
    <x v="0"/>
    <x v="0"/>
    <x v="41"/>
    <x v="7"/>
    <x v="252"/>
    <x v="0"/>
    <x v="1"/>
    <x v="0"/>
    <x v="1"/>
    <x v="7"/>
    <x v="7"/>
    <x v="1"/>
  </r>
  <r>
    <x v="298"/>
    <x v="295"/>
    <x v="259"/>
    <x v="16"/>
    <x v="2"/>
    <x v="0"/>
    <x v="2"/>
    <x v="0"/>
    <x v="7"/>
    <x v="4"/>
    <x v="141"/>
    <x v="1"/>
    <x v="16"/>
    <x v="1"/>
    <x v="16"/>
    <x v="102"/>
    <x v="102"/>
    <x v="1"/>
  </r>
  <r>
    <x v="299"/>
    <x v="296"/>
    <x v="72"/>
    <x v="14"/>
    <x v="2"/>
    <x v="1"/>
    <x v="0"/>
    <x v="0"/>
    <x v="19"/>
    <x v="1"/>
    <x v="253"/>
    <x v="1"/>
    <x v="14"/>
    <x v="1"/>
    <x v="14"/>
    <x v="49"/>
    <x v="49"/>
    <x v="0"/>
  </r>
  <r>
    <x v="300"/>
    <x v="297"/>
    <x v="260"/>
    <x v="2"/>
    <x v="1"/>
    <x v="3"/>
    <x v="2"/>
    <x v="0"/>
    <x v="26"/>
    <x v="7"/>
    <x v="31"/>
    <x v="1"/>
    <x v="2"/>
    <x v="1"/>
    <x v="2"/>
    <x v="36"/>
    <x v="36"/>
    <x v="0"/>
  </r>
  <r>
    <x v="301"/>
    <x v="155"/>
    <x v="261"/>
    <x v="0"/>
    <x v="1"/>
    <x v="4"/>
    <x v="0"/>
    <x v="0"/>
    <x v="23"/>
    <x v="6"/>
    <x v="144"/>
    <x v="2"/>
    <x v="0"/>
    <x v="0"/>
    <x v="0"/>
    <x v="20"/>
    <x v="20"/>
    <x v="1"/>
  </r>
  <r>
    <x v="302"/>
    <x v="298"/>
    <x v="262"/>
    <x v="0"/>
    <x v="2"/>
    <x v="0"/>
    <x v="2"/>
    <x v="0"/>
    <x v="7"/>
    <x v="2"/>
    <x v="105"/>
    <x v="0"/>
    <x v="0"/>
    <x v="0"/>
    <x v="0"/>
    <x v="103"/>
    <x v="103"/>
    <x v="1"/>
  </r>
  <r>
    <x v="303"/>
    <x v="299"/>
    <x v="263"/>
    <x v="1"/>
    <x v="1"/>
    <x v="4"/>
    <x v="3"/>
    <x v="1"/>
    <x v="33"/>
    <x v="2"/>
    <x v="254"/>
    <x v="0"/>
    <x v="1"/>
    <x v="0"/>
    <x v="1"/>
    <x v="99"/>
    <x v="99"/>
    <x v="0"/>
  </r>
  <r>
    <x v="304"/>
    <x v="300"/>
    <x v="264"/>
    <x v="9"/>
    <x v="0"/>
    <x v="2"/>
    <x v="1"/>
    <x v="0"/>
    <x v="2"/>
    <x v="6"/>
    <x v="12"/>
    <x v="0"/>
    <x v="9"/>
    <x v="0"/>
    <x v="9"/>
    <x v="88"/>
    <x v="88"/>
    <x v="0"/>
  </r>
  <r>
    <x v="305"/>
    <x v="301"/>
    <x v="265"/>
    <x v="7"/>
    <x v="2"/>
    <x v="5"/>
    <x v="3"/>
    <x v="0"/>
    <x v="19"/>
    <x v="3"/>
    <x v="255"/>
    <x v="0"/>
    <x v="7"/>
    <x v="1"/>
    <x v="7"/>
    <x v="104"/>
    <x v="104"/>
    <x v="1"/>
  </r>
  <r>
    <x v="306"/>
    <x v="302"/>
    <x v="266"/>
    <x v="6"/>
    <x v="1"/>
    <x v="2"/>
    <x v="0"/>
    <x v="0"/>
    <x v="14"/>
    <x v="0"/>
    <x v="256"/>
    <x v="1"/>
    <x v="6"/>
    <x v="0"/>
    <x v="6"/>
    <x v="13"/>
    <x v="13"/>
    <x v="0"/>
  </r>
  <r>
    <x v="307"/>
    <x v="303"/>
    <x v="267"/>
    <x v="6"/>
    <x v="1"/>
    <x v="5"/>
    <x v="3"/>
    <x v="0"/>
    <x v="38"/>
    <x v="3"/>
    <x v="190"/>
    <x v="1"/>
    <x v="6"/>
    <x v="0"/>
    <x v="6"/>
    <x v="43"/>
    <x v="43"/>
    <x v="1"/>
  </r>
  <r>
    <x v="308"/>
    <x v="304"/>
    <x v="90"/>
    <x v="8"/>
    <x v="1"/>
    <x v="0"/>
    <x v="1"/>
    <x v="0"/>
    <x v="29"/>
    <x v="3"/>
    <x v="257"/>
    <x v="0"/>
    <x v="8"/>
    <x v="1"/>
    <x v="8"/>
    <x v="103"/>
    <x v="103"/>
    <x v="1"/>
  </r>
  <r>
    <x v="309"/>
    <x v="305"/>
    <x v="268"/>
    <x v="10"/>
    <x v="1"/>
    <x v="2"/>
    <x v="0"/>
    <x v="0"/>
    <x v="2"/>
    <x v="0"/>
    <x v="258"/>
    <x v="0"/>
    <x v="10"/>
    <x v="3"/>
    <x v="10"/>
    <x v="16"/>
    <x v="16"/>
    <x v="1"/>
  </r>
  <r>
    <x v="310"/>
    <x v="306"/>
    <x v="269"/>
    <x v="14"/>
    <x v="1"/>
    <x v="0"/>
    <x v="0"/>
    <x v="0"/>
    <x v="6"/>
    <x v="3"/>
    <x v="259"/>
    <x v="0"/>
    <x v="14"/>
    <x v="1"/>
    <x v="14"/>
    <x v="35"/>
    <x v="35"/>
    <x v="0"/>
  </r>
  <r>
    <x v="311"/>
    <x v="307"/>
    <x v="84"/>
    <x v="9"/>
    <x v="2"/>
    <x v="4"/>
    <x v="0"/>
    <x v="0"/>
    <x v="2"/>
    <x v="4"/>
    <x v="260"/>
    <x v="0"/>
    <x v="9"/>
    <x v="0"/>
    <x v="9"/>
    <x v="105"/>
    <x v="105"/>
    <x v="0"/>
  </r>
  <r>
    <x v="312"/>
    <x v="308"/>
    <x v="270"/>
    <x v="4"/>
    <x v="3"/>
    <x v="2"/>
    <x v="1"/>
    <x v="0"/>
    <x v="20"/>
    <x v="3"/>
    <x v="261"/>
    <x v="1"/>
    <x v="4"/>
    <x v="0"/>
    <x v="4"/>
    <x v="7"/>
    <x v="7"/>
    <x v="0"/>
  </r>
  <r>
    <x v="313"/>
    <x v="309"/>
    <x v="271"/>
    <x v="5"/>
    <x v="3"/>
    <x v="2"/>
    <x v="2"/>
    <x v="0"/>
    <x v="26"/>
    <x v="7"/>
    <x v="262"/>
    <x v="0"/>
    <x v="5"/>
    <x v="2"/>
    <x v="5"/>
    <x v="106"/>
    <x v="106"/>
    <x v="1"/>
  </r>
  <r>
    <x v="314"/>
    <x v="310"/>
    <x v="272"/>
    <x v="6"/>
    <x v="1"/>
    <x v="3"/>
    <x v="0"/>
    <x v="2"/>
    <x v="19"/>
    <x v="6"/>
    <x v="263"/>
    <x v="2"/>
    <x v="6"/>
    <x v="0"/>
    <x v="6"/>
    <x v="6"/>
    <x v="6"/>
    <x v="1"/>
  </r>
  <r>
    <x v="315"/>
    <x v="311"/>
    <x v="273"/>
    <x v="12"/>
    <x v="1"/>
    <x v="3"/>
    <x v="0"/>
    <x v="0"/>
    <x v="43"/>
    <x v="8"/>
    <x v="156"/>
    <x v="0"/>
    <x v="12"/>
    <x v="4"/>
    <x v="12"/>
    <x v="90"/>
    <x v="90"/>
    <x v="1"/>
  </r>
  <r>
    <x v="316"/>
    <x v="312"/>
    <x v="145"/>
    <x v="19"/>
    <x v="2"/>
    <x v="0"/>
    <x v="1"/>
    <x v="0"/>
    <x v="5"/>
    <x v="2"/>
    <x v="132"/>
    <x v="1"/>
    <x v="19"/>
    <x v="1"/>
    <x v="19"/>
    <x v="1"/>
    <x v="1"/>
    <x v="1"/>
  </r>
  <r>
    <x v="317"/>
    <x v="313"/>
    <x v="274"/>
    <x v="0"/>
    <x v="2"/>
    <x v="0"/>
    <x v="0"/>
    <x v="0"/>
    <x v="44"/>
    <x v="2"/>
    <x v="264"/>
    <x v="0"/>
    <x v="0"/>
    <x v="0"/>
    <x v="0"/>
    <x v="103"/>
    <x v="103"/>
    <x v="0"/>
  </r>
  <r>
    <x v="318"/>
    <x v="314"/>
    <x v="275"/>
    <x v="9"/>
    <x v="4"/>
    <x v="2"/>
    <x v="2"/>
    <x v="0"/>
    <x v="1"/>
    <x v="4"/>
    <x v="265"/>
    <x v="1"/>
    <x v="9"/>
    <x v="0"/>
    <x v="9"/>
    <x v="100"/>
    <x v="100"/>
    <x v="0"/>
  </r>
  <r>
    <x v="319"/>
    <x v="315"/>
    <x v="276"/>
    <x v="19"/>
    <x v="2"/>
    <x v="2"/>
    <x v="3"/>
    <x v="0"/>
    <x v="37"/>
    <x v="2"/>
    <x v="76"/>
    <x v="1"/>
    <x v="19"/>
    <x v="1"/>
    <x v="19"/>
    <x v="7"/>
    <x v="7"/>
    <x v="1"/>
  </r>
  <r>
    <x v="320"/>
    <x v="316"/>
    <x v="277"/>
    <x v="14"/>
    <x v="0"/>
    <x v="1"/>
    <x v="3"/>
    <x v="0"/>
    <x v="4"/>
    <x v="4"/>
    <x v="266"/>
    <x v="0"/>
    <x v="14"/>
    <x v="1"/>
    <x v="14"/>
    <x v="92"/>
    <x v="92"/>
    <x v="1"/>
  </r>
  <r>
    <x v="321"/>
    <x v="317"/>
    <x v="278"/>
    <x v="0"/>
    <x v="3"/>
    <x v="2"/>
    <x v="0"/>
    <x v="0"/>
    <x v="2"/>
    <x v="4"/>
    <x v="267"/>
    <x v="1"/>
    <x v="0"/>
    <x v="0"/>
    <x v="0"/>
    <x v="37"/>
    <x v="37"/>
    <x v="1"/>
  </r>
  <r>
    <x v="322"/>
    <x v="318"/>
    <x v="98"/>
    <x v="6"/>
    <x v="1"/>
    <x v="0"/>
    <x v="1"/>
    <x v="2"/>
    <x v="2"/>
    <x v="2"/>
    <x v="268"/>
    <x v="0"/>
    <x v="6"/>
    <x v="0"/>
    <x v="6"/>
    <x v="6"/>
    <x v="6"/>
    <x v="0"/>
  </r>
  <r>
    <x v="323"/>
    <x v="319"/>
    <x v="133"/>
    <x v="8"/>
    <x v="2"/>
    <x v="2"/>
    <x v="3"/>
    <x v="0"/>
    <x v="31"/>
    <x v="5"/>
    <x v="269"/>
    <x v="1"/>
    <x v="8"/>
    <x v="1"/>
    <x v="8"/>
    <x v="85"/>
    <x v="85"/>
    <x v="1"/>
  </r>
  <r>
    <x v="324"/>
    <x v="320"/>
    <x v="173"/>
    <x v="10"/>
    <x v="2"/>
    <x v="2"/>
    <x v="2"/>
    <x v="2"/>
    <x v="35"/>
    <x v="2"/>
    <x v="270"/>
    <x v="1"/>
    <x v="10"/>
    <x v="3"/>
    <x v="10"/>
    <x v="15"/>
    <x v="15"/>
    <x v="0"/>
  </r>
  <r>
    <x v="325"/>
    <x v="321"/>
    <x v="226"/>
    <x v="14"/>
    <x v="4"/>
    <x v="3"/>
    <x v="0"/>
    <x v="0"/>
    <x v="8"/>
    <x v="2"/>
    <x v="165"/>
    <x v="1"/>
    <x v="14"/>
    <x v="1"/>
    <x v="14"/>
    <x v="107"/>
    <x v="107"/>
    <x v="1"/>
  </r>
  <r>
    <x v="326"/>
    <x v="322"/>
    <x v="267"/>
    <x v="9"/>
    <x v="2"/>
    <x v="2"/>
    <x v="2"/>
    <x v="0"/>
    <x v="16"/>
    <x v="6"/>
    <x v="271"/>
    <x v="0"/>
    <x v="9"/>
    <x v="0"/>
    <x v="9"/>
    <x v="24"/>
    <x v="24"/>
    <x v="1"/>
  </r>
  <r>
    <x v="327"/>
    <x v="323"/>
    <x v="279"/>
    <x v="15"/>
    <x v="2"/>
    <x v="5"/>
    <x v="0"/>
    <x v="0"/>
    <x v="28"/>
    <x v="2"/>
    <x v="272"/>
    <x v="0"/>
    <x v="15"/>
    <x v="5"/>
    <x v="15"/>
    <x v="53"/>
    <x v="53"/>
    <x v="1"/>
  </r>
  <r>
    <x v="328"/>
    <x v="324"/>
    <x v="118"/>
    <x v="5"/>
    <x v="3"/>
    <x v="2"/>
    <x v="0"/>
    <x v="0"/>
    <x v="25"/>
    <x v="5"/>
    <x v="273"/>
    <x v="0"/>
    <x v="5"/>
    <x v="2"/>
    <x v="5"/>
    <x v="106"/>
    <x v="106"/>
    <x v="1"/>
  </r>
  <r>
    <x v="329"/>
    <x v="325"/>
    <x v="280"/>
    <x v="6"/>
    <x v="3"/>
    <x v="0"/>
    <x v="1"/>
    <x v="1"/>
    <x v="8"/>
    <x v="7"/>
    <x v="274"/>
    <x v="1"/>
    <x v="6"/>
    <x v="0"/>
    <x v="6"/>
    <x v="91"/>
    <x v="91"/>
    <x v="0"/>
  </r>
  <r>
    <x v="330"/>
    <x v="326"/>
    <x v="185"/>
    <x v="4"/>
    <x v="0"/>
    <x v="2"/>
    <x v="2"/>
    <x v="0"/>
    <x v="18"/>
    <x v="7"/>
    <x v="275"/>
    <x v="1"/>
    <x v="4"/>
    <x v="0"/>
    <x v="4"/>
    <x v="24"/>
    <x v="24"/>
    <x v="1"/>
  </r>
  <r>
    <x v="331"/>
    <x v="327"/>
    <x v="1"/>
    <x v="18"/>
    <x v="1"/>
    <x v="2"/>
    <x v="1"/>
    <x v="0"/>
    <x v="0"/>
    <x v="2"/>
    <x v="163"/>
    <x v="1"/>
    <x v="18"/>
    <x v="1"/>
    <x v="18"/>
    <x v="57"/>
    <x v="57"/>
    <x v="1"/>
  </r>
  <r>
    <x v="332"/>
    <x v="328"/>
    <x v="198"/>
    <x v="7"/>
    <x v="3"/>
    <x v="0"/>
    <x v="1"/>
    <x v="0"/>
    <x v="1"/>
    <x v="2"/>
    <x v="276"/>
    <x v="0"/>
    <x v="7"/>
    <x v="1"/>
    <x v="7"/>
    <x v="108"/>
    <x v="108"/>
    <x v="1"/>
  </r>
  <r>
    <x v="333"/>
    <x v="329"/>
    <x v="281"/>
    <x v="14"/>
    <x v="4"/>
    <x v="3"/>
    <x v="0"/>
    <x v="0"/>
    <x v="30"/>
    <x v="6"/>
    <x v="277"/>
    <x v="2"/>
    <x v="14"/>
    <x v="1"/>
    <x v="14"/>
    <x v="107"/>
    <x v="107"/>
    <x v="1"/>
  </r>
  <r>
    <x v="334"/>
    <x v="330"/>
    <x v="37"/>
    <x v="14"/>
    <x v="1"/>
    <x v="2"/>
    <x v="0"/>
    <x v="0"/>
    <x v="39"/>
    <x v="7"/>
    <x v="278"/>
    <x v="0"/>
    <x v="14"/>
    <x v="1"/>
    <x v="14"/>
    <x v="78"/>
    <x v="78"/>
    <x v="0"/>
  </r>
  <r>
    <x v="335"/>
    <x v="331"/>
    <x v="282"/>
    <x v="14"/>
    <x v="1"/>
    <x v="2"/>
    <x v="0"/>
    <x v="0"/>
    <x v="9"/>
    <x v="2"/>
    <x v="279"/>
    <x v="0"/>
    <x v="14"/>
    <x v="1"/>
    <x v="14"/>
    <x v="78"/>
    <x v="78"/>
    <x v="0"/>
  </r>
  <r>
    <x v="336"/>
    <x v="332"/>
    <x v="283"/>
    <x v="17"/>
    <x v="4"/>
    <x v="2"/>
    <x v="2"/>
    <x v="0"/>
    <x v="31"/>
    <x v="3"/>
    <x v="280"/>
    <x v="0"/>
    <x v="17"/>
    <x v="4"/>
    <x v="17"/>
    <x v="109"/>
    <x v="109"/>
    <x v="1"/>
  </r>
  <r>
    <x v="337"/>
    <x v="333"/>
    <x v="284"/>
    <x v="8"/>
    <x v="2"/>
    <x v="1"/>
    <x v="0"/>
    <x v="0"/>
    <x v="42"/>
    <x v="6"/>
    <x v="281"/>
    <x v="1"/>
    <x v="8"/>
    <x v="1"/>
    <x v="8"/>
    <x v="99"/>
    <x v="99"/>
    <x v="1"/>
  </r>
  <r>
    <x v="338"/>
    <x v="334"/>
    <x v="285"/>
    <x v="3"/>
    <x v="1"/>
    <x v="2"/>
    <x v="0"/>
    <x v="0"/>
    <x v="7"/>
    <x v="9"/>
    <x v="221"/>
    <x v="0"/>
    <x v="3"/>
    <x v="2"/>
    <x v="3"/>
    <x v="84"/>
    <x v="84"/>
    <x v="0"/>
  </r>
  <r>
    <x v="339"/>
    <x v="335"/>
    <x v="171"/>
    <x v="0"/>
    <x v="1"/>
    <x v="0"/>
    <x v="1"/>
    <x v="2"/>
    <x v="21"/>
    <x v="9"/>
    <x v="282"/>
    <x v="0"/>
    <x v="0"/>
    <x v="0"/>
    <x v="0"/>
    <x v="55"/>
    <x v="55"/>
    <x v="0"/>
  </r>
  <r>
    <x v="340"/>
    <x v="336"/>
    <x v="286"/>
    <x v="7"/>
    <x v="1"/>
    <x v="1"/>
    <x v="0"/>
    <x v="0"/>
    <x v="3"/>
    <x v="8"/>
    <x v="283"/>
    <x v="0"/>
    <x v="7"/>
    <x v="1"/>
    <x v="7"/>
    <x v="4"/>
    <x v="4"/>
    <x v="0"/>
  </r>
  <r>
    <x v="341"/>
    <x v="337"/>
    <x v="287"/>
    <x v="5"/>
    <x v="3"/>
    <x v="2"/>
    <x v="2"/>
    <x v="0"/>
    <x v="11"/>
    <x v="1"/>
    <x v="284"/>
    <x v="0"/>
    <x v="5"/>
    <x v="2"/>
    <x v="5"/>
    <x v="106"/>
    <x v="106"/>
    <x v="1"/>
  </r>
  <r>
    <x v="342"/>
    <x v="338"/>
    <x v="288"/>
    <x v="16"/>
    <x v="1"/>
    <x v="5"/>
    <x v="0"/>
    <x v="0"/>
    <x v="46"/>
    <x v="2"/>
    <x v="285"/>
    <x v="0"/>
    <x v="16"/>
    <x v="1"/>
    <x v="16"/>
    <x v="110"/>
    <x v="110"/>
    <x v="1"/>
  </r>
  <r>
    <x v="343"/>
    <x v="339"/>
    <x v="289"/>
    <x v="18"/>
    <x v="2"/>
    <x v="2"/>
    <x v="0"/>
    <x v="0"/>
    <x v="35"/>
    <x v="4"/>
    <x v="286"/>
    <x v="0"/>
    <x v="18"/>
    <x v="1"/>
    <x v="18"/>
    <x v="53"/>
    <x v="53"/>
    <x v="1"/>
  </r>
  <r>
    <x v="344"/>
    <x v="340"/>
    <x v="290"/>
    <x v="9"/>
    <x v="1"/>
    <x v="2"/>
    <x v="1"/>
    <x v="0"/>
    <x v="43"/>
    <x v="2"/>
    <x v="57"/>
    <x v="0"/>
    <x v="9"/>
    <x v="0"/>
    <x v="9"/>
    <x v="4"/>
    <x v="4"/>
    <x v="1"/>
  </r>
  <r>
    <x v="345"/>
    <x v="341"/>
    <x v="291"/>
    <x v="15"/>
    <x v="3"/>
    <x v="0"/>
    <x v="0"/>
    <x v="0"/>
    <x v="15"/>
    <x v="2"/>
    <x v="250"/>
    <x v="0"/>
    <x v="15"/>
    <x v="5"/>
    <x v="15"/>
    <x v="111"/>
    <x v="111"/>
    <x v="0"/>
  </r>
  <r>
    <x v="346"/>
    <x v="342"/>
    <x v="46"/>
    <x v="8"/>
    <x v="1"/>
    <x v="3"/>
    <x v="2"/>
    <x v="0"/>
    <x v="11"/>
    <x v="2"/>
    <x v="287"/>
    <x v="2"/>
    <x v="8"/>
    <x v="1"/>
    <x v="8"/>
    <x v="10"/>
    <x v="10"/>
    <x v="0"/>
  </r>
  <r>
    <x v="347"/>
    <x v="343"/>
    <x v="40"/>
    <x v="8"/>
    <x v="1"/>
    <x v="1"/>
    <x v="0"/>
    <x v="0"/>
    <x v="0"/>
    <x v="2"/>
    <x v="288"/>
    <x v="1"/>
    <x v="8"/>
    <x v="1"/>
    <x v="8"/>
    <x v="15"/>
    <x v="15"/>
    <x v="1"/>
  </r>
  <r>
    <x v="348"/>
    <x v="344"/>
    <x v="292"/>
    <x v="0"/>
    <x v="2"/>
    <x v="5"/>
    <x v="0"/>
    <x v="0"/>
    <x v="46"/>
    <x v="9"/>
    <x v="289"/>
    <x v="0"/>
    <x v="0"/>
    <x v="0"/>
    <x v="0"/>
    <x v="76"/>
    <x v="76"/>
    <x v="0"/>
  </r>
  <r>
    <x v="349"/>
    <x v="345"/>
    <x v="293"/>
    <x v="14"/>
    <x v="1"/>
    <x v="2"/>
    <x v="0"/>
    <x v="0"/>
    <x v="19"/>
    <x v="2"/>
    <x v="290"/>
    <x v="0"/>
    <x v="14"/>
    <x v="1"/>
    <x v="14"/>
    <x v="78"/>
    <x v="78"/>
    <x v="1"/>
  </r>
  <r>
    <x v="350"/>
    <x v="346"/>
    <x v="294"/>
    <x v="6"/>
    <x v="1"/>
    <x v="2"/>
    <x v="0"/>
    <x v="0"/>
    <x v="36"/>
    <x v="6"/>
    <x v="291"/>
    <x v="0"/>
    <x v="6"/>
    <x v="0"/>
    <x v="6"/>
    <x v="13"/>
    <x v="13"/>
    <x v="1"/>
  </r>
  <r>
    <x v="351"/>
    <x v="347"/>
    <x v="295"/>
    <x v="6"/>
    <x v="3"/>
    <x v="1"/>
    <x v="0"/>
    <x v="0"/>
    <x v="11"/>
    <x v="5"/>
    <x v="174"/>
    <x v="0"/>
    <x v="6"/>
    <x v="0"/>
    <x v="6"/>
    <x v="40"/>
    <x v="40"/>
    <x v="0"/>
  </r>
  <r>
    <x v="352"/>
    <x v="348"/>
    <x v="296"/>
    <x v="12"/>
    <x v="1"/>
    <x v="3"/>
    <x v="0"/>
    <x v="0"/>
    <x v="2"/>
    <x v="2"/>
    <x v="292"/>
    <x v="2"/>
    <x v="12"/>
    <x v="4"/>
    <x v="12"/>
    <x v="90"/>
    <x v="90"/>
    <x v="1"/>
  </r>
  <r>
    <x v="353"/>
    <x v="349"/>
    <x v="254"/>
    <x v="4"/>
    <x v="1"/>
    <x v="2"/>
    <x v="0"/>
    <x v="0"/>
    <x v="41"/>
    <x v="8"/>
    <x v="12"/>
    <x v="1"/>
    <x v="4"/>
    <x v="0"/>
    <x v="4"/>
    <x v="15"/>
    <x v="15"/>
    <x v="0"/>
  </r>
  <r>
    <x v="354"/>
    <x v="350"/>
    <x v="297"/>
    <x v="2"/>
    <x v="0"/>
    <x v="4"/>
    <x v="0"/>
    <x v="0"/>
    <x v="24"/>
    <x v="8"/>
    <x v="293"/>
    <x v="1"/>
    <x v="2"/>
    <x v="1"/>
    <x v="2"/>
    <x v="112"/>
    <x v="112"/>
    <x v="0"/>
  </r>
  <r>
    <x v="355"/>
    <x v="351"/>
    <x v="298"/>
    <x v="7"/>
    <x v="1"/>
    <x v="0"/>
    <x v="2"/>
    <x v="2"/>
    <x v="16"/>
    <x v="3"/>
    <x v="257"/>
    <x v="1"/>
    <x v="7"/>
    <x v="1"/>
    <x v="7"/>
    <x v="0"/>
    <x v="0"/>
    <x v="1"/>
  </r>
  <r>
    <x v="356"/>
    <x v="352"/>
    <x v="92"/>
    <x v="17"/>
    <x v="1"/>
    <x v="5"/>
    <x v="0"/>
    <x v="0"/>
    <x v="3"/>
    <x v="2"/>
    <x v="294"/>
    <x v="0"/>
    <x v="17"/>
    <x v="4"/>
    <x v="17"/>
    <x v="113"/>
    <x v="113"/>
    <x v="1"/>
  </r>
  <r>
    <x v="357"/>
    <x v="353"/>
    <x v="138"/>
    <x v="0"/>
    <x v="1"/>
    <x v="2"/>
    <x v="3"/>
    <x v="0"/>
    <x v="7"/>
    <x v="8"/>
    <x v="295"/>
    <x v="2"/>
    <x v="0"/>
    <x v="0"/>
    <x v="0"/>
    <x v="43"/>
    <x v="43"/>
    <x v="1"/>
  </r>
  <r>
    <x v="358"/>
    <x v="354"/>
    <x v="34"/>
    <x v="10"/>
    <x v="3"/>
    <x v="3"/>
    <x v="0"/>
    <x v="0"/>
    <x v="32"/>
    <x v="4"/>
    <x v="23"/>
    <x v="1"/>
    <x v="10"/>
    <x v="3"/>
    <x v="10"/>
    <x v="52"/>
    <x v="52"/>
    <x v="0"/>
  </r>
  <r>
    <x v="359"/>
    <x v="355"/>
    <x v="299"/>
    <x v="18"/>
    <x v="1"/>
    <x v="2"/>
    <x v="0"/>
    <x v="0"/>
    <x v="31"/>
    <x v="2"/>
    <x v="296"/>
    <x v="0"/>
    <x v="18"/>
    <x v="1"/>
    <x v="18"/>
    <x v="57"/>
    <x v="57"/>
    <x v="1"/>
  </r>
  <r>
    <x v="360"/>
    <x v="356"/>
    <x v="241"/>
    <x v="0"/>
    <x v="3"/>
    <x v="3"/>
    <x v="2"/>
    <x v="0"/>
    <x v="17"/>
    <x v="7"/>
    <x v="71"/>
    <x v="0"/>
    <x v="0"/>
    <x v="0"/>
    <x v="0"/>
    <x v="40"/>
    <x v="40"/>
    <x v="0"/>
  </r>
  <r>
    <x v="361"/>
    <x v="357"/>
    <x v="300"/>
    <x v="5"/>
    <x v="0"/>
    <x v="2"/>
    <x v="2"/>
    <x v="1"/>
    <x v="21"/>
    <x v="6"/>
    <x v="234"/>
    <x v="1"/>
    <x v="5"/>
    <x v="2"/>
    <x v="5"/>
    <x v="5"/>
    <x v="5"/>
    <x v="1"/>
  </r>
  <r>
    <x v="362"/>
    <x v="358"/>
    <x v="227"/>
    <x v="4"/>
    <x v="3"/>
    <x v="1"/>
    <x v="0"/>
    <x v="0"/>
    <x v="18"/>
    <x v="7"/>
    <x v="297"/>
    <x v="1"/>
    <x v="4"/>
    <x v="0"/>
    <x v="4"/>
    <x v="12"/>
    <x v="12"/>
    <x v="0"/>
  </r>
  <r>
    <x v="363"/>
    <x v="359"/>
    <x v="301"/>
    <x v="4"/>
    <x v="2"/>
    <x v="0"/>
    <x v="0"/>
    <x v="0"/>
    <x v="12"/>
    <x v="1"/>
    <x v="298"/>
    <x v="0"/>
    <x v="4"/>
    <x v="0"/>
    <x v="4"/>
    <x v="63"/>
    <x v="63"/>
    <x v="1"/>
  </r>
  <r>
    <x v="364"/>
    <x v="360"/>
    <x v="302"/>
    <x v="2"/>
    <x v="1"/>
    <x v="0"/>
    <x v="3"/>
    <x v="0"/>
    <x v="7"/>
    <x v="2"/>
    <x v="299"/>
    <x v="1"/>
    <x v="2"/>
    <x v="1"/>
    <x v="2"/>
    <x v="24"/>
    <x v="24"/>
    <x v="0"/>
  </r>
  <r>
    <x v="365"/>
    <x v="361"/>
    <x v="72"/>
    <x v="10"/>
    <x v="0"/>
    <x v="5"/>
    <x v="2"/>
    <x v="0"/>
    <x v="13"/>
    <x v="2"/>
    <x v="300"/>
    <x v="0"/>
    <x v="10"/>
    <x v="3"/>
    <x v="10"/>
    <x v="59"/>
    <x v="59"/>
    <x v="0"/>
  </r>
  <r>
    <x v="366"/>
    <x v="16"/>
    <x v="303"/>
    <x v="10"/>
    <x v="3"/>
    <x v="4"/>
    <x v="1"/>
    <x v="0"/>
    <x v="14"/>
    <x v="2"/>
    <x v="15"/>
    <x v="2"/>
    <x v="10"/>
    <x v="3"/>
    <x v="10"/>
    <x v="76"/>
    <x v="76"/>
    <x v="1"/>
  </r>
  <r>
    <x v="367"/>
    <x v="362"/>
    <x v="304"/>
    <x v="11"/>
    <x v="1"/>
    <x v="3"/>
    <x v="0"/>
    <x v="0"/>
    <x v="1"/>
    <x v="0"/>
    <x v="301"/>
    <x v="0"/>
    <x v="11"/>
    <x v="1"/>
    <x v="11"/>
    <x v="114"/>
    <x v="114"/>
    <x v="1"/>
  </r>
  <r>
    <x v="368"/>
    <x v="363"/>
    <x v="305"/>
    <x v="4"/>
    <x v="3"/>
    <x v="2"/>
    <x v="0"/>
    <x v="0"/>
    <x v="27"/>
    <x v="5"/>
    <x v="61"/>
    <x v="0"/>
    <x v="4"/>
    <x v="0"/>
    <x v="4"/>
    <x v="7"/>
    <x v="7"/>
    <x v="0"/>
  </r>
  <r>
    <x v="369"/>
    <x v="364"/>
    <x v="306"/>
    <x v="6"/>
    <x v="3"/>
    <x v="3"/>
    <x v="2"/>
    <x v="0"/>
    <x v="7"/>
    <x v="8"/>
    <x v="234"/>
    <x v="0"/>
    <x v="6"/>
    <x v="0"/>
    <x v="6"/>
    <x v="77"/>
    <x v="77"/>
    <x v="0"/>
  </r>
  <r>
    <x v="370"/>
    <x v="365"/>
    <x v="50"/>
    <x v="4"/>
    <x v="2"/>
    <x v="0"/>
    <x v="1"/>
    <x v="0"/>
    <x v="46"/>
    <x v="4"/>
    <x v="302"/>
    <x v="1"/>
    <x v="4"/>
    <x v="0"/>
    <x v="4"/>
    <x v="63"/>
    <x v="63"/>
    <x v="0"/>
  </r>
  <r>
    <x v="371"/>
    <x v="366"/>
    <x v="96"/>
    <x v="15"/>
    <x v="1"/>
    <x v="1"/>
    <x v="0"/>
    <x v="0"/>
    <x v="46"/>
    <x v="6"/>
    <x v="303"/>
    <x v="1"/>
    <x v="15"/>
    <x v="5"/>
    <x v="15"/>
    <x v="41"/>
    <x v="41"/>
    <x v="1"/>
  </r>
  <r>
    <x v="372"/>
    <x v="367"/>
    <x v="307"/>
    <x v="16"/>
    <x v="0"/>
    <x v="4"/>
    <x v="1"/>
    <x v="0"/>
    <x v="30"/>
    <x v="7"/>
    <x v="304"/>
    <x v="0"/>
    <x v="16"/>
    <x v="1"/>
    <x v="16"/>
    <x v="115"/>
    <x v="115"/>
    <x v="0"/>
  </r>
  <r>
    <x v="373"/>
    <x v="368"/>
    <x v="308"/>
    <x v="13"/>
    <x v="0"/>
    <x v="5"/>
    <x v="1"/>
    <x v="1"/>
    <x v="44"/>
    <x v="2"/>
    <x v="305"/>
    <x v="0"/>
    <x v="13"/>
    <x v="1"/>
    <x v="13"/>
    <x v="116"/>
    <x v="116"/>
    <x v="1"/>
  </r>
  <r>
    <x v="374"/>
    <x v="369"/>
    <x v="309"/>
    <x v="8"/>
    <x v="1"/>
    <x v="2"/>
    <x v="2"/>
    <x v="2"/>
    <x v="47"/>
    <x v="2"/>
    <x v="302"/>
    <x v="1"/>
    <x v="8"/>
    <x v="1"/>
    <x v="8"/>
    <x v="17"/>
    <x v="17"/>
    <x v="0"/>
  </r>
  <r>
    <x v="375"/>
    <x v="370"/>
    <x v="132"/>
    <x v="6"/>
    <x v="1"/>
    <x v="3"/>
    <x v="1"/>
    <x v="2"/>
    <x v="35"/>
    <x v="4"/>
    <x v="301"/>
    <x v="0"/>
    <x v="6"/>
    <x v="0"/>
    <x v="6"/>
    <x v="6"/>
    <x v="6"/>
    <x v="0"/>
  </r>
  <r>
    <x v="376"/>
    <x v="371"/>
    <x v="24"/>
    <x v="5"/>
    <x v="0"/>
    <x v="2"/>
    <x v="2"/>
    <x v="0"/>
    <x v="10"/>
    <x v="9"/>
    <x v="306"/>
    <x v="0"/>
    <x v="5"/>
    <x v="2"/>
    <x v="5"/>
    <x v="5"/>
    <x v="5"/>
    <x v="0"/>
  </r>
  <r>
    <x v="377"/>
    <x v="372"/>
    <x v="310"/>
    <x v="8"/>
    <x v="1"/>
    <x v="3"/>
    <x v="3"/>
    <x v="0"/>
    <x v="45"/>
    <x v="4"/>
    <x v="291"/>
    <x v="0"/>
    <x v="8"/>
    <x v="1"/>
    <x v="8"/>
    <x v="10"/>
    <x v="10"/>
    <x v="0"/>
  </r>
  <r>
    <x v="378"/>
    <x v="373"/>
    <x v="52"/>
    <x v="5"/>
    <x v="1"/>
    <x v="0"/>
    <x v="0"/>
    <x v="0"/>
    <x v="43"/>
    <x v="5"/>
    <x v="307"/>
    <x v="0"/>
    <x v="5"/>
    <x v="2"/>
    <x v="5"/>
    <x v="99"/>
    <x v="99"/>
    <x v="1"/>
  </r>
  <r>
    <x v="379"/>
    <x v="374"/>
    <x v="263"/>
    <x v="1"/>
    <x v="1"/>
    <x v="5"/>
    <x v="1"/>
    <x v="0"/>
    <x v="23"/>
    <x v="1"/>
    <x v="64"/>
    <x v="2"/>
    <x v="1"/>
    <x v="0"/>
    <x v="1"/>
    <x v="85"/>
    <x v="85"/>
    <x v="0"/>
  </r>
  <r>
    <x v="380"/>
    <x v="375"/>
    <x v="311"/>
    <x v="4"/>
    <x v="1"/>
    <x v="2"/>
    <x v="2"/>
    <x v="0"/>
    <x v="15"/>
    <x v="6"/>
    <x v="308"/>
    <x v="0"/>
    <x v="4"/>
    <x v="0"/>
    <x v="4"/>
    <x v="15"/>
    <x v="15"/>
    <x v="1"/>
  </r>
  <r>
    <x v="381"/>
    <x v="376"/>
    <x v="312"/>
    <x v="1"/>
    <x v="3"/>
    <x v="3"/>
    <x v="1"/>
    <x v="0"/>
    <x v="8"/>
    <x v="7"/>
    <x v="69"/>
    <x v="0"/>
    <x v="1"/>
    <x v="0"/>
    <x v="1"/>
    <x v="49"/>
    <x v="49"/>
    <x v="1"/>
  </r>
  <r>
    <x v="382"/>
    <x v="377"/>
    <x v="31"/>
    <x v="6"/>
    <x v="1"/>
    <x v="2"/>
    <x v="0"/>
    <x v="0"/>
    <x v="3"/>
    <x v="4"/>
    <x v="309"/>
    <x v="0"/>
    <x v="6"/>
    <x v="0"/>
    <x v="6"/>
    <x v="13"/>
    <x v="13"/>
    <x v="0"/>
  </r>
  <r>
    <x v="383"/>
    <x v="378"/>
    <x v="167"/>
    <x v="4"/>
    <x v="1"/>
    <x v="4"/>
    <x v="2"/>
    <x v="0"/>
    <x v="1"/>
    <x v="5"/>
    <x v="310"/>
    <x v="1"/>
    <x v="4"/>
    <x v="0"/>
    <x v="4"/>
    <x v="6"/>
    <x v="6"/>
    <x v="0"/>
  </r>
  <r>
    <x v="384"/>
    <x v="379"/>
    <x v="313"/>
    <x v="12"/>
    <x v="2"/>
    <x v="3"/>
    <x v="0"/>
    <x v="0"/>
    <x v="10"/>
    <x v="6"/>
    <x v="311"/>
    <x v="1"/>
    <x v="12"/>
    <x v="4"/>
    <x v="12"/>
    <x v="21"/>
    <x v="21"/>
    <x v="0"/>
  </r>
  <r>
    <x v="385"/>
    <x v="380"/>
    <x v="314"/>
    <x v="1"/>
    <x v="3"/>
    <x v="2"/>
    <x v="0"/>
    <x v="0"/>
    <x v="12"/>
    <x v="0"/>
    <x v="158"/>
    <x v="0"/>
    <x v="1"/>
    <x v="0"/>
    <x v="1"/>
    <x v="75"/>
    <x v="75"/>
    <x v="0"/>
  </r>
  <r>
    <x v="386"/>
    <x v="381"/>
    <x v="315"/>
    <x v="8"/>
    <x v="1"/>
    <x v="4"/>
    <x v="2"/>
    <x v="0"/>
    <x v="46"/>
    <x v="2"/>
    <x v="312"/>
    <x v="0"/>
    <x v="8"/>
    <x v="1"/>
    <x v="8"/>
    <x v="45"/>
    <x v="45"/>
    <x v="0"/>
  </r>
  <r>
    <x v="387"/>
    <x v="382"/>
    <x v="316"/>
    <x v="18"/>
    <x v="0"/>
    <x v="1"/>
    <x v="1"/>
    <x v="2"/>
    <x v="11"/>
    <x v="4"/>
    <x v="263"/>
    <x v="1"/>
    <x v="18"/>
    <x v="1"/>
    <x v="18"/>
    <x v="14"/>
    <x v="14"/>
    <x v="0"/>
  </r>
  <r>
    <x v="388"/>
    <x v="383"/>
    <x v="280"/>
    <x v="2"/>
    <x v="1"/>
    <x v="4"/>
    <x v="2"/>
    <x v="0"/>
    <x v="3"/>
    <x v="4"/>
    <x v="313"/>
    <x v="0"/>
    <x v="2"/>
    <x v="1"/>
    <x v="2"/>
    <x v="34"/>
    <x v="34"/>
    <x v="0"/>
  </r>
  <r>
    <x v="389"/>
    <x v="384"/>
    <x v="58"/>
    <x v="10"/>
    <x v="3"/>
    <x v="2"/>
    <x v="1"/>
    <x v="0"/>
    <x v="28"/>
    <x v="2"/>
    <x v="259"/>
    <x v="1"/>
    <x v="10"/>
    <x v="3"/>
    <x v="10"/>
    <x v="19"/>
    <x v="19"/>
    <x v="1"/>
  </r>
  <r>
    <x v="390"/>
    <x v="385"/>
    <x v="317"/>
    <x v="9"/>
    <x v="2"/>
    <x v="2"/>
    <x v="2"/>
    <x v="0"/>
    <x v="43"/>
    <x v="2"/>
    <x v="314"/>
    <x v="0"/>
    <x v="9"/>
    <x v="0"/>
    <x v="9"/>
    <x v="24"/>
    <x v="24"/>
    <x v="0"/>
  </r>
  <r>
    <x v="391"/>
    <x v="386"/>
    <x v="318"/>
    <x v="13"/>
    <x v="1"/>
    <x v="2"/>
    <x v="0"/>
    <x v="0"/>
    <x v="17"/>
    <x v="5"/>
    <x v="93"/>
    <x v="0"/>
    <x v="13"/>
    <x v="1"/>
    <x v="13"/>
    <x v="74"/>
    <x v="74"/>
    <x v="0"/>
  </r>
  <r>
    <x v="392"/>
    <x v="387"/>
    <x v="319"/>
    <x v="15"/>
    <x v="2"/>
    <x v="2"/>
    <x v="0"/>
    <x v="0"/>
    <x v="8"/>
    <x v="3"/>
    <x v="315"/>
    <x v="1"/>
    <x v="15"/>
    <x v="5"/>
    <x v="15"/>
    <x v="93"/>
    <x v="93"/>
    <x v="0"/>
  </r>
  <r>
    <x v="393"/>
    <x v="388"/>
    <x v="320"/>
    <x v="0"/>
    <x v="1"/>
    <x v="3"/>
    <x v="0"/>
    <x v="0"/>
    <x v="30"/>
    <x v="7"/>
    <x v="184"/>
    <x v="0"/>
    <x v="0"/>
    <x v="0"/>
    <x v="0"/>
    <x v="43"/>
    <x v="43"/>
    <x v="0"/>
  </r>
  <r>
    <x v="394"/>
    <x v="389"/>
    <x v="321"/>
    <x v="5"/>
    <x v="1"/>
    <x v="2"/>
    <x v="3"/>
    <x v="0"/>
    <x v="47"/>
    <x v="8"/>
    <x v="316"/>
    <x v="1"/>
    <x v="5"/>
    <x v="2"/>
    <x v="5"/>
    <x v="0"/>
    <x v="0"/>
    <x v="0"/>
  </r>
  <r>
    <x v="395"/>
    <x v="390"/>
    <x v="322"/>
    <x v="8"/>
    <x v="2"/>
    <x v="3"/>
    <x v="0"/>
    <x v="0"/>
    <x v="6"/>
    <x v="2"/>
    <x v="317"/>
    <x v="2"/>
    <x v="8"/>
    <x v="1"/>
    <x v="8"/>
    <x v="12"/>
    <x v="12"/>
    <x v="0"/>
  </r>
  <r>
    <x v="396"/>
    <x v="391"/>
    <x v="323"/>
    <x v="13"/>
    <x v="2"/>
    <x v="2"/>
    <x v="0"/>
    <x v="0"/>
    <x v="9"/>
    <x v="7"/>
    <x v="318"/>
    <x v="0"/>
    <x v="13"/>
    <x v="1"/>
    <x v="13"/>
    <x v="117"/>
    <x v="117"/>
    <x v="0"/>
  </r>
  <r>
    <x v="397"/>
    <x v="332"/>
    <x v="207"/>
    <x v="15"/>
    <x v="1"/>
    <x v="1"/>
    <x v="0"/>
    <x v="0"/>
    <x v="31"/>
    <x v="3"/>
    <x v="280"/>
    <x v="0"/>
    <x v="15"/>
    <x v="5"/>
    <x v="15"/>
    <x v="41"/>
    <x v="41"/>
    <x v="0"/>
  </r>
  <r>
    <x v="398"/>
    <x v="392"/>
    <x v="214"/>
    <x v="4"/>
    <x v="3"/>
    <x v="5"/>
    <x v="0"/>
    <x v="0"/>
    <x v="44"/>
    <x v="2"/>
    <x v="131"/>
    <x v="1"/>
    <x v="4"/>
    <x v="0"/>
    <x v="4"/>
    <x v="85"/>
    <x v="85"/>
    <x v="0"/>
  </r>
  <r>
    <x v="399"/>
    <x v="393"/>
    <x v="137"/>
    <x v="10"/>
    <x v="3"/>
    <x v="0"/>
    <x v="0"/>
    <x v="0"/>
    <x v="16"/>
    <x v="2"/>
    <x v="319"/>
    <x v="0"/>
    <x v="10"/>
    <x v="3"/>
    <x v="10"/>
    <x v="39"/>
    <x v="39"/>
    <x v="0"/>
  </r>
  <r>
    <x v="400"/>
    <x v="394"/>
    <x v="324"/>
    <x v="1"/>
    <x v="0"/>
    <x v="3"/>
    <x v="2"/>
    <x v="0"/>
    <x v="6"/>
    <x v="4"/>
    <x v="320"/>
    <x v="1"/>
    <x v="1"/>
    <x v="0"/>
    <x v="1"/>
    <x v="118"/>
    <x v="118"/>
    <x v="0"/>
  </r>
  <r>
    <x v="401"/>
    <x v="395"/>
    <x v="244"/>
    <x v="16"/>
    <x v="2"/>
    <x v="0"/>
    <x v="3"/>
    <x v="2"/>
    <x v="5"/>
    <x v="2"/>
    <x v="321"/>
    <x v="0"/>
    <x v="16"/>
    <x v="1"/>
    <x v="16"/>
    <x v="102"/>
    <x v="102"/>
    <x v="0"/>
  </r>
  <r>
    <x v="402"/>
    <x v="396"/>
    <x v="241"/>
    <x v="4"/>
    <x v="1"/>
    <x v="5"/>
    <x v="2"/>
    <x v="0"/>
    <x v="28"/>
    <x v="7"/>
    <x v="196"/>
    <x v="1"/>
    <x v="4"/>
    <x v="0"/>
    <x v="4"/>
    <x v="70"/>
    <x v="70"/>
    <x v="0"/>
  </r>
  <r>
    <x v="403"/>
    <x v="397"/>
    <x v="81"/>
    <x v="17"/>
    <x v="0"/>
    <x v="2"/>
    <x v="1"/>
    <x v="0"/>
    <x v="7"/>
    <x v="5"/>
    <x v="322"/>
    <x v="0"/>
    <x v="17"/>
    <x v="4"/>
    <x v="17"/>
    <x v="80"/>
    <x v="80"/>
    <x v="0"/>
  </r>
  <r>
    <x v="404"/>
    <x v="398"/>
    <x v="325"/>
    <x v="7"/>
    <x v="2"/>
    <x v="2"/>
    <x v="0"/>
    <x v="0"/>
    <x v="5"/>
    <x v="0"/>
    <x v="323"/>
    <x v="1"/>
    <x v="7"/>
    <x v="1"/>
    <x v="7"/>
    <x v="87"/>
    <x v="87"/>
    <x v="0"/>
  </r>
  <r>
    <x v="405"/>
    <x v="399"/>
    <x v="60"/>
    <x v="8"/>
    <x v="1"/>
    <x v="3"/>
    <x v="0"/>
    <x v="0"/>
    <x v="18"/>
    <x v="1"/>
    <x v="324"/>
    <x v="0"/>
    <x v="8"/>
    <x v="1"/>
    <x v="8"/>
    <x v="10"/>
    <x v="10"/>
    <x v="0"/>
  </r>
  <r>
    <x v="406"/>
    <x v="400"/>
    <x v="326"/>
    <x v="6"/>
    <x v="5"/>
    <x v="2"/>
    <x v="0"/>
    <x v="0"/>
    <x v="26"/>
    <x v="4"/>
    <x v="153"/>
    <x v="0"/>
    <x v="6"/>
    <x v="0"/>
    <x v="6"/>
    <x v="119"/>
    <x v="119"/>
    <x v="0"/>
  </r>
  <r>
    <x v="407"/>
    <x v="401"/>
    <x v="327"/>
    <x v="4"/>
    <x v="1"/>
    <x v="2"/>
    <x v="0"/>
    <x v="0"/>
    <x v="11"/>
    <x v="7"/>
    <x v="312"/>
    <x v="0"/>
    <x v="4"/>
    <x v="0"/>
    <x v="4"/>
    <x v="15"/>
    <x v="15"/>
    <x v="0"/>
  </r>
  <r>
    <x v="408"/>
    <x v="402"/>
    <x v="269"/>
    <x v="10"/>
    <x v="2"/>
    <x v="3"/>
    <x v="0"/>
    <x v="0"/>
    <x v="41"/>
    <x v="2"/>
    <x v="319"/>
    <x v="1"/>
    <x v="10"/>
    <x v="3"/>
    <x v="10"/>
    <x v="45"/>
    <x v="45"/>
    <x v="0"/>
  </r>
  <r>
    <x v="409"/>
    <x v="403"/>
    <x v="328"/>
    <x v="1"/>
    <x v="1"/>
    <x v="2"/>
    <x v="2"/>
    <x v="0"/>
    <x v="34"/>
    <x v="8"/>
    <x v="325"/>
    <x v="0"/>
    <x v="1"/>
    <x v="0"/>
    <x v="1"/>
    <x v="7"/>
    <x v="7"/>
    <x v="1"/>
  </r>
  <r>
    <x v="410"/>
    <x v="404"/>
    <x v="241"/>
    <x v="14"/>
    <x v="1"/>
    <x v="2"/>
    <x v="2"/>
    <x v="0"/>
    <x v="7"/>
    <x v="7"/>
    <x v="326"/>
    <x v="1"/>
    <x v="14"/>
    <x v="1"/>
    <x v="14"/>
    <x v="78"/>
    <x v="78"/>
    <x v="0"/>
  </r>
  <r>
    <x v="411"/>
    <x v="405"/>
    <x v="329"/>
    <x v="14"/>
    <x v="2"/>
    <x v="5"/>
    <x v="2"/>
    <x v="0"/>
    <x v="37"/>
    <x v="4"/>
    <x v="166"/>
    <x v="0"/>
    <x v="14"/>
    <x v="1"/>
    <x v="14"/>
    <x v="5"/>
    <x v="5"/>
    <x v="1"/>
  </r>
  <r>
    <x v="412"/>
    <x v="406"/>
    <x v="330"/>
    <x v="15"/>
    <x v="0"/>
    <x v="0"/>
    <x v="1"/>
    <x v="2"/>
    <x v="37"/>
    <x v="2"/>
    <x v="149"/>
    <x v="0"/>
    <x v="15"/>
    <x v="5"/>
    <x v="15"/>
    <x v="120"/>
    <x v="120"/>
    <x v="0"/>
  </r>
  <r>
    <x v="413"/>
    <x v="407"/>
    <x v="331"/>
    <x v="18"/>
    <x v="1"/>
    <x v="5"/>
    <x v="0"/>
    <x v="0"/>
    <x v="28"/>
    <x v="2"/>
    <x v="327"/>
    <x v="0"/>
    <x v="18"/>
    <x v="1"/>
    <x v="18"/>
    <x v="64"/>
    <x v="64"/>
    <x v="1"/>
  </r>
  <r>
    <x v="414"/>
    <x v="408"/>
    <x v="332"/>
    <x v="1"/>
    <x v="1"/>
    <x v="0"/>
    <x v="2"/>
    <x v="0"/>
    <x v="26"/>
    <x v="1"/>
    <x v="328"/>
    <x v="0"/>
    <x v="1"/>
    <x v="0"/>
    <x v="1"/>
    <x v="1"/>
    <x v="1"/>
    <x v="0"/>
  </r>
  <r>
    <x v="415"/>
    <x v="409"/>
    <x v="43"/>
    <x v="0"/>
    <x v="2"/>
    <x v="2"/>
    <x v="0"/>
    <x v="0"/>
    <x v="38"/>
    <x v="0"/>
    <x v="329"/>
    <x v="0"/>
    <x v="0"/>
    <x v="0"/>
    <x v="0"/>
    <x v="17"/>
    <x v="17"/>
    <x v="0"/>
  </r>
  <r>
    <x v="416"/>
    <x v="410"/>
    <x v="288"/>
    <x v="7"/>
    <x v="1"/>
    <x v="2"/>
    <x v="1"/>
    <x v="0"/>
    <x v="41"/>
    <x v="1"/>
    <x v="330"/>
    <x v="0"/>
    <x v="7"/>
    <x v="1"/>
    <x v="7"/>
    <x v="101"/>
    <x v="101"/>
    <x v="1"/>
  </r>
  <r>
    <x v="417"/>
    <x v="411"/>
    <x v="333"/>
    <x v="13"/>
    <x v="2"/>
    <x v="3"/>
    <x v="0"/>
    <x v="0"/>
    <x v="39"/>
    <x v="7"/>
    <x v="331"/>
    <x v="2"/>
    <x v="13"/>
    <x v="1"/>
    <x v="13"/>
    <x v="25"/>
    <x v="25"/>
    <x v="0"/>
  </r>
  <r>
    <x v="418"/>
    <x v="412"/>
    <x v="334"/>
    <x v="4"/>
    <x v="1"/>
    <x v="3"/>
    <x v="1"/>
    <x v="0"/>
    <x v="41"/>
    <x v="5"/>
    <x v="332"/>
    <x v="1"/>
    <x v="4"/>
    <x v="0"/>
    <x v="4"/>
    <x v="45"/>
    <x v="45"/>
    <x v="0"/>
  </r>
  <r>
    <x v="419"/>
    <x v="413"/>
    <x v="83"/>
    <x v="8"/>
    <x v="1"/>
    <x v="2"/>
    <x v="0"/>
    <x v="0"/>
    <x v="39"/>
    <x v="6"/>
    <x v="274"/>
    <x v="0"/>
    <x v="8"/>
    <x v="1"/>
    <x v="8"/>
    <x v="17"/>
    <x v="17"/>
    <x v="0"/>
  </r>
  <r>
    <x v="420"/>
    <x v="414"/>
    <x v="335"/>
    <x v="19"/>
    <x v="1"/>
    <x v="4"/>
    <x v="2"/>
    <x v="0"/>
    <x v="42"/>
    <x v="2"/>
    <x v="333"/>
    <x v="0"/>
    <x v="19"/>
    <x v="1"/>
    <x v="19"/>
    <x v="76"/>
    <x v="76"/>
    <x v="0"/>
  </r>
  <r>
    <x v="421"/>
    <x v="415"/>
    <x v="336"/>
    <x v="8"/>
    <x v="1"/>
    <x v="3"/>
    <x v="0"/>
    <x v="2"/>
    <x v="13"/>
    <x v="5"/>
    <x v="263"/>
    <x v="0"/>
    <x v="8"/>
    <x v="1"/>
    <x v="8"/>
    <x v="10"/>
    <x v="10"/>
    <x v="0"/>
  </r>
  <r>
    <x v="422"/>
    <x v="416"/>
    <x v="337"/>
    <x v="14"/>
    <x v="2"/>
    <x v="5"/>
    <x v="0"/>
    <x v="0"/>
    <x v="13"/>
    <x v="2"/>
    <x v="215"/>
    <x v="0"/>
    <x v="14"/>
    <x v="1"/>
    <x v="14"/>
    <x v="5"/>
    <x v="5"/>
    <x v="1"/>
  </r>
  <r>
    <x v="423"/>
    <x v="417"/>
    <x v="325"/>
    <x v="14"/>
    <x v="2"/>
    <x v="0"/>
    <x v="3"/>
    <x v="0"/>
    <x v="40"/>
    <x v="1"/>
    <x v="334"/>
    <x v="2"/>
    <x v="14"/>
    <x v="1"/>
    <x v="14"/>
    <x v="121"/>
    <x v="121"/>
    <x v="0"/>
  </r>
  <r>
    <x v="424"/>
    <x v="418"/>
    <x v="338"/>
    <x v="11"/>
    <x v="1"/>
    <x v="2"/>
    <x v="0"/>
    <x v="0"/>
    <x v="24"/>
    <x v="6"/>
    <x v="335"/>
    <x v="1"/>
    <x v="11"/>
    <x v="1"/>
    <x v="11"/>
    <x v="86"/>
    <x v="86"/>
    <x v="0"/>
  </r>
  <r>
    <x v="425"/>
    <x v="419"/>
    <x v="339"/>
    <x v="1"/>
    <x v="3"/>
    <x v="2"/>
    <x v="1"/>
    <x v="0"/>
    <x v="38"/>
    <x v="7"/>
    <x v="336"/>
    <x v="1"/>
    <x v="1"/>
    <x v="0"/>
    <x v="1"/>
    <x v="75"/>
    <x v="75"/>
    <x v="0"/>
  </r>
  <r>
    <x v="426"/>
    <x v="420"/>
    <x v="49"/>
    <x v="0"/>
    <x v="4"/>
    <x v="5"/>
    <x v="1"/>
    <x v="0"/>
    <x v="6"/>
    <x v="7"/>
    <x v="337"/>
    <x v="0"/>
    <x v="0"/>
    <x v="0"/>
    <x v="0"/>
    <x v="1"/>
    <x v="1"/>
    <x v="0"/>
  </r>
  <r>
    <x v="427"/>
    <x v="421"/>
    <x v="340"/>
    <x v="4"/>
    <x v="1"/>
    <x v="3"/>
    <x v="2"/>
    <x v="1"/>
    <x v="24"/>
    <x v="8"/>
    <x v="338"/>
    <x v="2"/>
    <x v="4"/>
    <x v="0"/>
    <x v="4"/>
    <x v="45"/>
    <x v="45"/>
    <x v="1"/>
  </r>
  <r>
    <x v="428"/>
    <x v="422"/>
    <x v="341"/>
    <x v="13"/>
    <x v="0"/>
    <x v="0"/>
    <x v="0"/>
    <x v="0"/>
    <x v="22"/>
    <x v="9"/>
    <x v="339"/>
    <x v="1"/>
    <x v="13"/>
    <x v="1"/>
    <x v="13"/>
    <x v="122"/>
    <x v="122"/>
    <x v="0"/>
  </r>
  <r>
    <x v="429"/>
    <x v="423"/>
    <x v="342"/>
    <x v="8"/>
    <x v="3"/>
    <x v="3"/>
    <x v="2"/>
    <x v="0"/>
    <x v="44"/>
    <x v="1"/>
    <x v="340"/>
    <x v="1"/>
    <x v="8"/>
    <x v="1"/>
    <x v="8"/>
    <x v="123"/>
    <x v="123"/>
    <x v="1"/>
  </r>
  <r>
    <x v="430"/>
    <x v="424"/>
    <x v="118"/>
    <x v="18"/>
    <x v="2"/>
    <x v="2"/>
    <x v="0"/>
    <x v="0"/>
    <x v="47"/>
    <x v="2"/>
    <x v="276"/>
    <x v="0"/>
    <x v="18"/>
    <x v="1"/>
    <x v="18"/>
    <x v="53"/>
    <x v="53"/>
    <x v="1"/>
  </r>
  <r>
    <x v="431"/>
    <x v="425"/>
    <x v="343"/>
    <x v="13"/>
    <x v="3"/>
    <x v="3"/>
    <x v="0"/>
    <x v="0"/>
    <x v="4"/>
    <x v="3"/>
    <x v="341"/>
    <x v="1"/>
    <x v="13"/>
    <x v="1"/>
    <x v="13"/>
    <x v="124"/>
    <x v="124"/>
    <x v="1"/>
  </r>
  <r>
    <x v="432"/>
    <x v="426"/>
    <x v="344"/>
    <x v="8"/>
    <x v="2"/>
    <x v="4"/>
    <x v="0"/>
    <x v="1"/>
    <x v="5"/>
    <x v="1"/>
    <x v="244"/>
    <x v="0"/>
    <x v="8"/>
    <x v="1"/>
    <x v="8"/>
    <x v="63"/>
    <x v="63"/>
    <x v="0"/>
  </r>
  <r>
    <x v="433"/>
    <x v="427"/>
    <x v="55"/>
    <x v="7"/>
    <x v="1"/>
    <x v="5"/>
    <x v="1"/>
    <x v="0"/>
    <x v="9"/>
    <x v="4"/>
    <x v="96"/>
    <x v="0"/>
    <x v="7"/>
    <x v="1"/>
    <x v="7"/>
    <x v="91"/>
    <x v="91"/>
    <x v="0"/>
  </r>
  <r>
    <x v="434"/>
    <x v="428"/>
    <x v="256"/>
    <x v="8"/>
    <x v="4"/>
    <x v="1"/>
    <x v="2"/>
    <x v="0"/>
    <x v="20"/>
    <x v="4"/>
    <x v="342"/>
    <x v="0"/>
    <x v="8"/>
    <x v="1"/>
    <x v="8"/>
    <x v="110"/>
    <x v="110"/>
    <x v="0"/>
  </r>
  <r>
    <x v="435"/>
    <x v="429"/>
    <x v="232"/>
    <x v="12"/>
    <x v="1"/>
    <x v="3"/>
    <x v="2"/>
    <x v="0"/>
    <x v="21"/>
    <x v="2"/>
    <x v="260"/>
    <x v="0"/>
    <x v="12"/>
    <x v="4"/>
    <x v="12"/>
    <x v="90"/>
    <x v="90"/>
    <x v="1"/>
  </r>
  <r>
    <x v="436"/>
    <x v="430"/>
    <x v="345"/>
    <x v="13"/>
    <x v="1"/>
    <x v="5"/>
    <x v="2"/>
    <x v="0"/>
    <x v="9"/>
    <x v="2"/>
    <x v="343"/>
    <x v="0"/>
    <x v="13"/>
    <x v="1"/>
    <x v="13"/>
    <x v="125"/>
    <x v="125"/>
    <x v="0"/>
  </r>
  <r>
    <x v="437"/>
    <x v="431"/>
    <x v="346"/>
    <x v="19"/>
    <x v="1"/>
    <x v="3"/>
    <x v="0"/>
    <x v="0"/>
    <x v="41"/>
    <x v="7"/>
    <x v="344"/>
    <x v="2"/>
    <x v="19"/>
    <x v="1"/>
    <x v="19"/>
    <x v="52"/>
    <x v="52"/>
    <x v="0"/>
  </r>
  <r>
    <x v="438"/>
    <x v="432"/>
    <x v="48"/>
    <x v="3"/>
    <x v="1"/>
    <x v="2"/>
    <x v="1"/>
    <x v="0"/>
    <x v="47"/>
    <x v="9"/>
    <x v="345"/>
    <x v="0"/>
    <x v="3"/>
    <x v="2"/>
    <x v="3"/>
    <x v="84"/>
    <x v="84"/>
    <x v="1"/>
  </r>
  <r>
    <x v="439"/>
    <x v="433"/>
    <x v="347"/>
    <x v="16"/>
    <x v="2"/>
    <x v="2"/>
    <x v="2"/>
    <x v="0"/>
    <x v="47"/>
    <x v="8"/>
    <x v="0"/>
    <x v="2"/>
    <x v="16"/>
    <x v="1"/>
    <x v="16"/>
    <x v="42"/>
    <x v="42"/>
    <x v="0"/>
  </r>
  <r>
    <x v="440"/>
    <x v="434"/>
    <x v="348"/>
    <x v="4"/>
    <x v="1"/>
    <x v="2"/>
    <x v="2"/>
    <x v="0"/>
    <x v="9"/>
    <x v="9"/>
    <x v="346"/>
    <x v="0"/>
    <x v="4"/>
    <x v="0"/>
    <x v="4"/>
    <x v="15"/>
    <x v="15"/>
    <x v="0"/>
  </r>
  <r>
    <x v="441"/>
    <x v="435"/>
    <x v="349"/>
    <x v="15"/>
    <x v="1"/>
    <x v="5"/>
    <x v="2"/>
    <x v="0"/>
    <x v="15"/>
    <x v="4"/>
    <x v="347"/>
    <x v="1"/>
    <x v="15"/>
    <x v="5"/>
    <x v="15"/>
    <x v="57"/>
    <x v="57"/>
    <x v="0"/>
  </r>
  <r>
    <x v="442"/>
    <x v="436"/>
    <x v="350"/>
    <x v="7"/>
    <x v="2"/>
    <x v="3"/>
    <x v="2"/>
    <x v="0"/>
    <x v="37"/>
    <x v="2"/>
    <x v="348"/>
    <x v="2"/>
    <x v="7"/>
    <x v="1"/>
    <x v="7"/>
    <x v="28"/>
    <x v="28"/>
    <x v="1"/>
  </r>
  <r>
    <x v="443"/>
    <x v="437"/>
    <x v="351"/>
    <x v="18"/>
    <x v="1"/>
    <x v="3"/>
    <x v="0"/>
    <x v="0"/>
    <x v="9"/>
    <x v="4"/>
    <x v="349"/>
    <x v="0"/>
    <x v="18"/>
    <x v="1"/>
    <x v="18"/>
    <x v="62"/>
    <x v="62"/>
    <x v="0"/>
  </r>
  <r>
    <x v="444"/>
    <x v="438"/>
    <x v="352"/>
    <x v="2"/>
    <x v="0"/>
    <x v="0"/>
    <x v="1"/>
    <x v="0"/>
    <x v="46"/>
    <x v="6"/>
    <x v="350"/>
    <x v="0"/>
    <x v="2"/>
    <x v="1"/>
    <x v="2"/>
    <x v="126"/>
    <x v="126"/>
    <x v="1"/>
  </r>
  <r>
    <x v="445"/>
    <x v="439"/>
    <x v="353"/>
    <x v="8"/>
    <x v="1"/>
    <x v="0"/>
    <x v="1"/>
    <x v="0"/>
    <x v="45"/>
    <x v="9"/>
    <x v="351"/>
    <x v="0"/>
    <x v="8"/>
    <x v="1"/>
    <x v="8"/>
    <x v="103"/>
    <x v="103"/>
    <x v="0"/>
  </r>
  <r>
    <x v="446"/>
    <x v="440"/>
    <x v="354"/>
    <x v="17"/>
    <x v="2"/>
    <x v="2"/>
    <x v="0"/>
    <x v="0"/>
    <x v="1"/>
    <x v="2"/>
    <x v="352"/>
    <x v="1"/>
    <x v="17"/>
    <x v="4"/>
    <x v="17"/>
    <x v="92"/>
    <x v="92"/>
    <x v="0"/>
  </r>
  <r>
    <x v="447"/>
    <x v="441"/>
    <x v="355"/>
    <x v="18"/>
    <x v="1"/>
    <x v="2"/>
    <x v="0"/>
    <x v="0"/>
    <x v="20"/>
    <x v="2"/>
    <x v="186"/>
    <x v="1"/>
    <x v="18"/>
    <x v="1"/>
    <x v="18"/>
    <x v="57"/>
    <x v="57"/>
    <x v="0"/>
  </r>
  <r>
    <x v="448"/>
    <x v="442"/>
    <x v="70"/>
    <x v="8"/>
    <x v="2"/>
    <x v="1"/>
    <x v="0"/>
    <x v="0"/>
    <x v="17"/>
    <x v="2"/>
    <x v="196"/>
    <x v="1"/>
    <x v="8"/>
    <x v="1"/>
    <x v="8"/>
    <x v="99"/>
    <x v="99"/>
    <x v="1"/>
  </r>
  <r>
    <x v="449"/>
    <x v="443"/>
    <x v="356"/>
    <x v="18"/>
    <x v="1"/>
    <x v="0"/>
    <x v="0"/>
    <x v="0"/>
    <x v="9"/>
    <x v="8"/>
    <x v="353"/>
    <x v="0"/>
    <x v="18"/>
    <x v="1"/>
    <x v="18"/>
    <x v="90"/>
    <x v="90"/>
    <x v="1"/>
  </r>
  <r>
    <x v="450"/>
    <x v="444"/>
    <x v="357"/>
    <x v="16"/>
    <x v="1"/>
    <x v="3"/>
    <x v="0"/>
    <x v="0"/>
    <x v="17"/>
    <x v="3"/>
    <x v="354"/>
    <x v="0"/>
    <x v="16"/>
    <x v="1"/>
    <x v="16"/>
    <x v="56"/>
    <x v="56"/>
    <x v="1"/>
  </r>
  <r>
    <x v="451"/>
    <x v="445"/>
    <x v="358"/>
    <x v="8"/>
    <x v="2"/>
    <x v="2"/>
    <x v="3"/>
    <x v="0"/>
    <x v="30"/>
    <x v="7"/>
    <x v="355"/>
    <x v="1"/>
    <x v="8"/>
    <x v="1"/>
    <x v="8"/>
    <x v="85"/>
    <x v="85"/>
    <x v="0"/>
  </r>
  <r>
    <x v="452"/>
    <x v="446"/>
    <x v="138"/>
    <x v="2"/>
    <x v="2"/>
    <x v="0"/>
    <x v="0"/>
    <x v="0"/>
    <x v="17"/>
    <x v="1"/>
    <x v="356"/>
    <x v="0"/>
    <x v="2"/>
    <x v="1"/>
    <x v="2"/>
    <x v="88"/>
    <x v="88"/>
    <x v="1"/>
  </r>
  <r>
    <x v="453"/>
    <x v="63"/>
    <x v="359"/>
    <x v="18"/>
    <x v="1"/>
    <x v="5"/>
    <x v="3"/>
    <x v="0"/>
    <x v="36"/>
    <x v="6"/>
    <x v="61"/>
    <x v="0"/>
    <x v="18"/>
    <x v="1"/>
    <x v="18"/>
    <x v="64"/>
    <x v="64"/>
    <x v="0"/>
  </r>
  <r>
    <x v="454"/>
    <x v="447"/>
    <x v="360"/>
    <x v="0"/>
    <x v="1"/>
    <x v="0"/>
    <x v="0"/>
    <x v="2"/>
    <x v="9"/>
    <x v="9"/>
    <x v="357"/>
    <x v="0"/>
    <x v="0"/>
    <x v="0"/>
    <x v="0"/>
    <x v="55"/>
    <x v="55"/>
    <x v="1"/>
  </r>
  <r>
    <x v="455"/>
    <x v="448"/>
    <x v="283"/>
    <x v="0"/>
    <x v="3"/>
    <x v="4"/>
    <x v="0"/>
    <x v="1"/>
    <x v="31"/>
    <x v="7"/>
    <x v="56"/>
    <x v="1"/>
    <x v="0"/>
    <x v="0"/>
    <x v="0"/>
    <x v="39"/>
    <x v="39"/>
    <x v="1"/>
  </r>
  <r>
    <x v="456"/>
    <x v="449"/>
    <x v="361"/>
    <x v="12"/>
    <x v="1"/>
    <x v="2"/>
    <x v="1"/>
    <x v="0"/>
    <x v="29"/>
    <x v="2"/>
    <x v="358"/>
    <x v="0"/>
    <x v="12"/>
    <x v="4"/>
    <x v="12"/>
    <x v="62"/>
    <x v="62"/>
    <x v="0"/>
  </r>
  <r>
    <x v="457"/>
    <x v="450"/>
    <x v="75"/>
    <x v="3"/>
    <x v="3"/>
    <x v="2"/>
    <x v="0"/>
    <x v="0"/>
    <x v="41"/>
    <x v="2"/>
    <x v="359"/>
    <x v="1"/>
    <x v="3"/>
    <x v="2"/>
    <x v="3"/>
    <x v="127"/>
    <x v="127"/>
    <x v="1"/>
  </r>
  <r>
    <x v="458"/>
    <x v="451"/>
    <x v="335"/>
    <x v="9"/>
    <x v="3"/>
    <x v="1"/>
    <x v="0"/>
    <x v="0"/>
    <x v="20"/>
    <x v="1"/>
    <x v="360"/>
    <x v="2"/>
    <x v="9"/>
    <x v="0"/>
    <x v="9"/>
    <x v="128"/>
    <x v="128"/>
    <x v="0"/>
  </r>
  <r>
    <x v="459"/>
    <x v="452"/>
    <x v="84"/>
    <x v="12"/>
    <x v="1"/>
    <x v="2"/>
    <x v="3"/>
    <x v="0"/>
    <x v="38"/>
    <x v="3"/>
    <x v="361"/>
    <x v="0"/>
    <x v="12"/>
    <x v="4"/>
    <x v="12"/>
    <x v="62"/>
    <x v="62"/>
    <x v="0"/>
  </r>
  <r>
    <x v="460"/>
    <x v="453"/>
    <x v="362"/>
    <x v="0"/>
    <x v="3"/>
    <x v="5"/>
    <x v="2"/>
    <x v="0"/>
    <x v="41"/>
    <x v="2"/>
    <x v="362"/>
    <x v="0"/>
    <x v="0"/>
    <x v="0"/>
    <x v="0"/>
    <x v="129"/>
    <x v="129"/>
    <x v="0"/>
  </r>
  <r>
    <x v="461"/>
    <x v="454"/>
    <x v="156"/>
    <x v="8"/>
    <x v="1"/>
    <x v="5"/>
    <x v="3"/>
    <x v="0"/>
    <x v="11"/>
    <x v="2"/>
    <x v="363"/>
    <x v="1"/>
    <x v="8"/>
    <x v="1"/>
    <x v="8"/>
    <x v="76"/>
    <x v="76"/>
    <x v="0"/>
  </r>
  <r>
    <x v="462"/>
    <x v="455"/>
    <x v="65"/>
    <x v="2"/>
    <x v="2"/>
    <x v="2"/>
    <x v="1"/>
    <x v="0"/>
    <x v="34"/>
    <x v="6"/>
    <x v="364"/>
    <x v="2"/>
    <x v="2"/>
    <x v="1"/>
    <x v="2"/>
    <x v="130"/>
    <x v="130"/>
    <x v="1"/>
  </r>
  <r>
    <x v="463"/>
    <x v="456"/>
    <x v="284"/>
    <x v="4"/>
    <x v="1"/>
    <x v="5"/>
    <x v="0"/>
    <x v="0"/>
    <x v="47"/>
    <x v="3"/>
    <x v="67"/>
    <x v="0"/>
    <x v="4"/>
    <x v="0"/>
    <x v="4"/>
    <x v="70"/>
    <x v="70"/>
    <x v="1"/>
  </r>
  <r>
    <x v="464"/>
    <x v="457"/>
    <x v="363"/>
    <x v="0"/>
    <x v="2"/>
    <x v="5"/>
    <x v="0"/>
    <x v="0"/>
    <x v="31"/>
    <x v="7"/>
    <x v="365"/>
    <x v="1"/>
    <x v="0"/>
    <x v="0"/>
    <x v="0"/>
    <x v="76"/>
    <x v="76"/>
    <x v="0"/>
  </r>
  <r>
    <x v="465"/>
    <x v="458"/>
    <x v="364"/>
    <x v="10"/>
    <x v="1"/>
    <x v="2"/>
    <x v="0"/>
    <x v="0"/>
    <x v="0"/>
    <x v="8"/>
    <x v="366"/>
    <x v="1"/>
    <x v="10"/>
    <x v="3"/>
    <x v="10"/>
    <x v="16"/>
    <x v="16"/>
    <x v="0"/>
  </r>
  <r>
    <x v="466"/>
    <x v="459"/>
    <x v="33"/>
    <x v="12"/>
    <x v="2"/>
    <x v="2"/>
    <x v="3"/>
    <x v="0"/>
    <x v="22"/>
    <x v="9"/>
    <x v="367"/>
    <x v="0"/>
    <x v="12"/>
    <x v="4"/>
    <x v="12"/>
    <x v="38"/>
    <x v="38"/>
    <x v="1"/>
  </r>
  <r>
    <x v="467"/>
    <x v="460"/>
    <x v="365"/>
    <x v="3"/>
    <x v="3"/>
    <x v="3"/>
    <x v="1"/>
    <x v="0"/>
    <x v="5"/>
    <x v="2"/>
    <x v="368"/>
    <x v="0"/>
    <x v="3"/>
    <x v="2"/>
    <x v="3"/>
    <x v="131"/>
    <x v="131"/>
    <x v="1"/>
  </r>
  <r>
    <x v="468"/>
    <x v="461"/>
    <x v="366"/>
    <x v="0"/>
    <x v="2"/>
    <x v="0"/>
    <x v="0"/>
    <x v="0"/>
    <x v="26"/>
    <x v="2"/>
    <x v="11"/>
    <x v="0"/>
    <x v="0"/>
    <x v="0"/>
    <x v="0"/>
    <x v="103"/>
    <x v="103"/>
    <x v="0"/>
  </r>
  <r>
    <x v="469"/>
    <x v="462"/>
    <x v="367"/>
    <x v="6"/>
    <x v="3"/>
    <x v="5"/>
    <x v="1"/>
    <x v="0"/>
    <x v="8"/>
    <x v="5"/>
    <x v="183"/>
    <x v="0"/>
    <x v="6"/>
    <x v="0"/>
    <x v="6"/>
    <x v="4"/>
    <x v="4"/>
    <x v="0"/>
  </r>
  <r>
    <x v="470"/>
    <x v="463"/>
    <x v="368"/>
    <x v="6"/>
    <x v="3"/>
    <x v="0"/>
    <x v="2"/>
    <x v="0"/>
    <x v="21"/>
    <x v="6"/>
    <x v="369"/>
    <x v="1"/>
    <x v="6"/>
    <x v="0"/>
    <x v="6"/>
    <x v="91"/>
    <x v="91"/>
    <x v="0"/>
  </r>
  <r>
    <x v="471"/>
    <x v="464"/>
    <x v="369"/>
    <x v="14"/>
    <x v="1"/>
    <x v="2"/>
    <x v="0"/>
    <x v="0"/>
    <x v="32"/>
    <x v="6"/>
    <x v="370"/>
    <x v="1"/>
    <x v="14"/>
    <x v="1"/>
    <x v="14"/>
    <x v="78"/>
    <x v="78"/>
    <x v="1"/>
  </r>
  <r>
    <x v="472"/>
    <x v="465"/>
    <x v="370"/>
    <x v="4"/>
    <x v="2"/>
    <x v="5"/>
    <x v="0"/>
    <x v="0"/>
    <x v="33"/>
    <x v="4"/>
    <x v="371"/>
    <x v="0"/>
    <x v="4"/>
    <x v="0"/>
    <x v="4"/>
    <x v="59"/>
    <x v="59"/>
    <x v="0"/>
  </r>
  <r>
    <x v="473"/>
    <x v="466"/>
    <x v="29"/>
    <x v="4"/>
    <x v="0"/>
    <x v="1"/>
    <x v="0"/>
    <x v="0"/>
    <x v="45"/>
    <x v="6"/>
    <x v="80"/>
    <x v="0"/>
    <x v="4"/>
    <x v="0"/>
    <x v="4"/>
    <x v="132"/>
    <x v="132"/>
    <x v="0"/>
  </r>
  <r>
    <x v="474"/>
    <x v="467"/>
    <x v="371"/>
    <x v="4"/>
    <x v="0"/>
    <x v="2"/>
    <x v="3"/>
    <x v="0"/>
    <x v="45"/>
    <x v="6"/>
    <x v="372"/>
    <x v="0"/>
    <x v="4"/>
    <x v="0"/>
    <x v="4"/>
    <x v="24"/>
    <x v="24"/>
    <x v="0"/>
  </r>
  <r>
    <x v="475"/>
    <x v="468"/>
    <x v="372"/>
    <x v="4"/>
    <x v="1"/>
    <x v="2"/>
    <x v="0"/>
    <x v="0"/>
    <x v="20"/>
    <x v="6"/>
    <x v="282"/>
    <x v="0"/>
    <x v="4"/>
    <x v="0"/>
    <x v="4"/>
    <x v="15"/>
    <x v="15"/>
    <x v="1"/>
  </r>
  <r>
    <x v="476"/>
    <x v="469"/>
    <x v="373"/>
    <x v="17"/>
    <x v="4"/>
    <x v="5"/>
    <x v="0"/>
    <x v="0"/>
    <x v="24"/>
    <x v="8"/>
    <x v="260"/>
    <x v="0"/>
    <x v="17"/>
    <x v="4"/>
    <x v="17"/>
    <x v="133"/>
    <x v="133"/>
    <x v="1"/>
  </r>
  <r>
    <x v="477"/>
    <x v="470"/>
    <x v="374"/>
    <x v="3"/>
    <x v="2"/>
    <x v="2"/>
    <x v="1"/>
    <x v="0"/>
    <x v="8"/>
    <x v="3"/>
    <x v="373"/>
    <x v="0"/>
    <x v="3"/>
    <x v="2"/>
    <x v="3"/>
    <x v="89"/>
    <x v="89"/>
    <x v="1"/>
  </r>
  <r>
    <x v="478"/>
    <x v="471"/>
    <x v="319"/>
    <x v="4"/>
    <x v="1"/>
    <x v="2"/>
    <x v="1"/>
    <x v="1"/>
    <x v="47"/>
    <x v="1"/>
    <x v="374"/>
    <x v="1"/>
    <x v="4"/>
    <x v="0"/>
    <x v="4"/>
    <x v="15"/>
    <x v="15"/>
    <x v="0"/>
  </r>
  <r>
    <x v="479"/>
    <x v="472"/>
    <x v="375"/>
    <x v="7"/>
    <x v="1"/>
    <x v="1"/>
    <x v="3"/>
    <x v="0"/>
    <x v="25"/>
    <x v="9"/>
    <x v="245"/>
    <x v="2"/>
    <x v="7"/>
    <x v="1"/>
    <x v="7"/>
    <x v="4"/>
    <x v="4"/>
    <x v="1"/>
  </r>
  <r>
    <x v="480"/>
    <x v="372"/>
    <x v="293"/>
    <x v="3"/>
    <x v="0"/>
    <x v="2"/>
    <x v="0"/>
    <x v="0"/>
    <x v="45"/>
    <x v="4"/>
    <x v="291"/>
    <x v="0"/>
    <x v="3"/>
    <x v="2"/>
    <x v="3"/>
    <x v="134"/>
    <x v="134"/>
    <x v="1"/>
  </r>
  <r>
    <x v="481"/>
    <x v="473"/>
    <x v="236"/>
    <x v="11"/>
    <x v="1"/>
    <x v="3"/>
    <x v="0"/>
    <x v="0"/>
    <x v="45"/>
    <x v="6"/>
    <x v="375"/>
    <x v="0"/>
    <x v="11"/>
    <x v="1"/>
    <x v="11"/>
    <x v="114"/>
    <x v="114"/>
    <x v="1"/>
  </r>
  <r>
    <x v="482"/>
    <x v="474"/>
    <x v="376"/>
    <x v="2"/>
    <x v="3"/>
    <x v="3"/>
    <x v="0"/>
    <x v="0"/>
    <x v="36"/>
    <x v="2"/>
    <x v="376"/>
    <x v="1"/>
    <x v="2"/>
    <x v="1"/>
    <x v="2"/>
    <x v="135"/>
    <x v="135"/>
    <x v="0"/>
  </r>
  <r>
    <x v="483"/>
    <x v="475"/>
    <x v="300"/>
    <x v="4"/>
    <x v="2"/>
    <x v="5"/>
    <x v="0"/>
    <x v="0"/>
    <x v="30"/>
    <x v="6"/>
    <x v="79"/>
    <x v="0"/>
    <x v="4"/>
    <x v="0"/>
    <x v="4"/>
    <x v="59"/>
    <x v="59"/>
    <x v="1"/>
  </r>
  <r>
    <x v="484"/>
    <x v="476"/>
    <x v="377"/>
    <x v="5"/>
    <x v="2"/>
    <x v="1"/>
    <x v="0"/>
    <x v="0"/>
    <x v="32"/>
    <x v="2"/>
    <x v="377"/>
    <x v="0"/>
    <x v="5"/>
    <x v="2"/>
    <x v="5"/>
    <x v="123"/>
    <x v="123"/>
    <x v="0"/>
  </r>
  <r>
    <x v="485"/>
    <x v="477"/>
    <x v="378"/>
    <x v="7"/>
    <x v="2"/>
    <x v="0"/>
    <x v="0"/>
    <x v="1"/>
    <x v="45"/>
    <x v="3"/>
    <x v="361"/>
    <x v="1"/>
    <x v="7"/>
    <x v="1"/>
    <x v="7"/>
    <x v="29"/>
    <x v="29"/>
    <x v="0"/>
  </r>
  <r>
    <x v="486"/>
    <x v="478"/>
    <x v="379"/>
    <x v="15"/>
    <x v="1"/>
    <x v="3"/>
    <x v="2"/>
    <x v="0"/>
    <x v="21"/>
    <x v="9"/>
    <x v="264"/>
    <x v="0"/>
    <x v="15"/>
    <x v="5"/>
    <x v="15"/>
    <x v="136"/>
    <x v="136"/>
    <x v="0"/>
  </r>
  <r>
    <x v="487"/>
    <x v="479"/>
    <x v="380"/>
    <x v="6"/>
    <x v="1"/>
    <x v="3"/>
    <x v="0"/>
    <x v="0"/>
    <x v="25"/>
    <x v="3"/>
    <x v="378"/>
    <x v="0"/>
    <x v="6"/>
    <x v="0"/>
    <x v="6"/>
    <x v="6"/>
    <x v="6"/>
    <x v="0"/>
  </r>
  <r>
    <x v="488"/>
    <x v="480"/>
    <x v="179"/>
    <x v="7"/>
    <x v="1"/>
    <x v="5"/>
    <x v="3"/>
    <x v="0"/>
    <x v="2"/>
    <x v="0"/>
    <x v="353"/>
    <x v="0"/>
    <x v="7"/>
    <x v="1"/>
    <x v="7"/>
    <x v="91"/>
    <x v="91"/>
    <x v="0"/>
  </r>
  <r>
    <x v="489"/>
    <x v="481"/>
    <x v="208"/>
    <x v="6"/>
    <x v="3"/>
    <x v="0"/>
    <x v="0"/>
    <x v="2"/>
    <x v="24"/>
    <x v="9"/>
    <x v="379"/>
    <x v="1"/>
    <x v="6"/>
    <x v="0"/>
    <x v="6"/>
    <x v="91"/>
    <x v="91"/>
    <x v="1"/>
  </r>
  <r>
    <x v="490"/>
    <x v="482"/>
    <x v="381"/>
    <x v="7"/>
    <x v="2"/>
    <x v="2"/>
    <x v="1"/>
    <x v="0"/>
    <x v="45"/>
    <x v="2"/>
    <x v="338"/>
    <x v="0"/>
    <x v="7"/>
    <x v="1"/>
    <x v="7"/>
    <x v="87"/>
    <x v="87"/>
    <x v="1"/>
  </r>
  <r>
    <x v="491"/>
    <x v="483"/>
    <x v="382"/>
    <x v="19"/>
    <x v="1"/>
    <x v="2"/>
    <x v="0"/>
    <x v="0"/>
    <x v="4"/>
    <x v="1"/>
    <x v="380"/>
    <x v="1"/>
    <x v="19"/>
    <x v="1"/>
    <x v="19"/>
    <x v="19"/>
    <x v="19"/>
    <x v="1"/>
  </r>
  <r>
    <x v="492"/>
    <x v="484"/>
    <x v="383"/>
    <x v="7"/>
    <x v="1"/>
    <x v="0"/>
    <x v="0"/>
    <x v="0"/>
    <x v="42"/>
    <x v="2"/>
    <x v="381"/>
    <x v="1"/>
    <x v="7"/>
    <x v="1"/>
    <x v="7"/>
    <x v="0"/>
    <x v="0"/>
    <x v="1"/>
  </r>
  <r>
    <x v="493"/>
    <x v="485"/>
    <x v="85"/>
    <x v="14"/>
    <x v="1"/>
    <x v="2"/>
    <x v="0"/>
    <x v="1"/>
    <x v="3"/>
    <x v="2"/>
    <x v="382"/>
    <x v="1"/>
    <x v="14"/>
    <x v="1"/>
    <x v="14"/>
    <x v="78"/>
    <x v="78"/>
    <x v="1"/>
  </r>
  <r>
    <x v="494"/>
    <x v="486"/>
    <x v="384"/>
    <x v="18"/>
    <x v="1"/>
    <x v="2"/>
    <x v="1"/>
    <x v="0"/>
    <x v="5"/>
    <x v="4"/>
    <x v="383"/>
    <x v="0"/>
    <x v="18"/>
    <x v="1"/>
    <x v="18"/>
    <x v="57"/>
    <x v="57"/>
    <x v="0"/>
  </r>
  <r>
    <x v="495"/>
    <x v="487"/>
    <x v="385"/>
    <x v="0"/>
    <x v="2"/>
    <x v="4"/>
    <x v="3"/>
    <x v="0"/>
    <x v="43"/>
    <x v="9"/>
    <x v="384"/>
    <x v="2"/>
    <x v="0"/>
    <x v="0"/>
    <x v="0"/>
    <x v="45"/>
    <x v="45"/>
    <x v="0"/>
  </r>
  <r>
    <x v="496"/>
    <x v="488"/>
    <x v="386"/>
    <x v="6"/>
    <x v="1"/>
    <x v="2"/>
    <x v="0"/>
    <x v="0"/>
    <x v="26"/>
    <x v="6"/>
    <x v="99"/>
    <x v="0"/>
    <x v="6"/>
    <x v="0"/>
    <x v="6"/>
    <x v="13"/>
    <x v="13"/>
    <x v="1"/>
  </r>
  <r>
    <x v="497"/>
    <x v="489"/>
    <x v="387"/>
    <x v="4"/>
    <x v="0"/>
    <x v="3"/>
    <x v="3"/>
    <x v="2"/>
    <x v="30"/>
    <x v="5"/>
    <x v="385"/>
    <x v="0"/>
    <x v="4"/>
    <x v="0"/>
    <x v="4"/>
    <x v="137"/>
    <x v="137"/>
    <x v="0"/>
  </r>
  <r>
    <x v="498"/>
    <x v="490"/>
    <x v="388"/>
    <x v="5"/>
    <x v="1"/>
    <x v="2"/>
    <x v="3"/>
    <x v="0"/>
    <x v="35"/>
    <x v="7"/>
    <x v="386"/>
    <x v="1"/>
    <x v="5"/>
    <x v="2"/>
    <x v="5"/>
    <x v="0"/>
    <x v="0"/>
    <x v="0"/>
  </r>
  <r>
    <x v="499"/>
    <x v="491"/>
    <x v="389"/>
    <x v="6"/>
    <x v="2"/>
    <x v="3"/>
    <x v="0"/>
    <x v="0"/>
    <x v="20"/>
    <x v="7"/>
    <x v="119"/>
    <x v="0"/>
    <x v="6"/>
    <x v="0"/>
    <x v="6"/>
    <x v="19"/>
    <x v="19"/>
    <x v="1"/>
  </r>
  <r>
    <x v="500"/>
    <x v="492"/>
    <x v="390"/>
    <x v="14"/>
    <x v="1"/>
    <x v="3"/>
    <x v="2"/>
    <x v="0"/>
    <x v="33"/>
    <x v="2"/>
    <x v="387"/>
    <x v="0"/>
    <x v="14"/>
    <x v="1"/>
    <x v="14"/>
    <x v="48"/>
    <x v="48"/>
    <x v="1"/>
  </r>
  <r>
    <x v="501"/>
    <x v="493"/>
    <x v="391"/>
    <x v="9"/>
    <x v="1"/>
    <x v="0"/>
    <x v="1"/>
    <x v="0"/>
    <x v="42"/>
    <x v="9"/>
    <x v="388"/>
    <x v="0"/>
    <x v="9"/>
    <x v="0"/>
    <x v="9"/>
    <x v="63"/>
    <x v="63"/>
    <x v="0"/>
  </r>
  <r>
    <x v="502"/>
    <x v="494"/>
    <x v="186"/>
    <x v="13"/>
    <x v="1"/>
    <x v="0"/>
    <x v="0"/>
    <x v="0"/>
    <x v="20"/>
    <x v="5"/>
    <x v="163"/>
    <x v="0"/>
    <x v="13"/>
    <x v="1"/>
    <x v="13"/>
    <x v="138"/>
    <x v="138"/>
    <x v="0"/>
  </r>
  <r>
    <x v="503"/>
    <x v="495"/>
    <x v="392"/>
    <x v="2"/>
    <x v="3"/>
    <x v="1"/>
    <x v="2"/>
    <x v="0"/>
    <x v="1"/>
    <x v="2"/>
    <x v="389"/>
    <x v="1"/>
    <x v="2"/>
    <x v="1"/>
    <x v="2"/>
    <x v="139"/>
    <x v="139"/>
    <x v="1"/>
  </r>
  <r>
    <x v="504"/>
    <x v="478"/>
    <x v="393"/>
    <x v="12"/>
    <x v="1"/>
    <x v="0"/>
    <x v="0"/>
    <x v="0"/>
    <x v="21"/>
    <x v="9"/>
    <x v="264"/>
    <x v="0"/>
    <x v="12"/>
    <x v="4"/>
    <x v="12"/>
    <x v="2"/>
    <x v="2"/>
    <x v="1"/>
  </r>
  <r>
    <x v="505"/>
    <x v="496"/>
    <x v="204"/>
    <x v="14"/>
    <x v="2"/>
    <x v="3"/>
    <x v="0"/>
    <x v="0"/>
    <x v="26"/>
    <x v="2"/>
    <x v="381"/>
    <x v="1"/>
    <x v="14"/>
    <x v="1"/>
    <x v="14"/>
    <x v="140"/>
    <x v="140"/>
    <x v="0"/>
  </r>
  <r>
    <x v="506"/>
    <x v="497"/>
    <x v="105"/>
    <x v="9"/>
    <x v="1"/>
    <x v="2"/>
    <x v="2"/>
    <x v="0"/>
    <x v="40"/>
    <x v="6"/>
    <x v="207"/>
    <x v="0"/>
    <x v="9"/>
    <x v="0"/>
    <x v="9"/>
    <x v="4"/>
    <x v="4"/>
    <x v="0"/>
  </r>
  <r>
    <x v="507"/>
    <x v="498"/>
    <x v="334"/>
    <x v="2"/>
    <x v="3"/>
    <x v="2"/>
    <x v="0"/>
    <x v="2"/>
    <x v="3"/>
    <x v="5"/>
    <x v="390"/>
    <x v="0"/>
    <x v="2"/>
    <x v="1"/>
    <x v="2"/>
    <x v="14"/>
    <x v="14"/>
    <x v="0"/>
  </r>
  <r>
    <x v="508"/>
    <x v="499"/>
    <x v="312"/>
    <x v="6"/>
    <x v="3"/>
    <x v="3"/>
    <x v="1"/>
    <x v="0"/>
    <x v="19"/>
    <x v="2"/>
    <x v="391"/>
    <x v="1"/>
    <x v="6"/>
    <x v="0"/>
    <x v="6"/>
    <x v="77"/>
    <x v="77"/>
    <x v="1"/>
  </r>
  <r>
    <x v="509"/>
    <x v="500"/>
    <x v="151"/>
    <x v="10"/>
    <x v="2"/>
    <x v="2"/>
    <x v="2"/>
    <x v="0"/>
    <x v="39"/>
    <x v="2"/>
    <x v="181"/>
    <x v="0"/>
    <x v="10"/>
    <x v="3"/>
    <x v="10"/>
    <x v="15"/>
    <x v="15"/>
    <x v="0"/>
  </r>
  <r>
    <x v="510"/>
    <x v="501"/>
    <x v="361"/>
    <x v="4"/>
    <x v="1"/>
    <x v="2"/>
    <x v="0"/>
    <x v="0"/>
    <x v="41"/>
    <x v="2"/>
    <x v="392"/>
    <x v="1"/>
    <x v="4"/>
    <x v="0"/>
    <x v="4"/>
    <x v="15"/>
    <x v="15"/>
    <x v="0"/>
  </r>
  <r>
    <x v="511"/>
    <x v="147"/>
    <x v="25"/>
    <x v="19"/>
    <x v="1"/>
    <x v="0"/>
    <x v="3"/>
    <x v="0"/>
    <x v="45"/>
    <x v="5"/>
    <x v="136"/>
    <x v="1"/>
    <x v="19"/>
    <x v="1"/>
    <x v="19"/>
    <x v="39"/>
    <x v="39"/>
    <x v="0"/>
  </r>
  <r>
    <x v="512"/>
    <x v="502"/>
    <x v="394"/>
    <x v="4"/>
    <x v="2"/>
    <x v="5"/>
    <x v="3"/>
    <x v="0"/>
    <x v="33"/>
    <x v="1"/>
    <x v="393"/>
    <x v="0"/>
    <x v="4"/>
    <x v="0"/>
    <x v="4"/>
    <x v="59"/>
    <x v="59"/>
    <x v="0"/>
  </r>
  <r>
    <x v="513"/>
    <x v="503"/>
    <x v="395"/>
    <x v="15"/>
    <x v="1"/>
    <x v="0"/>
    <x v="2"/>
    <x v="0"/>
    <x v="37"/>
    <x v="2"/>
    <x v="143"/>
    <x v="0"/>
    <x v="15"/>
    <x v="5"/>
    <x v="15"/>
    <x v="30"/>
    <x v="30"/>
    <x v="1"/>
  </r>
  <r>
    <x v="514"/>
    <x v="504"/>
    <x v="26"/>
    <x v="0"/>
    <x v="1"/>
    <x v="3"/>
    <x v="0"/>
    <x v="0"/>
    <x v="26"/>
    <x v="4"/>
    <x v="127"/>
    <x v="1"/>
    <x v="0"/>
    <x v="0"/>
    <x v="0"/>
    <x v="43"/>
    <x v="43"/>
    <x v="0"/>
  </r>
  <r>
    <x v="515"/>
    <x v="505"/>
    <x v="396"/>
    <x v="13"/>
    <x v="2"/>
    <x v="4"/>
    <x v="0"/>
    <x v="0"/>
    <x v="27"/>
    <x v="9"/>
    <x v="394"/>
    <x v="2"/>
    <x v="13"/>
    <x v="1"/>
    <x v="13"/>
    <x v="141"/>
    <x v="141"/>
    <x v="0"/>
  </r>
  <r>
    <x v="516"/>
    <x v="506"/>
    <x v="397"/>
    <x v="16"/>
    <x v="2"/>
    <x v="2"/>
    <x v="3"/>
    <x v="0"/>
    <x v="31"/>
    <x v="1"/>
    <x v="395"/>
    <x v="1"/>
    <x v="16"/>
    <x v="1"/>
    <x v="16"/>
    <x v="42"/>
    <x v="42"/>
    <x v="0"/>
  </r>
  <r>
    <x v="517"/>
    <x v="507"/>
    <x v="398"/>
    <x v="16"/>
    <x v="2"/>
    <x v="3"/>
    <x v="2"/>
    <x v="2"/>
    <x v="38"/>
    <x v="6"/>
    <x v="396"/>
    <x v="0"/>
    <x v="16"/>
    <x v="1"/>
    <x v="16"/>
    <x v="3"/>
    <x v="3"/>
    <x v="0"/>
  </r>
  <r>
    <x v="518"/>
    <x v="492"/>
    <x v="399"/>
    <x v="2"/>
    <x v="1"/>
    <x v="2"/>
    <x v="1"/>
    <x v="0"/>
    <x v="33"/>
    <x v="2"/>
    <x v="387"/>
    <x v="0"/>
    <x v="2"/>
    <x v="1"/>
    <x v="2"/>
    <x v="23"/>
    <x v="23"/>
    <x v="0"/>
  </r>
  <r>
    <x v="519"/>
    <x v="508"/>
    <x v="400"/>
    <x v="11"/>
    <x v="2"/>
    <x v="1"/>
    <x v="0"/>
    <x v="0"/>
    <x v="25"/>
    <x v="8"/>
    <x v="397"/>
    <x v="1"/>
    <x v="11"/>
    <x v="1"/>
    <x v="11"/>
    <x v="33"/>
    <x v="33"/>
    <x v="1"/>
  </r>
  <r>
    <x v="520"/>
    <x v="509"/>
    <x v="300"/>
    <x v="1"/>
    <x v="3"/>
    <x v="0"/>
    <x v="1"/>
    <x v="2"/>
    <x v="4"/>
    <x v="8"/>
    <x v="398"/>
    <x v="2"/>
    <x v="1"/>
    <x v="0"/>
    <x v="1"/>
    <x v="95"/>
    <x v="95"/>
    <x v="1"/>
  </r>
  <r>
    <x v="521"/>
    <x v="510"/>
    <x v="401"/>
    <x v="17"/>
    <x v="1"/>
    <x v="5"/>
    <x v="0"/>
    <x v="0"/>
    <x v="15"/>
    <x v="3"/>
    <x v="72"/>
    <x v="1"/>
    <x v="17"/>
    <x v="4"/>
    <x v="17"/>
    <x v="113"/>
    <x v="113"/>
    <x v="0"/>
  </r>
  <r>
    <x v="522"/>
    <x v="511"/>
    <x v="402"/>
    <x v="18"/>
    <x v="1"/>
    <x v="0"/>
    <x v="1"/>
    <x v="0"/>
    <x v="40"/>
    <x v="3"/>
    <x v="399"/>
    <x v="1"/>
    <x v="18"/>
    <x v="1"/>
    <x v="18"/>
    <x v="90"/>
    <x v="90"/>
    <x v="1"/>
  </r>
  <r>
    <x v="523"/>
    <x v="512"/>
    <x v="403"/>
    <x v="17"/>
    <x v="1"/>
    <x v="2"/>
    <x v="2"/>
    <x v="0"/>
    <x v="17"/>
    <x v="5"/>
    <x v="400"/>
    <x v="1"/>
    <x v="17"/>
    <x v="4"/>
    <x v="17"/>
    <x v="49"/>
    <x v="49"/>
    <x v="0"/>
  </r>
  <r>
    <x v="524"/>
    <x v="513"/>
    <x v="7"/>
    <x v="0"/>
    <x v="1"/>
    <x v="2"/>
    <x v="3"/>
    <x v="0"/>
    <x v="31"/>
    <x v="2"/>
    <x v="401"/>
    <x v="0"/>
    <x v="0"/>
    <x v="0"/>
    <x v="0"/>
    <x v="43"/>
    <x v="43"/>
    <x v="1"/>
  </r>
  <r>
    <x v="525"/>
    <x v="514"/>
    <x v="290"/>
    <x v="7"/>
    <x v="2"/>
    <x v="2"/>
    <x v="0"/>
    <x v="0"/>
    <x v="29"/>
    <x v="1"/>
    <x v="402"/>
    <x v="0"/>
    <x v="7"/>
    <x v="1"/>
    <x v="7"/>
    <x v="87"/>
    <x v="87"/>
    <x v="1"/>
  </r>
  <r>
    <x v="526"/>
    <x v="515"/>
    <x v="404"/>
    <x v="6"/>
    <x v="1"/>
    <x v="2"/>
    <x v="2"/>
    <x v="0"/>
    <x v="32"/>
    <x v="2"/>
    <x v="403"/>
    <x v="0"/>
    <x v="6"/>
    <x v="0"/>
    <x v="6"/>
    <x v="13"/>
    <x v="13"/>
    <x v="1"/>
  </r>
  <r>
    <x v="527"/>
    <x v="516"/>
    <x v="171"/>
    <x v="14"/>
    <x v="2"/>
    <x v="2"/>
    <x v="2"/>
    <x v="0"/>
    <x v="39"/>
    <x v="5"/>
    <x v="404"/>
    <x v="0"/>
    <x v="14"/>
    <x v="1"/>
    <x v="14"/>
    <x v="73"/>
    <x v="73"/>
    <x v="0"/>
  </r>
  <r>
    <x v="528"/>
    <x v="517"/>
    <x v="231"/>
    <x v="4"/>
    <x v="1"/>
    <x v="5"/>
    <x v="2"/>
    <x v="0"/>
    <x v="7"/>
    <x v="2"/>
    <x v="76"/>
    <x v="2"/>
    <x v="4"/>
    <x v="0"/>
    <x v="4"/>
    <x v="70"/>
    <x v="70"/>
    <x v="1"/>
  </r>
  <r>
    <x v="529"/>
    <x v="518"/>
    <x v="251"/>
    <x v="18"/>
    <x v="1"/>
    <x v="3"/>
    <x v="0"/>
    <x v="0"/>
    <x v="10"/>
    <x v="6"/>
    <x v="294"/>
    <x v="2"/>
    <x v="18"/>
    <x v="1"/>
    <x v="18"/>
    <x v="62"/>
    <x v="62"/>
    <x v="0"/>
  </r>
  <r>
    <x v="530"/>
    <x v="519"/>
    <x v="405"/>
    <x v="6"/>
    <x v="2"/>
    <x v="3"/>
    <x v="0"/>
    <x v="0"/>
    <x v="4"/>
    <x v="3"/>
    <x v="405"/>
    <x v="1"/>
    <x v="6"/>
    <x v="0"/>
    <x v="6"/>
    <x v="19"/>
    <x v="19"/>
    <x v="1"/>
  </r>
  <r>
    <x v="531"/>
    <x v="520"/>
    <x v="406"/>
    <x v="11"/>
    <x v="2"/>
    <x v="2"/>
    <x v="2"/>
    <x v="0"/>
    <x v="37"/>
    <x v="2"/>
    <x v="350"/>
    <x v="0"/>
    <x v="11"/>
    <x v="1"/>
    <x v="11"/>
    <x v="106"/>
    <x v="106"/>
    <x v="0"/>
  </r>
  <r>
    <x v="532"/>
    <x v="521"/>
    <x v="407"/>
    <x v="0"/>
    <x v="1"/>
    <x v="3"/>
    <x v="0"/>
    <x v="0"/>
    <x v="6"/>
    <x v="8"/>
    <x v="406"/>
    <x v="1"/>
    <x v="0"/>
    <x v="0"/>
    <x v="0"/>
    <x v="43"/>
    <x v="43"/>
    <x v="0"/>
  </r>
  <r>
    <x v="533"/>
    <x v="522"/>
    <x v="408"/>
    <x v="0"/>
    <x v="2"/>
    <x v="1"/>
    <x v="0"/>
    <x v="0"/>
    <x v="44"/>
    <x v="1"/>
    <x v="390"/>
    <x v="0"/>
    <x v="0"/>
    <x v="0"/>
    <x v="0"/>
    <x v="15"/>
    <x v="15"/>
    <x v="0"/>
  </r>
  <r>
    <x v="534"/>
    <x v="523"/>
    <x v="409"/>
    <x v="6"/>
    <x v="1"/>
    <x v="3"/>
    <x v="0"/>
    <x v="0"/>
    <x v="29"/>
    <x v="9"/>
    <x v="407"/>
    <x v="1"/>
    <x v="6"/>
    <x v="0"/>
    <x v="6"/>
    <x v="6"/>
    <x v="6"/>
    <x v="0"/>
  </r>
  <r>
    <x v="535"/>
    <x v="524"/>
    <x v="370"/>
    <x v="12"/>
    <x v="1"/>
    <x v="3"/>
    <x v="2"/>
    <x v="0"/>
    <x v="28"/>
    <x v="5"/>
    <x v="408"/>
    <x v="0"/>
    <x v="12"/>
    <x v="4"/>
    <x v="12"/>
    <x v="90"/>
    <x v="90"/>
    <x v="0"/>
  </r>
  <r>
    <x v="536"/>
    <x v="525"/>
    <x v="410"/>
    <x v="14"/>
    <x v="3"/>
    <x v="5"/>
    <x v="0"/>
    <x v="0"/>
    <x v="15"/>
    <x v="1"/>
    <x v="409"/>
    <x v="0"/>
    <x v="14"/>
    <x v="1"/>
    <x v="14"/>
    <x v="142"/>
    <x v="142"/>
    <x v="0"/>
  </r>
  <r>
    <x v="537"/>
    <x v="526"/>
    <x v="17"/>
    <x v="4"/>
    <x v="2"/>
    <x v="3"/>
    <x v="0"/>
    <x v="0"/>
    <x v="3"/>
    <x v="6"/>
    <x v="410"/>
    <x v="2"/>
    <x v="4"/>
    <x v="0"/>
    <x v="4"/>
    <x v="37"/>
    <x v="37"/>
    <x v="1"/>
  </r>
  <r>
    <x v="538"/>
    <x v="527"/>
    <x v="411"/>
    <x v="10"/>
    <x v="1"/>
    <x v="5"/>
    <x v="2"/>
    <x v="0"/>
    <x v="4"/>
    <x v="1"/>
    <x v="411"/>
    <x v="1"/>
    <x v="10"/>
    <x v="3"/>
    <x v="10"/>
    <x v="20"/>
    <x v="20"/>
    <x v="1"/>
  </r>
  <r>
    <x v="539"/>
    <x v="528"/>
    <x v="412"/>
    <x v="9"/>
    <x v="1"/>
    <x v="0"/>
    <x v="1"/>
    <x v="0"/>
    <x v="37"/>
    <x v="9"/>
    <x v="412"/>
    <x v="0"/>
    <x v="9"/>
    <x v="0"/>
    <x v="9"/>
    <x v="63"/>
    <x v="63"/>
    <x v="0"/>
  </r>
  <r>
    <x v="540"/>
    <x v="529"/>
    <x v="413"/>
    <x v="10"/>
    <x v="1"/>
    <x v="3"/>
    <x v="2"/>
    <x v="0"/>
    <x v="42"/>
    <x v="5"/>
    <x v="413"/>
    <x v="1"/>
    <x v="10"/>
    <x v="3"/>
    <x v="10"/>
    <x v="16"/>
    <x v="16"/>
    <x v="0"/>
  </r>
  <r>
    <x v="541"/>
    <x v="530"/>
    <x v="414"/>
    <x v="4"/>
    <x v="3"/>
    <x v="3"/>
    <x v="0"/>
    <x v="0"/>
    <x v="17"/>
    <x v="2"/>
    <x v="414"/>
    <x v="1"/>
    <x v="4"/>
    <x v="0"/>
    <x v="4"/>
    <x v="54"/>
    <x v="54"/>
    <x v="0"/>
  </r>
  <r>
    <x v="542"/>
    <x v="531"/>
    <x v="415"/>
    <x v="14"/>
    <x v="1"/>
    <x v="0"/>
    <x v="3"/>
    <x v="0"/>
    <x v="30"/>
    <x v="2"/>
    <x v="315"/>
    <x v="0"/>
    <x v="14"/>
    <x v="1"/>
    <x v="14"/>
    <x v="35"/>
    <x v="35"/>
    <x v="0"/>
  </r>
  <r>
    <x v="543"/>
    <x v="532"/>
    <x v="240"/>
    <x v="12"/>
    <x v="2"/>
    <x v="3"/>
    <x v="0"/>
    <x v="0"/>
    <x v="30"/>
    <x v="5"/>
    <x v="415"/>
    <x v="0"/>
    <x v="12"/>
    <x v="4"/>
    <x v="12"/>
    <x v="21"/>
    <x v="21"/>
    <x v="1"/>
  </r>
  <r>
    <x v="544"/>
    <x v="305"/>
    <x v="416"/>
    <x v="10"/>
    <x v="1"/>
    <x v="5"/>
    <x v="2"/>
    <x v="0"/>
    <x v="2"/>
    <x v="0"/>
    <x v="258"/>
    <x v="0"/>
    <x v="10"/>
    <x v="3"/>
    <x v="10"/>
    <x v="20"/>
    <x v="20"/>
    <x v="1"/>
  </r>
  <r>
    <x v="545"/>
    <x v="533"/>
    <x v="417"/>
    <x v="17"/>
    <x v="1"/>
    <x v="2"/>
    <x v="0"/>
    <x v="0"/>
    <x v="16"/>
    <x v="5"/>
    <x v="416"/>
    <x v="0"/>
    <x v="17"/>
    <x v="4"/>
    <x v="17"/>
    <x v="49"/>
    <x v="49"/>
    <x v="0"/>
  </r>
  <r>
    <x v="546"/>
    <x v="534"/>
    <x v="193"/>
    <x v="10"/>
    <x v="2"/>
    <x v="0"/>
    <x v="3"/>
    <x v="0"/>
    <x v="15"/>
    <x v="0"/>
    <x v="128"/>
    <x v="0"/>
    <x v="10"/>
    <x v="3"/>
    <x v="10"/>
    <x v="45"/>
    <x v="45"/>
    <x v="0"/>
  </r>
  <r>
    <x v="547"/>
    <x v="535"/>
    <x v="244"/>
    <x v="11"/>
    <x v="3"/>
    <x v="3"/>
    <x v="1"/>
    <x v="0"/>
    <x v="16"/>
    <x v="8"/>
    <x v="417"/>
    <x v="0"/>
    <x v="11"/>
    <x v="1"/>
    <x v="11"/>
    <x v="143"/>
    <x v="143"/>
    <x v="0"/>
  </r>
  <r>
    <x v="548"/>
    <x v="536"/>
    <x v="87"/>
    <x v="7"/>
    <x v="1"/>
    <x v="2"/>
    <x v="1"/>
    <x v="0"/>
    <x v="6"/>
    <x v="2"/>
    <x v="418"/>
    <x v="0"/>
    <x v="7"/>
    <x v="1"/>
    <x v="7"/>
    <x v="101"/>
    <x v="101"/>
    <x v="0"/>
  </r>
  <r>
    <x v="549"/>
    <x v="537"/>
    <x v="225"/>
    <x v="12"/>
    <x v="1"/>
    <x v="3"/>
    <x v="2"/>
    <x v="0"/>
    <x v="14"/>
    <x v="5"/>
    <x v="419"/>
    <x v="1"/>
    <x v="12"/>
    <x v="4"/>
    <x v="12"/>
    <x v="90"/>
    <x v="90"/>
    <x v="1"/>
  </r>
  <r>
    <x v="550"/>
    <x v="538"/>
    <x v="262"/>
    <x v="14"/>
    <x v="2"/>
    <x v="5"/>
    <x v="3"/>
    <x v="0"/>
    <x v="18"/>
    <x v="3"/>
    <x v="306"/>
    <x v="1"/>
    <x v="14"/>
    <x v="1"/>
    <x v="14"/>
    <x v="5"/>
    <x v="5"/>
    <x v="1"/>
  </r>
  <r>
    <x v="551"/>
    <x v="539"/>
    <x v="7"/>
    <x v="6"/>
    <x v="1"/>
    <x v="2"/>
    <x v="1"/>
    <x v="0"/>
    <x v="28"/>
    <x v="6"/>
    <x v="420"/>
    <x v="2"/>
    <x v="6"/>
    <x v="0"/>
    <x v="6"/>
    <x v="13"/>
    <x v="13"/>
    <x v="1"/>
  </r>
  <r>
    <x v="552"/>
    <x v="540"/>
    <x v="38"/>
    <x v="10"/>
    <x v="1"/>
    <x v="3"/>
    <x v="1"/>
    <x v="0"/>
    <x v="6"/>
    <x v="6"/>
    <x v="65"/>
    <x v="0"/>
    <x v="10"/>
    <x v="3"/>
    <x v="10"/>
    <x v="16"/>
    <x v="16"/>
    <x v="1"/>
  </r>
  <r>
    <x v="553"/>
    <x v="541"/>
    <x v="347"/>
    <x v="4"/>
    <x v="2"/>
    <x v="2"/>
    <x v="0"/>
    <x v="0"/>
    <x v="21"/>
    <x v="8"/>
    <x v="421"/>
    <x v="1"/>
    <x v="4"/>
    <x v="0"/>
    <x v="4"/>
    <x v="4"/>
    <x v="4"/>
    <x v="0"/>
  </r>
  <r>
    <x v="554"/>
    <x v="542"/>
    <x v="173"/>
    <x v="6"/>
    <x v="2"/>
    <x v="3"/>
    <x v="0"/>
    <x v="0"/>
    <x v="4"/>
    <x v="7"/>
    <x v="422"/>
    <x v="0"/>
    <x v="6"/>
    <x v="0"/>
    <x v="6"/>
    <x v="19"/>
    <x v="19"/>
    <x v="0"/>
  </r>
  <r>
    <x v="555"/>
    <x v="543"/>
    <x v="418"/>
    <x v="16"/>
    <x v="0"/>
    <x v="0"/>
    <x v="0"/>
    <x v="0"/>
    <x v="7"/>
    <x v="8"/>
    <x v="423"/>
    <x v="1"/>
    <x v="16"/>
    <x v="1"/>
    <x v="16"/>
    <x v="69"/>
    <x v="69"/>
    <x v="0"/>
  </r>
  <r>
    <x v="556"/>
    <x v="544"/>
    <x v="419"/>
    <x v="4"/>
    <x v="1"/>
    <x v="3"/>
    <x v="3"/>
    <x v="0"/>
    <x v="32"/>
    <x v="2"/>
    <x v="424"/>
    <x v="0"/>
    <x v="4"/>
    <x v="0"/>
    <x v="4"/>
    <x v="45"/>
    <x v="45"/>
    <x v="0"/>
  </r>
  <r>
    <x v="557"/>
    <x v="545"/>
    <x v="149"/>
    <x v="10"/>
    <x v="0"/>
    <x v="5"/>
    <x v="2"/>
    <x v="0"/>
    <x v="31"/>
    <x v="3"/>
    <x v="425"/>
    <x v="2"/>
    <x v="10"/>
    <x v="3"/>
    <x v="10"/>
    <x v="59"/>
    <x v="59"/>
    <x v="1"/>
  </r>
  <r>
    <x v="558"/>
    <x v="546"/>
    <x v="419"/>
    <x v="11"/>
    <x v="2"/>
    <x v="3"/>
    <x v="0"/>
    <x v="0"/>
    <x v="17"/>
    <x v="7"/>
    <x v="426"/>
    <x v="1"/>
    <x v="11"/>
    <x v="1"/>
    <x v="11"/>
    <x v="98"/>
    <x v="98"/>
    <x v="0"/>
  </r>
  <r>
    <x v="559"/>
    <x v="547"/>
    <x v="365"/>
    <x v="4"/>
    <x v="1"/>
    <x v="0"/>
    <x v="3"/>
    <x v="0"/>
    <x v="24"/>
    <x v="5"/>
    <x v="427"/>
    <x v="0"/>
    <x v="4"/>
    <x v="0"/>
    <x v="4"/>
    <x v="45"/>
    <x v="45"/>
    <x v="1"/>
  </r>
  <r>
    <x v="560"/>
    <x v="548"/>
    <x v="235"/>
    <x v="12"/>
    <x v="4"/>
    <x v="0"/>
    <x v="1"/>
    <x v="0"/>
    <x v="10"/>
    <x v="6"/>
    <x v="428"/>
    <x v="1"/>
    <x v="12"/>
    <x v="4"/>
    <x v="12"/>
    <x v="144"/>
    <x v="144"/>
    <x v="1"/>
  </r>
  <r>
    <x v="561"/>
    <x v="549"/>
    <x v="260"/>
    <x v="9"/>
    <x v="2"/>
    <x v="0"/>
    <x v="0"/>
    <x v="2"/>
    <x v="2"/>
    <x v="2"/>
    <x v="384"/>
    <x v="1"/>
    <x v="9"/>
    <x v="0"/>
    <x v="9"/>
    <x v="2"/>
    <x v="2"/>
    <x v="0"/>
  </r>
  <r>
    <x v="562"/>
    <x v="550"/>
    <x v="383"/>
    <x v="18"/>
    <x v="3"/>
    <x v="3"/>
    <x v="0"/>
    <x v="0"/>
    <x v="16"/>
    <x v="0"/>
    <x v="429"/>
    <x v="1"/>
    <x v="18"/>
    <x v="1"/>
    <x v="18"/>
    <x v="145"/>
    <x v="145"/>
    <x v="1"/>
  </r>
  <r>
    <x v="563"/>
    <x v="551"/>
    <x v="420"/>
    <x v="0"/>
    <x v="0"/>
    <x v="0"/>
    <x v="0"/>
    <x v="0"/>
    <x v="44"/>
    <x v="4"/>
    <x v="430"/>
    <x v="0"/>
    <x v="0"/>
    <x v="0"/>
    <x v="0"/>
    <x v="0"/>
    <x v="0"/>
    <x v="1"/>
  </r>
  <r>
    <x v="564"/>
    <x v="552"/>
    <x v="421"/>
    <x v="19"/>
    <x v="1"/>
    <x v="2"/>
    <x v="2"/>
    <x v="0"/>
    <x v="5"/>
    <x v="6"/>
    <x v="431"/>
    <x v="0"/>
    <x v="19"/>
    <x v="1"/>
    <x v="19"/>
    <x v="19"/>
    <x v="19"/>
    <x v="0"/>
  </r>
  <r>
    <x v="565"/>
    <x v="553"/>
    <x v="422"/>
    <x v="0"/>
    <x v="4"/>
    <x v="0"/>
    <x v="2"/>
    <x v="0"/>
    <x v="24"/>
    <x v="2"/>
    <x v="432"/>
    <x v="0"/>
    <x v="0"/>
    <x v="0"/>
    <x v="0"/>
    <x v="54"/>
    <x v="54"/>
    <x v="0"/>
  </r>
  <r>
    <x v="566"/>
    <x v="554"/>
    <x v="423"/>
    <x v="6"/>
    <x v="2"/>
    <x v="5"/>
    <x v="0"/>
    <x v="0"/>
    <x v="13"/>
    <x v="1"/>
    <x v="433"/>
    <x v="0"/>
    <x v="6"/>
    <x v="0"/>
    <x v="6"/>
    <x v="39"/>
    <x v="39"/>
    <x v="1"/>
  </r>
  <r>
    <x v="567"/>
    <x v="555"/>
    <x v="424"/>
    <x v="6"/>
    <x v="4"/>
    <x v="3"/>
    <x v="1"/>
    <x v="0"/>
    <x v="22"/>
    <x v="6"/>
    <x v="403"/>
    <x v="0"/>
    <x v="6"/>
    <x v="0"/>
    <x v="6"/>
    <x v="90"/>
    <x v="90"/>
    <x v="0"/>
  </r>
  <r>
    <x v="568"/>
    <x v="556"/>
    <x v="425"/>
    <x v="11"/>
    <x v="1"/>
    <x v="5"/>
    <x v="0"/>
    <x v="0"/>
    <x v="22"/>
    <x v="4"/>
    <x v="434"/>
    <x v="1"/>
    <x v="11"/>
    <x v="1"/>
    <x v="11"/>
    <x v="94"/>
    <x v="94"/>
    <x v="1"/>
  </r>
  <r>
    <x v="569"/>
    <x v="557"/>
    <x v="426"/>
    <x v="19"/>
    <x v="2"/>
    <x v="2"/>
    <x v="1"/>
    <x v="0"/>
    <x v="6"/>
    <x v="3"/>
    <x v="194"/>
    <x v="2"/>
    <x v="19"/>
    <x v="1"/>
    <x v="19"/>
    <x v="7"/>
    <x v="7"/>
    <x v="0"/>
  </r>
  <r>
    <x v="570"/>
    <x v="558"/>
    <x v="427"/>
    <x v="7"/>
    <x v="3"/>
    <x v="3"/>
    <x v="2"/>
    <x v="0"/>
    <x v="0"/>
    <x v="1"/>
    <x v="435"/>
    <x v="0"/>
    <x v="7"/>
    <x v="1"/>
    <x v="7"/>
    <x v="146"/>
    <x v="146"/>
    <x v="0"/>
  </r>
  <r>
    <x v="571"/>
    <x v="559"/>
    <x v="260"/>
    <x v="4"/>
    <x v="3"/>
    <x v="2"/>
    <x v="2"/>
    <x v="0"/>
    <x v="8"/>
    <x v="3"/>
    <x v="436"/>
    <x v="0"/>
    <x v="4"/>
    <x v="0"/>
    <x v="4"/>
    <x v="7"/>
    <x v="7"/>
    <x v="0"/>
  </r>
  <r>
    <x v="572"/>
    <x v="560"/>
    <x v="378"/>
    <x v="5"/>
    <x v="1"/>
    <x v="2"/>
    <x v="2"/>
    <x v="0"/>
    <x v="14"/>
    <x v="2"/>
    <x v="129"/>
    <x v="1"/>
    <x v="5"/>
    <x v="2"/>
    <x v="5"/>
    <x v="0"/>
    <x v="0"/>
    <x v="0"/>
  </r>
  <r>
    <x v="573"/>
    <x v="561"/>
    <x v="428"/>
    <x v="15"/>
    <x v="1"/>
    <x v="0"/>
    <x v="2"/>
    <x v="0"/>
    <x v="19"/>
    <x v="1"/>
    <x v="274"/>
    <x v="0"/>
    <x v="15"/>
    <x v="5"/>
    <x v="15"/>
    <x v="30"/>
    <x v="30"/>
    <x v="1"/>
  </r>
  <r>
    <x v="574"/>
    <x v="562"/>
    <x v="429"/>
    <x v="14"/>
    <x v="2"/>
    <x v="5"/>
    <x v="1"/>
    <x v="0"/>
    <x v="33"/>
    <x v="3"/>
    <x v="411"/>
    <x v="0"/>
    <x v="14"/>
    <x v="1"/>
    <x v="14"/>
    <x v="5"/>
    <x v="5"/>
    <x v="1"/>
  </r>
  <r>
    <x v="575"/>
    <x v="563"/>
    <x v="318"/>
    <x v="0"/>
    <x v="3"/>
    <x v="5"/>
    <x v="1"/>
    <x v="0"/>
    <x v="12"/>
    <x v="2"/>
    <x v="53"/>
    <x v="1"/>
    <x v="0"/>
    <x v="0"/>
    <x v="0"/>
    <x v="129"/>
    <x v="129"/>
    <x v="0"/>
  </r>
  <r>
    <x v="576"/>
    <x v="564"/>
    <x v="153"/>
    <x v="16"/>
    <x v="3"/>
    <x v="2"/>
    <x v="3"/>
    <x v="0"/>
    <x v="5"/>
    <x v="2"/>
    <x v="437"/>
    <x v="1"/>
    <x v="16"/>
    <x v="1"/>
    <x v="16"/>
    <x v="97"/>
    <x v="97"/>
    <x v="1"/>
  </r>
  <r>
    <x v="577"/>
    <x v="565"/>
    <x v="139"/>
    <x v="11"/>
    <x v="2"/>
    <x v="0"/>
    <x v="0"/>
    <x v="0"/>
    <x v="17"/>
    <x v="8"/>
    <x v="438"/>
    <x v="1"/>
    <x v="11"/>
    <x v="1"/>
    <x v="11"/>
    <x v="22"/>
    <x v="22"/>
    <x v="1"/>
  </r>
  <r>
    <x v="578"/>
    <x v="566"/>
    <x v="430"/>
    <x v="18"/>
    <x v="2"/>
    <x v="0"/>
    <x v="1"/>
    <x v="0"/>
    <x v="47"/>
    <x v="2"/>
    <x v="163"/>
    <x v="0"/>
    <x v="18"/>
    <x v="1"/>
    <x v="18"/>
    <x v="21"/>
    <x v="21"/>
    <x v="0"/>
  </r>
  <r>
    <x v="579"/>
    <x v="567"/>
    <x v="36"/>
    <x v="15"/>
    <x v="1"/>
    <x v="2"/>
    <x v="0"/>
    <x v="0"/>
    <x v="19"/>
    <x v="2"/>
    <x v="439"/>
    <x v="1"/>
    <x v="15"/>
    <x v="5"/>
    <x v="15"/>
    <x v="35"/>
    <x v="35"/>
    <x v="1"/>
  </r>
  <r>
    <x v="580"/>
    <x v="568"/>
    <x v="25"/>
    <x v="6"/>
    <x v="3"/>
    <x v="5"/>
    <x v="1"/>
    <x v="0"/>
    <x v="36"/>
    <x v="8"/>
    <x v="440"/>
    <x v="1"/>
    <x v="6"/>
    <x v="0"/>
    <x v="6"/>
    <x v="4"/>
    <x v="4"/>
    <x v="0"/>
  </r>
  <r>
    <x v="581"/>
    <x v="569"/>
    <x v="431"/>
    <x v="7"/>
    <x v="2"/>
    <x v="1"/>
    <x v="0"/>
    <x v="0"/>
    <x v="26"/>
    <x v="5"/>
    <x v="441"/>
    <x v="0"/>
    <x v="7"/>
    <x v="1"/>
    <x v="7"/>
    <x v="24"/>
    <x v="24"/>
    <x v="0"/>
  </r>
  <r>
    <x v="582"/>
    <x v="570"/>
    <x v="432"/>
    <x v="8"/>
    <x v="1"/>
    <x v="5"/>
    <x v="0"/>
    <x v="0"/>
    <x v="45"/>
    <x v="7"/>
    <x v="50"/>
    <x v="0"/>
    <x v="8"/>
    <x v="1"/>
    <x v="8"/>
    <x v="76"/>
    <x v="76"/>
    <x v="0"/>
  </r>
  <r>
    <x v="583"/>
    <x v="571"/>
    <x v="110"/>
    <x v="6"/>
    <x v="3"/>
    <x v="2"/>
    <x v="2"/>
    <x v="0"/>
    <x v="10"/>
    <x v="5"/>
    <x v="442"/>
    <x v="0"/>
    <x v="6"/>
    <x v="0"/>
    <x v="6"/>
    <x v="31"/>
    <x v="31"/>
    <x v="0"/>
  </r>
  <r>
    <x v="584"/>
    <x v="572"/>
    <x v="433"/>
    <x v="16"/>
    <x v="0"/>
    <x v="0"/>
    <x v="1"/>
    <x v="0"/>
    <x v="35"/>
    <x v="0"/>
    <x v="212"/>
    <x v="1"/>
    <x v="16"/>
    <x v="1"/>
    <x v="16"/>
    <x v="69"/>
    <x v="69"/>
    <x v="0"/>
  </r>
  <r>
    <x v="585"/>
    <x v="573"/>
    <x v="434"/>
    <x v="7"/>
    <x v="1"/>
    <x v="0"/>
    <x v="0"/>
    <x v="0"/>
    <x v="3"/>
    <x v="6"/>
    <x v="443"/>
    <x v="0"/>
    <x v="7"/>
    <x v="1"/>
    <x v="7"/>
    <x v="0"/>
    <x v="0"/>
    <x v="0"/>
  </r>
  <r>
    <x v="586"/>
    <x v="574"/>
    <x v="361"/>
    <x v="10"/>
    <x v="1"/>
    <x v="2"/>
    <x v="0"/>
    <x v="0"/>
    <x v="40"/>
    <x v="6"/>
    <x v="371"/>
    <x v="1"/>
    <x v="10"/>
    <x v="3"/>
    <x v="10"/>
    <x v="16"/>
    <x v="16"/>
    <x v="0"/>
  </r>
  <r>
    <x v="587"/>
    <x v="450"/>
    <x v="424"/>
    <x v="8"/>
    <x v="3"/>
    <x v="0"/>
    <x v="2"/>
    <x v="0"/>
    <x v="41"/>
    <x v="2"/>
    <x v="359"/>
    <x v="1"/>
    <x v="8"/>
    <x v="1"/>
    <x v="8"/>
    <x v="64"/>
    <x v="64"/>
    <x v="0"/>
  </r>
  <r>
    <x v="588"/>
    <x v="575"/>
    <x v="435"/>
    <x v="5"/>
    <x v="2"/>
    <x v="2"/>
    <x v="3"/>
    <x v="0"/>
    <x v="21"/>
    <x v="2"/>
    <x v="444"/>
    <x v="1"/>
    <x v="5"/>
    <x v="2"/>
    <x v="5"/>
    <x v="26"/>
    <x v="26"/>
    <x v="0"/>
  </r>
  <r>
    <x v="589"/>
    <x v="576"/>
    <x v="436"/>
    <x v="10"/>
    <x v="1"/>
    <x v="1"/>
    <x v="2"/>
    <x v="0"/>
    <x v="46"/>
    <x v="5"/>
    <x v="445"/>
    <x v="1"/>
    <x v="10"/>
    <x v="3"/>
    <x v="10"/>
    <x v="20"/>
    <x v="20"/>
    <x v="0"/>
  </r>
  <r>
    <x v="590"/>
    <x v="577"/>
    <x v="241"/>
    <x v="9"/>
    <x v="1"/>
    <x v="3"/>
    <x v="0"/>
    <x v="0"/>
    <x v="12"/>
    <x v="5"/>
    <x v="114"/>
    <x v="0"/>
    <x v="9"/>
    <x v="0"/>
    <x v="9"/>
    <x v="37"/>
    <x v="37"/>
    <x v="0"/>
  </r>
  <r>
    <x v="591"/>
    <x v="578"/>
    <x v="437"/>
    <x v="0"/>
    <x v="1"/>
    <x v="2"/>
    <x v="1"/>
    <x v="0"/>
    <x v="42"/>
    <x v="6"/>
    <x v="14"/>
    <x v="2"/>
    <x v="0"/>
    <x v="0"/>
    <x v="0"/>
    <x v="43"/>
    <x v="43"/>
    <x v="0"/>
  </r>
  <r>
    <x v="592"/>
    <x v="579"/>
    <x v="12"/>
    <x v="14"/>
    <x v="2"/>
    <x v="0"/>
    <x v="2"/>
    <x v="0"/>
    <x v="7"/>
    <x v="5"/>
    <x v="370"/>
    <x v="0"/>
    <x v="14"/>
    <x v="1"/>
    <x v="14"/>
    <x v="121"/>
    <x v="121"/>
    <x v="0"/>
  </r>
  <r>
    <x v="593"/>
    <x v="580"/>
    <x v="313"/>
    <x v="15"/>
    <x v="1"/>
    <x v="3"/>
    <x v="1"/>
    <x v="0"/>
    <x v="32"/>
    <x v="2"/>
    <x v="446"/>
    <x v="2"/>
    <x v="15"/>
    <x v="5"/>
    <x v="15"/>
    <x v="136"/>
    <x v="136"/>
    <x v="0"/>
  </r>
  <r>
    <x v="594"/>
    <x v="581"/>
    <x v="438"/>
    <x v="2"/>
    <x v="2"/>
    <x v="2"/>
    <x v="3"/>
    <x v="0"/>
    <x v="0"/>
    <x v="9"/>
    <x v="81"/>
    <x v="1"/>
    <x v="2"/>
    <x v="1"/>
    <x v="2"/>
    <x v="130"/>
    <x v="130"/>
    <x v="1"/>
  </r>
  <r>
    <x v="595"/>
    <x v="582"/>
    <x v="262"/>
    <x v="9"/>
    <x v="3"/>
    <x v="5"/>
    <x v="1"/>
    <x v="0"/>
    <x v="41"/>
    <x v="7"/>
    <x v="447"/>
    <x v="2"/>
    <x v="9"/>
    <x v="0"/>
    <x v="9"/>
    <x v="48"/>
    <x v="48"/>
    <x v="1"/>
  </r>
  <r>
    <x v="596"/>
    <x v="583"/>
    <x v="439"/>
    <x v="8"/>
    <x v="1"/>
    <x v="3"/>
    <x v="1"/>
    <x v="0"/>
    <x v="31"/>
    <x v="5"/>
    <x v="448"/>
    <x v="0"/>
    <x v="8"/>
    <x v="1"/>
    <x v="8"/>
    <x v="10"/>
    <x v="10"/>
    <x v="1"/>
  </r>
  <r>
    <x v="597"/>
    <x v="584"/>
    <x v="440"/>
    <x v="4"/>
    <x v="0"/>
    <x v="0"/>
    <x v="0"/>
    <x v="0"/>
    <x v="28"/>
    <x v="6"/>
    <x v="449"/>
    <x v="0"/>
    <x v="4"/>
    <x v="0"/>
    <x v="4"/>
    <x v="2"/>
    <x v="2"/>
    <x v="0"/>
  </r>
  <r>
    <x v="598"/>
    <x v="585"/>
    <x v="374"/>
    <x v="13"/>
    <x v="1"/>
    <x v="2"/>
    <x v="1"/>
    <x v="0"/>
    <x v="12"/>
    <x v="4"/>
    <x v="450"/>
    <x v="0"/>
    <x v="13"/>
    <x v="1"/>
    <x v="13"/>
    <x v="74"/>
    <x v="74"/>
    <x v="1"/>
  </r>
  <r>
    <x v="599"/>
    <x v="586"/>
    <x v="381"/>
    <x v="6"/>
    <x v="1"/>
    <x v="4"/>
    <x v="0"/>
    <x v="0"/>
    <x v="44"/>
    <x v="7"/>
    <x v="451"/>
    <x v="0"/>
    <x v="6"/>
    <x v="0"/>
    <x v="6"/>
    <x v="55"/>
    <x v="55"/>
    <x v="1"/>
  </r>
  <r>
    <x v="600"/>
    <x v="587"/>
    <x v="441"/>
    <x v="10"/>
    <x v="2"/>
    <x v="0"/>
    <x v="0"/>
    <x v="0"/>
    <x v="35"/>
    <x v="7"/>
    <x v="253"/>
    <x v="0"/>
    <x v="10"/>
    <x v="3"/>
    <x v="10"/>
    <x v="45"/>
    <x v="45"/>
    <x v="1"/>
  </r>
  <r>
    <x v="601"/>
    <x v="588"/>
    <x v="442"/>
    <x v="8"/>
    <x v="1"/>
    <x v="0"/>
    <x v="3"/>
    <x v="0"/>
    <x v="20"/>
    <x v="2"/>
    <x v="452"/>
    <x v="1"/>
    <x v="8"/>
    <x v="1"/>
    <x v="8"/>
    <x v="103"/>
    <x v="103"/>
    <x v="0"/>
  </r>
  <r>
    <x v="602"/>
    <x v="589"/>
    <x v="443"/>
    <x v="2"/>
    <x v="1"/>
    <x v="2"/>
    <x v="3"/>
    <x v="0"/>
    <x v="18"/>
    <x v="2"/>
    <x v="127"/>
    <x v="0"/>
    <x v="2"/>
    <x v="1"/>
    <x v="2"/>
    <x v="23"/>
    <x v="23"/>
    <x v="1"/>
  </r>
  <r>
    <x v="603"/>
    <x v="590"/>
    <x v="367"/>
    <x v="9"/>
    <x v="1"/>
    <x v="3"/>
    <x v="0"/>
    <x v="0"/>
    <x v="4"/>
    <x v="5"/>
    <x v="453"/>
    <x v="0"/>
    <x v="9"/>
    <x v="0"/>
    <x v="9"/>
    <x v="37"/>
    <x v="37"/>
    <x v="0"/>
  </r>
  <r>
    <x v="604"/>
    <x v="591"/>
    <x v="444"/>
    <x v="18"/>
    <x v="1"/>
    <x v="2"/>
    <x v="0"/>
    <x v="0"/>
    <x v="24"/>
    <x v="2"/>
    <x v="454"/>
    <x v="0"/>
    <x v="18"/>
    <x v="1"/>
    <x v="18"/>
    <x v="57"/>
    <x v="57"/>
    <x v="0"/>
  </r>
  <r>
    <x v="605"/>
    <x v="592"/>
    <x v="14"/>
    <x v="4"/>
    <x v="2"/>
    <x v="2"/>
    <x v="1"/>
    <x v="0"/>
    <x v="0"/>
    <x v="2"/>
    <x v="248"/>
    <x v="0"/>
    <x v="4"/>
    <x v="0"/>
    <x v="4"/>
    <x v="4"/>
    <x v="4"/>
    <x v="0"/>
  </r>
  <r>
    <x v="606"/>
    <x v="593"/>
    <x v="445"/>
    <x v="10"/>
    <x v="1"/>
    <x v="0"/>
    <x v="0"/>
    <x v="0"/>
    <x v="27"/>
    <x v="2"/>
    <x v="455"/>
    <x v="0"/>
    <x v="10"/>
    <x v="3"/>
    <x v="10"/>
    <x v="20"/>
    <x v="20"/>
    <x v="0"/>
  </r>
  <r>
    <x v="607"/>
    <x v="594"/>
    <x v="446"/>
    <x v="6"/>
    <x v="1"/>
    <x v="2"/>
    <x v="2"/>
    <x v="0"/>
    <x v="23"/>
    <x v="4"/>
    <x v="260"/>
    <x v="1"/>
    <x v="6"/>
    <x v="0"/>
    <x v="6"/>
    <x v="13"/>
    <x v="13"/>
    <x v="1"/>
  </r>
  <r>
    <x v="608"/>
    <x v="595"/>
    <x v="326"/>
    <x v="8"/>
    <x v="1"/>
    <x v="5"/>
    <x v="1"/>
    <x v="0"/>
    <x v="14"/>
    <x v="7"/>
    <x v="3"/>
    <x v="1"/>
    <x v="8"/>
    <x v="1"/>
    <x v="8"/>
    <x v="76"/>
    <x v="76"/>
    <x v="0"/>
  </r>
  <r>
    <x v="609"/>
    <x v="596"/>
    <x v="447"/>
    <x v="14"/>
    <x v="2"/>
    <x v="2"/>
    <x v="3"/>
    <x v="0"/>
    <x v="11"/>
    <x v="3"/>
    <x v="456"/>
    <x v="0"/>
    <x v="14"/>
    <x v="1"/>
    <x v="14"/>
    <x v="73"/>
    <x v="73"/>
    <x v="0"/>
  </r>
  <r>
    <x v="610"/>
    <x v="597"/>
    <x v="448"/>
    <x v="17"/>
    <x v="2"/>
    <x v="1"/>
    <x v="0"/>
    <x v="0"/>
    <x v="46"/>
    <x v="6"/>
    <x v="457"/>
    <x v="0"/>
    <x v="17"/>
    <x v="4"/>
    <x v="17"/>
    <x v="147"/>
    <x v="147"/>
    <x v="1"/>
  </r>
  <r>
    <x v="611"/>
    <x v="598"/>
    <x v="369"/>
    <x v="6"/>
    <x v="1"/>
    <x v="2"/>
    <x v="3"/>
    <x v="0"/>
    <x v="6"/>
    <x v="2"/>
    <x v="209"/>
    <x v="0"/>
    <x v="6"/>
    <x v="0"/>
    <x v="6"/>
    <x v="13"/>
    <x v="13"/>
    <x v="1"/>
  </r>
  <r>
    <x v="612"/>
    <x v="599"/>
    <x v="164"/>
    <x v="10"/>
    <x v="2"/>
    <x v="2"/>
    <x v="1"/>
    <x v="0"/>
    <x v="19"/>
    <x v="6"/>
    <x v="209"/>
    <x v="0"/>
    <x v="10"/>
    <x v="3"/>
    <x v="10"/>
    <x v="15"/>
    <x v="15"/>
    <x v="0"/>
  </r>
  <r>
    <x v="613"/>
    <x v="404"/>
    <x v="330"/>
    <x v="15"/>
    <x v="3"/>
    <x v="2"/>
    <x v="2"/>
    <x v="0"/>
    <x v="7"/>
    <x v="7"/>
    <x v="326"/>
    <x v="1"/>
    <x v="15"/>
    <x v="5"/>
    <x v="15"/>
    <x v="44"/>
    <x v="44"/>
    <x v="0"/>
  </r>
  <r>
    <x v="614"/>
    <x v="600"/>
    <x v="449"/>
    <x v="14"/>
    <x v="1"/>
    <x v="5"/>
    <x v="3"/>
    <x v="0"/>
    <x v="19"/>
    <x v="2"/>
    <x v="199"/>
    <x v="2"/>
    <x v="14"/>
    <x v="1"/>
    <x v="14"/>
    <x v="26"/>
    <x v="26"/>
    <x v="0"/>
  </r>
  <r>
    <x v="615"/>
    <x v="601"/>
    <x v="450"/>
    <x v="11"/>
    <x v="3"/>
    <x v="3"/>
    <x v="0"/>
    <x v="0"/>
    <x v="47"/>
    <x v="8"/>
    <x v="193"/>
    <x v="0"/>
    <x v="11"/>
    <x v="1"/>
    <x v="11"/>
    <x v="143"/>
    <x v="143"/>
    <x v="0"/>
  </r>
  <r>
    <x v="616"/>
    <x v="602"/>
    <x v="451"/>
    <x v="0"/>
    <x v="1"/>
    <x v="0"/>
    <x v="2"/>
    <x v="0"/>
    <x v="36"/>
    <x v="4"/>
    <x v="324"/>
    <x v="0"/>
    <x v="0"/>
    <x v="0"/>
    <x v="0"/>
    <x v="55"/>
    <x v="55"/>
    <x v="0"/>
  </r>
  <r>
    <x v="617"/>
    <x v="603"/>
    <x v="141"/>
    <x v="14"/>
    <x v="1"/>
    <x v="2"/>
    <x v="3"/>
    <x v="0"/>
    <x v="19"/>
    <x v="4"/>
    <x v="458"/>
    <x v="0"/>
    <x v="14"/>
    <x v="1"/>
    <x v="14"/>
    <x v="78"/>
    <x v="78"/>
    <x v="0"/>
  </r>
  <r>
    <x v="618"/>
    <x v="604"/>
    <x v="452"/>
    <x v="11"/>
    <x v="2"/>
    <x v="5"/>
    <x v="0"/>
    <x v="0"/>
    <x v="18"/>
    <x v="4"/>
    <x v="278"/>
    <x v="0"/>
    <x v="11"/>
    <x v="1"/>
    <x v="11"/>
    <x v="148"/>
    <x v="148"/>
    <x v="1"/>
  </r>
  <r>
    <x v="619"/>
    <x v="605"/>
    <x v="453"/>
    <x v="4"/>
    <x v="1"/>
    <x v="2"/>
    <x v="0"/>
    <x v="0"/>
    <x v="27"/>
    <x v="9"/>
    <x v="459"/>
    <x v="0"/>
    <x v="4"/>
    <x v="0"/>
    <x v="4"/>
    <x v="15"/>
    <x v="15"/>
    <x v="1"/>
  </r>
  <r>
    <x v="620"/>
    <x v="606"/>
    <x v="139"/>
    <x v="10"/>
    <x v="1"/>
    <x v="2"/>
    <x v="0"/>
    <x v="0"/>
    <x v="27"/>
    <x v="0"/>
    <x v="460"/>
    <x v="1"/>
    <x v="10"/>
    <x v="3"/>
    <x v="10"/>
    <x v="16"/>
    <x v="16"/>
    <x v="1"/>
  </r>
  <r>
    <x v="621"/>
    <x v="607"/>
    <x v="284"/>
    <x v="8"/>
    <x v="1"/>
    <x v="2"/>
    <x v="0"/>
    <x v="0"/>
    <x v="32"/>
    <x v="0"/>
    <x v="192"/>
    <x v="0"/>
    <x v="8"/>
    <x v="1"/>
    <x v="8"/>
    <x v="17"/>
    <x v="17"/>
    <x v="1"/>
  </r>
  <r>
    <x v="622"/>
    <x v="608"/>
    <x v="454"/>
    <x v="13"/>
    <x v="3"/>
    <x v="2"/>
    <x v="2"/>
    <x v="0"/>
    <x v="36"/>
    <x v="2"/>
    <x v="421"/>
    <x v="1"/>
    <x v="13"/>
    <x v="1"/>
    <x v="13"/>
    <x v="149"/>
    <x v="149"/>
    <x v="1"/>
  </r>
  <r>
    <x v="623"/>
    <x v="609"/>
    <x v="455"/>
    <x v="0"/>
    <x v="3"/>
    <x v="2"/>
    <x v="1"/>
    <x v="0"/>
    <x v="30"/>
    <x v="3"/>
    <x v="439"/>
    <x v="1"/>
    <x v="0"/>
    <x v="0"/>
    <x v="0"/>
    <x v="37"/>
    <x v="37"/>
    <x v="0"/>
  </r>
  <r>
    <x v="624"/>
    <x v="610"/>
    <x v="456"/>
    <x v="15"/>
    <x v="1"/>
    <x v="3"/>
    <x v="2"/>
    <x v="0"/>
    <x v="40"/>
    <x v="6"/>
    <x v="328"/>
    <x v="1"/>
    <x v="15"/>
    <x v="5"/>
    <x v="15"/>
    <x v="136"/>
    <x v="136"/>
    <x v="0"/>
  </r>
  <r>
    <x v="625"/>
    <x v="528"/>
    <x v="457"/>
    <x v="9"/>
    <x v="0"/>
    <x v="2"/>
    <x v="0"/>
    <x v="0"/>
    <x v="37"/>
    <x v="9"/>
    <x v="412"/>
    <x v="0"/>
    <x v="9"/>
    <x v="0"/>
    <x v="9"/>
    <x v="88"/>
    <x v="88"/>
    <x v="1"/>
  </r>
  <r>
    <x v="626"/>
    <x v="611"/>
    <x v="458"/>
    <x v="7"/>
    <x v="2"/>
    <x v="2"/>
    <x v="3"/>
    <x v="0"/>
    <x v="34"/>
    <x v="8"/>
    <x v="444"/>
    <x v="0"/>
    <x v="7"/>
    <x v="1"/>
    <x v="7"/>
    <x v="87"/>
    <x v="87"/>
    <x v="0"/>
  </r>
  <r>
    <x v="627"/>
    <x v="612"/>
    <x v="459"/>
    <x v="10"/>
    <x v="3"/>
    <x v="5"/>
    <x v="0"/>
    <x v="0"/>
    <x v="9"/>
    <x v="7"/>
    <x v="461"/>
    <x v="1"/>
    <x v="10"/>
    <x v="3"/>
    <x v="10"/>
    <x v="17"/>
    <x v="17"/>
    <x v="0"/>
  </r>
  <r>
    <x v="628"/>
    <x v="613"/>
    <x v="103"/>
    <x v="7"/>
    <x v="1"/>
    <x v="0"/>
    <x v="0"/>
    <x v="0"/>
    <x v="34"/>
    <x v="7"/>
    <x v="462"/>
    <x v="1"/>
    <x v="7"/>
    <x v="1"/>
    <x v="7"/>
    <x v="0"/>
    <x v="0"/>
    <x v="1"/>
  </r>
  <r>
    <x v="629"/>
    <x v="614"/>
    <x v="303"/>
    <x v="5"/>
    <x v="2"/>
    <x v="2"/>
    <x v="1"/>
    <x v="0"/>
    <x v="12"/>
    <x v="6"/>
    <x v="463"/>
    <x v="2"/>
    <x v="5"/>
    <x v="2"/>
    <x v="5"/>
    <x v="26"/>
    <x v="26"/>
    <x v="1"/>
  </r>
  <r>
    <x v="630"/>
    <x v="615"/>
    <x v="460"/>
    <x v="18"/>
    <x v="0"/>
    <x v="2"/>
    <x v="0"/>
    <x v="0"/>
    <x v="35"/>
    <x v="9"/>
    <x v="160"/>
    <x v="1"/>
    <x v="18"/>
    <x v="1"/>
    <x v="18"/>
    <x v="150"/>
    <x v="150"/>
    <x v="0"/>
  </r>
  <r>
    <x v="631"/>
    <x v="616"/>
    <x v="461"/>
    <x v="10"/>
    <x v="2"/>
    <x v="2"/>
    <x v="2"/>
    <x v="0"/>
    <x v="39"/>
    <x v="5"/>
    <x v="464"/>
    <x v="1"/>
    <x v="10"/>
    <x v="3"/>
    <x v="10"/>
    <x v="15"/>
    <x v="15"/>
    <x v="0"/>
  </r>
  <r>
    <x v="632"/>
    <x v="617"/>
    <x v="264"/>
    <x v="6"/>
    <x v="4"/>
    <x v="5"/>
    <x v="0"/>
    <x v="0"/>
    <x v="9"/>
    <x v="0"/>
    <x v="465"/>
    <x v="1"/>
    <x v="6"/>
    <x v="0"/>
    <x v="6"/>
    <x v="151"/>
    <x v="151"/>
    <x v="0"/>
  </r>
  <r>
    <x v="633"/>
    <x v="618"/>
    <x v="352"/>
    <x v="9"/>
    <x v="1"/>
    <x v="1"/>
    <x v="3"/>
    <x v="0"/>
    <x v="19"/>
    <x v="2"/>
    <x v="466"/>
    <x v="0"/>
    <x v="9"/>
    <x v="0"/>
    <x v="9"/>
    <x v="18"/>
    <x v="18"/>
    <x v="1"/>
  </r>
  <r>
    <x v="634"/>
    <x v="619"/>
    <x v="462"/>
    <x v="3"/>
    <x v="1"/>
    <x v="2"/>
    <x v="2"/>
    <x v="0"/>
    <x v="14"/>
    <x v="2"/>
    <x v="104"/>
    <x v="0"/>
    <x v="3"/>
    <x v="2"/>
    <x v="3"/>
    <x v="84"/>
    <x v="84"/>
    <x v="0"/>
  </r>
  <r>
    <x v="635"/>
    <x v="620"/>
    <x v="244"/>
    <x v="4"/>
    <x v="2"/>
    <x v="0"/>
    <x v="0"/>
    <x v="0"/>
    <x v="42"/>
    <x v="5"/>
    <x v="98"/>
    <x v="1"/>
    <x v="4"/>
    <x v="0"/>
    <x v="4"/>
    <x v="63"/>
    <x v="63"/>
    <x v="0"/>
  </r>
  <r>
    <x v="636"/>
    <x v="621"/>
    <x v="71"/>
    <x v="14"/>
    <x v="0"/>
    <x v="2"/>
    <x v="2"/>
    <x v="0"/>
    <x v="45"/>
    <x v="5"/>
    <x v="467"/>
    <x v="0"/>
    <x v="14"/>
    <x v="1"/>
    <x v="14"/>
    <x v="152"/>
    <x v="152"/>
    <x v="1"/>
  </r>
  <r>
    <x v="637"/>
    <x v="622"/>
    <x v="105"/>
    <x v="19"/>
    <x v="1"/>
    <x v="1"/>
    <x v="3"/>
    <x v="0"/>
    <x v="12"/>
    <x v="8"/>
    <x v="468"/>
    <x v="0"/>
    <x v="19"/>
    <x v="1"/>
    <x v="19"/>
    <x v="10"/>
    <x v="10"/>
    <x v="0"/>
  </r>
  <r>
    <x v="638"/>
    <x v="548"/>
    <x v="53"/>
    <x v="4"/>
    <x v="3"/>
    <x v="0"/>
    <x v="2"/>
    <x v="0"/>
    <x v="10"/>
    <x v="6"/>
    <x v="428"/>
    <x v="1"/>
    <x v="4"/>
    <x v="0"/>
    <x v="4"/>
    <x v="1"/>
    <x v="1"/>
    <x v="0"/>
  </r>
  <r>
    <x v="639"/>
    <x v="623"/>
    <x v="86"/>
    <x v="0"/>
    <x v="2"/>
    <x v="2"/>
    <x v="0"/>
    <x v="1"/>
    <x v="47"/>
    <x v="4"/>
    <x v="469"/>
    <x v="1"/>
    <x v="0"/>
    <x v="0"/>
    <x v="0"/>
    <x v="17"/>
    <x v="17"/>
    <x v="1"/>
  </r>
  <r>
    <x v="640"/>
    <x v="240"/>
    <x v="463"/>
    <x v="13"/>
    <x v="1"/>
    <x v="2"/>
    <x v="0"/>
    <x v="0"/>
    <x v="6"/>
    <x v="3"/>
    <x v="209"/>
    <x v="0"/>
    <x v="13"/>
    <x v="1"/>
    <x v="13"/>
    <x v="74"/>
    <x v="74"/>
    <x v="0"/>
  </r>
  <r>
    <x v="641"/>
    <x v="624"/>
    <x v="229"/>
    <x v="14"/>
    <x v="2"/>
    <x v="3"/>
    <x v="0"/>
    <x v="0"/>
    <x v="38"/>
    <x v="3"/>
    <x v="470"/>
    <x v="0"/>
    <x v="14"/>
    <x v="1"/>
    <x v="14"/>
    <x v="140"/>
    <x v="140"/>
    <x v="1"/>
  </r>
  <r>
    <x v="642"/>
    <x v="625"/>
    <x v="464"/>
    <x v="6"/>
    <x v="1"/>
    <x v="1"/>
    <x v="2"/>
    <x v="0"/>
    <x v="17"/>
    <x v="8"/>
    <x v="227"/>
    <x v="0"/>
    <x v="6"/>
    <x v="0"/>
    <x v="6"/>
    <x v="43"/>
    <x v="43"/>
    <x v="0"/>
  </r>
  <r>
    <x v="643"/>
    <x v="626"/>
    <x v="335"/>
    <x v="4"/>
    <x v="2"/>
    <x v="3"/>
    <x v="1"/>
    <x v="0"/>
    <x v="29"/>
    <x v="2"/>
    <x v="12"/>
    <x v="1"/>
    <x v="4"/>
    <x v="0"/>
    <x v="4"/>
    <x v="37"/>
    <x v="37"/>
    <x v="0"/>
  </r>
  <r>
    <x v="644"/>
    <x v="627"/>
    <x v="91"/>
    <x v="4"/>
    <x v="2"/>
    <x v="2"/>
    <x v="1"/>
    <x v="0"/>
    <x v="38"/>
    <x v="2"/>
    <x v="471"/>
    <x v="0"/>
    <x v="4"/>
    <x v="0"/>
    <x v="4"/>
    <x v="4"/>
    <x v="4"/>
    <x v="1"/>
  </r>
  <r>
    <x v="645"/>
    <x v="628"/>
    <x v="351"/>
    <x v="6"/>
    <x v="1"/>
    <x v="4"/>
    <x v="2"/>
    <x v="0"/>
    <x v="25"/>
    <x v="6"/>
    <x v="112"/>
    <x v="0"/>
    <x v="6"/>
    <x v="0"/>
    <x v="6"/>
    <x v="55"/>
    <x v="55"/>
    <x v="0"/>
  </r>
  <r>
    <x v="646"/>
    <x v="629"/>
    <x v="180"/>
    <x v="19"/>
    <x v="2"/>
    <x v="2"/>
    <x v="2"/>
    <x v="0"/>
    <x v="41"/>
    <x v="6"/>
    <x v="139"/>
    <x v="0"/>
    <x v="19"/>
    <x v="1"/>
    <x v="19"/>
    <x v="7"/>
    <x v="7"/>
    <x v="1"/>
  </r>
  <r>
    <x v="647"/>
    <x v="630"/>
    <x v="304"/>
    <x v="0"/>
    <x v="1"/>
    <x v="0"/>
    <x v="1"/>
    <x v="0"/>
    <x v="33"/>
    <x v="2"/>
    <x v="472"/>
    <x v="1"/>
    <x v="0"/>
    <x v="0"/>
    <x v="0"/>
    <x v="55"/>
    <x v="55"/>
    <x v="1"/>
  </r>
  <r>
    <x v="648"/>
    <x v="631"/>
    <x v="405"/>
    <x v="11"/>
    <x v="1"/>
    <x v="2"/>
    <x v="1"/>
    <x v="0"/>
    <x v="8"/>
    <x v="5"/>
    <x v="473"/>
    <x v="1"/>
    <x v="11"/>
    <x v="1"/>
    <x v="11"/>
    <x v="86"/>
    <x v="86"/>
    <x v="1"/>
  </r>
  <r>
    <x v="649"/>
    <x v="632"/>
    <x v="97"/>
    <x v="4"/>
    <x v="1"/>
    <x v="5"/>
    <x v="2"/>
    <x v="0"/>
    <x v="18"/>
    <x v="7"/>
    <x v="474"/>
    <x v="0"/>
    <x v="4"/>
    <x v="0"/>
    <x v="4"/>
    <x v="70"/>
    <x v="70"/>
    <x v="0"/>
  </r>
  <r>
    <x v="650"/>
    <x v="55"/>
    <x v="465"/>
    <x v="10"/>
    <x v="3"/>
    <x v="3"/>
    <x v="0"/>
    <x v="0"/>
    <x v="31"/>
    <x v="5"/>
    <x v="53"/>
    <x v="1"/>
    <x v="10"/>
    <x v="3"/>
    <x v="10"/>
    <x v="52"/>
    <x v="52"/>
    <x v="0"/>
  </r>
  <r>
    <x v="651"/>
    <x v="633"/>
    <x v="71"/>
    <x v="5"/>
    <x v="2"/>
    <x v="2"/>
    <x v="2"/>
    <x v="0"/>
    <x v="29"/>
    <x v="2"/>
    <x v="29"/>
    <x v="0"/>
    <x v="5"/>
    <x v="2"/>
    <x v="5"/>
    <x v="26"/>
    <x v="26"/>
    <x v="1"/>
  </r>
  <r>
    <x v="652"/>
    <x v="634"/>
    <x v="466"/>
    <x v="5"/>
    <x v="0"/>
    <x v="3"/>
    <x v="2"/>
    <x v="0"/>
    <x v="25"/>
    <x v="2"/>
    <x v="475"/>
    <x v="1"/>
    <x v="5"/>
    <x v="2"/>
    <x v="5"/>
    <x v="79"/>
    <x v="79"/>
    <x v="0"/>
  </r>
  <r>
    <x v="653"/>
    <x v="635"/>
    <x v="112"/>
    <x v="10"/>
    <x v="2"/>
    <x v="0"/>
    <x v="2"/>
    <x v="0"/>
    <x v="38"/>
    <x v="2"/>
    <x v="466"/>
    <x v="0"/>
    <x v="10"/>
    <x v="3"/>
    <x v="10"/>
    <x v="45"/>
    <x v="45"/>
    <x v="0"/>
  </r>
  <r>
    <x v="654"/>
    <x v="636"/>
    <x v="159"/>
    <x v="0"/>
    <x v="1"/>
    <x v="2"/>
    <x v="3"/>
    <x v="0"/>
    <x v="0"/>
    <x v="8"/>
    <x v="476"/>
    <x v="0"/>
    <x v="0"/>
    <x v="0"/>
    <x v="0"/>
    <x v="43"/>
    <x v="43"/>
    <x v="0"/>
  </r>
  <r>
    <x v="655"/>
    <x v="637"/>
    <x v="262"/>
    <x v="3"/>
    <x v="2"/>
    <x v="5"/>
    <x v="1"/>
    <x v="0"/>
    <x v="25"/>
    <x v="1"/>
    <x v="183"/>
    <x v="1"/>
    <x v="3"/>
    <x v="2"/>
    <x v="3"/>
    <x v="69"/>
    <x v="69"/>
    <x v="1"/>
  </r>
  <r>
    <x v="656"/>
    <x v="220"/>
    <x v="467"/>
    <x v="4"/>
    <x v="0"/>
    <x v="3"/>
    <x v="2"/>
    <x v="0"/>
    <x v="20"/>
    <x v="2"/>
    <x v="194"/>
    <x v="0"/>
    <x v="4"/>
    <x v="0"/>
    <x v="4"/>
    <x v="137"/>
    <x v="137"/>
    <x v="1"/>
  </r>
  <r>
    <x v="657"/>
    <x v="638"/>
    <x v="283"/>
    <x v="15"/>
    <x v="2"/>
    <x v="2"/>
    <x v="0"/>
    <x v="0"/>
    <x v="28"/>
    <x v="2"/>
    <x v="477"/>
    <x v="1"/>
    <x v="15"/>
    <x v="5"/>
    <x v="15"/>
    <x v="93"/>
    <x v="93"/>
    <x v="1"/>
  </r>
  <r>
    <x v="658"/>
    <x v="639"/>
    <x v="468"/>
    <x v="10"/>
    <x v="2"/>
    <x v="1"/>
    <x v="0"/>
    <x v="0"/>
    <x v="12"/>
    <x v="2"/>
    <x v="478"/>
    <x v="2"/>
    <x v="10"/>
    <x v="3"/>
    <x v="10"/>
    <x v="13"/>
    <x v="13"/>
    <x v="1"/>
  </r>
  <r>
    <x v="659"/>
    <x v="640"/>
    <x v="249"/>
    <x v="9"/>
    <x v="2"/>
    <x v="2"/>
    <x v="1"/>
    <x v="0"/>
    <x v="14"/>
    <x v="2"/>
    <x v="479"/>
    <x v="1"/>
    <x v="9"/>
    <x v="0"/>
    <x v="9"/>
    <x v="24"/>
    <x v="24"/>
    <x v="0"/>
  </r>
  <r>
    <x v="660"/>
    <x v="641"/>
    <x v="93"/>
    <x v="13"/>
    <x v="1"/>
    <x v="3"/>
    <x v="2"/>
    <x v="0"/>
    <x v="24"/>
    <x v="4"/>
    <x v="376"/>
    <x v="1"/>
    <x v="13"/>
    <x v="1"/>
    <x v="13"/>
    <x v="153"/>
    <x v="153"/>
    <x v="0"/>
  </r>
  <r>
    <x v="661"/>
    <x v="642"/>
    <x v="469"/>
    <x v="8"/>
    <x v="2"/>
    <x v="1"/>
    <x v="2"/>
    <x v="0"/>
    <x v="42"/>
    <x v="3"/>
    <x v="271"/>
    <x v="0"/>
    <x v="8"/>
    <x v="1"/>
    <x v="8"/>
    <x v="99"/>
    <x v="99"/>
    <x v="0"/>
  </r>
  <r>
    <x v="662"/>
    <x v="643"/>
    <x v="470"/>
    <x v="5"/>
    <x v="1"/>
    <x v="4"/>
    <x v="3"/>
    <x v="0"/>
    <x v="24"/>
    <x v="0"/>
    <x v="480"/>
    <x v="0"/>
    <x v="5"/>
    <x v="2"/>
    <x v="5"/>
    <x v="18"/>
    <x v="18"/>
    <x v="1"/>
  </r>
  <r>
    <x v="663"/>
    <x v="644"/>
    <x v="264"/>
    <x v="1"/>
    <x v="2"/>
    <x v="3"/>
    <x v="2"/>
    <x v="0"/>
    <x v="13"/>
    <x v="2"/>
    <x v="97"/>
    <x v="1"/>
    <x v="1"/>
    <x v="0"/>
    <x v="1"/>
    <x v="8"/>
    <x v="8"/>
    <x v="0"/>
  </r>
  <r>
    <x v="664"/>
    <x v="645"/>
    <x v="401"/>
    <x v="3"/>
    <x v="1"/>
    <x v="2"/>
    <x v="0"/>
    <x v="0"/>
    <x v="9"/>
    <x v="2"/>
    <x v="351"/>
    <x v="0"/>
    <x v="3"/>
    <x v="2"/>
    <x v="3"/>
    <x v="84"/>
    <x v="84"/>
    <x v="0"/>
  </r>
  <r>
    <x v="665"/>
    <x v="646"/>
    <x v="471"/>
    <x v="6"/>
    <x v="1"/>
    <x v="2"/>
    <x v="3"/>
    <x v="0"/>
    <x v="24"/>
    <x v="3"/>
    <x v="481"/>
    <x v="0"/>
    <x v="6"/>
    <x v="0"/>
    <x v="6"/>
    <x v="13"/>
    <x v="13"/>
    <x v="0"/>
  </r>
  <r>
    <x v="666"/>
    <x v="647"/>
    <x v="240"/>
    <x v="14"/>
    <x v="1"/>
    <x v="2"/>
    <x v="0"/>
    <x v="0"/>
    <x v="16"/>
    <x v="6"/>
    <x v="482"/>
    <x v="0"/>
    <x v="14"/>
    <x v="1"/>
    <x v="14"/>
    <x v="78"/>
    <x v="78"/>
    <x v="1"/>
  </r>
  <r>
    <x v="667"/>
    <x v="648"/>
    <x v="472"/>
    <x v="19"/>
    <x v="1"/>
    <x v="2"/>
    <x v="2"/>
    <x v="0"/>
    <x v="17"/>
    <x v="8"/>
    <x v="483"/>
    <x v="0"/>
    <x v="19"/>
    <x v="1"/>
    <x v="19"/>
    <x v="19"/>
    <x v="19"/>
    <x v="1"/>
  </r>
  <r>
    <x v="668"/>
    <x v="649"/>
    <x v="473"/>
    <x v="14"/>
    <x v="1"/>
    <x v="0"/>
    <x v="0"/>
    <x v="0"/>
    <x v="4"/>
    <x v="2"/>
    <x v="462"/>
    <x v="0"/>
    <x v="14"/>
    <x v="1"/>
    <x v="14"/>
    <x v="35"/>
    <x v="35"/>
    <x v="1"/>
  </r>
  <r>
    <x v="669"/>
    <x v="650"/>
    <x v="290"/>
    <x v="1"/>
    <x v="2"/>
    <x v="5"/>
    <x v="1"/>
    <x v="0"/>
    <x v="15"/>
    <x v="8"/>
    <x v="171"/>
    <x v="0"/>
    <x v="1"/>
    <x v="0"/>
    <x v="1"/>
    <x v="48"/>
    <x v="48"/>
    <x v="1"/>
  </r>
  <r>
    <x v="670"/>
    <x v="651"/>
    <x v="474"/>
    <x v="12"/>
    <x v="3"/>
    <x v="2"/>
    <x v="1"/>
    <x v="0"/>
    <x v="28"/>
    <x v="0"/>
    <x v="484"/>
    <x v="1"/>
    <x v="12"/>
    <x v="4"/>
    <x v="12"/>
    <x v="145"/>
    <x v="145"/>
    <x v="0"/>
  </r>
  <r>
    <x v="671"/>
    <x v="652"/>
    <x v="361"/>
    <x v="8"/>
    <x v="2"/>
    <x v="1"/>
    <x v="1"/>
    <x v="0"/>
    <x v="27"/>
    <x v="7"/>
    <x v="485"/>
    <x v="1"/>
    <x v="8"/>
    <x v="1"/>
    <x v="8"/>
    <x v="99"/>
    <x v="99"/>
    <x v="0"/>
  </r>
  <r>
    <x v="672"/>
    <x v="653"/>
    <x v="428"/>
    <x v="10"/>
    <x v="2"/>
    <x v="2"/>
    <x v="2"/>
    <x v="0"/>
    <x v="24"/>
    <x v="1"/>
    <x v="486"/>
    <x v="0"/>
    <x v="10"/>
    <x v="3"/>
    <x v="10"/>
    <x v="15"/>
    <x v="15"/>
    <x v="1"/>
  </r>
  <r>
    <x v="673"/>
    <x v="329"/>
    <x v="143"/>
    <x v="5"/>
    <x v="2"/>
    <x v="5"/>
    <x v="0"/>
    <x v="0"/>
    <x v="30"/>
    <x v="6"/>
    <x v="277"/>
    <x v="2"/>
    <x v="5"/>
    <x v="2"/>
    <x v="5"/>
    <x v="41"/>
    <x v="41"/>
    <x v="0"/>
  </r>
  <r>
    <x v="674"/>
    <x v="654"/>
    <x v="475"/>
    <x v="9"/>
    <x v="4"/>
    <x v="2"/>
    <x v="2"/>
    <x v="0"/>
    <x v="38"/>
    <x v="2"/>
    <x v="487"/>
    <x v="1"/>
    <x v="9"/>
    <x v="0"/>
    <x v="9"/>
    <x v="100"/>
    <x v="100"/>
    <x v="0"/>
  </r>
  <r>
    <x v="675"/>
    <x v="655"/>
    <x v="476"/>
    <x v="10"/>
    <x v="1"/>
    <x v="3"/>
    <x v="0"/>
    <x v="0"/>
    <x v="39"/>
    <x v="6"/>
    <x v="282"/>
    <x v="0"/>
    <x v="10"/>
    <x v="3"/>
    <x v="10"/>
    <x v="16"/>
    <x v="16"/>
    <x v="0"/>
  </r>
  <r>
    <x v="676"/>
    <x v="656"/>
    <x v="477"/>
    <x v="1"/>
    <x v="1"/>
    <x v="0"/>
    <x v="3"/>
    <x v="0"/>
    <x v="29"/>
    <x v="1"/>
    <x v="488"/>
    <x v="1"/>
    <x v="1"/>
    <x v="0"/>
    <x v="1"/>
    <x v="1"/>
    <x v="1"/>
    <x v="0"/>
  </r>
  <r>
    <x v="677"/>
    <x v="657"/>
    <x v="409"/>
    <x v="0"/>
    <x v="2"/>
    <x v="5"/>
    <x v="1"/>
    <x v="0"/>
    <x v="14"/>
    <x v="2"/>
    <x v="489"/>
    <x v="0"/>
    <x v="0"/>
    <x v="0"/>
    <x v="0"/>
    <x v="76"/>
    <x v="76"/>
    <x v="0"/>
  </r>
  <r>
    <x v="678"/>
    <x v="658"/>
    <x v="478"/>
    <x v="1"/>
    <x v="1"/>
    <x v="2"/>
    <x v="2"/>
    <x v="0"/>
    <x v="24"/>
    <x v="2"/>
    <x v="490"/>
    <x v="1"/>
    <x v="1"/>
    <x v="0"/>
    <x v="1"/>
    <x v="7"/>
    <x v="7"/>
    <x v="0"/>
  </r>
  <r>
    <x v="679"/>
    <x v="659"/>
    <x v="279"/>
    <x v="6"/>
    <x v="0"/>
    <x v="3"/>
    <x v="2"/>
    <x v="0"/>
    <x v="28"/>
    <x v="5"/>
    <x v="408"/>
    <x v="0"/>
    <x v="6"/>
    <x v="0"/>
    <x v="6"/>
    <x v="7"/>
    <x v="7"/>
    <x v="1"/>
  </r>
  <r>
    <x v="680"/>
    <x v="660"/>
    <x v="13"/>
    <x v="6"/>
    <x v="1"/>
    <x v="2"/>
    <x v="0"/>
    <x v="0"/>
    <x v="30"/>
    <x v="8"/>
    <x v="397"/>
    <x v="0"/>
    <x v="6"/>
    <x v="0"/>
    <x v="6"/>
    <x v="13"/>
    <x v="13"/>
    <x v="0"/>
  </r>
  <r>
    <x v="681"/>
    <x v="661"/>
    <x v="360"/>
    <x v="2"/>
    <x v="1"/>
    <x v="0"/>
    <x v="1"/>
    <x v="0"/>
    <x v="27"/>
    <x v="0"/>
    <x v="13"/>
    <x v="1"/>
    <x v="2"/>
    <x v="1"/>
    <x v="2"/>
    <x v="24"/>
    <x v="24"/>
    <x v="1"/>
  </r>
  <r>
    <x v="682"/>
    <x v="662"/>
    <x v="159"/>
    <x v="13"/>
    <x v="2"/>
    <x v="2"/>
    <x v="1"/>
    <x v="0"/>
    <x v="16"/>
    <x v="2"/>
    <x v="12"/>
    <x v="1"/>
    <x v="13"/>
    <x v="1"/>
    <x v="13"/>
    <x v="117"/>
    <x v="117"/>
    <x v="0"/>
  </r>
  <r>
    <x v="683"/>
    <x v="663"/>
    <x v="80"/>
    <x v="7"/>
    <x v="1"/>
    <x v="2"/>
    <x v="2"/>
    <x v="0"/>
    <x v="1"/>
    <x v="5"/>
    <x v="239"/>
    <x v="0"/>
    <x v="7"/>
    <x v="1"/>
    <x v="7"/>
    <x v="101"/>
    <x v="101"/>
    <x v="0"/>
  </r>
  <r>
    <x v="684"/>
    <x v="664"/>
    <x v="73"/>
    <x v="1"/>
    <x v="2"/>
    <x v="5"/>
    <x v="1"/>
    <x v="0"/>
    <x v="17"/>
    <x v="9"/>
    <x v="449"/>
    <x v="1"/>
    <x v="1"/>
    <x v="0"/>
    <x v="1"/>
    <x v="48"/>
    <x v="48"/>
    <x v="1"/>
  </r>
  <r>
    <x v="685"/>
    <x v="665"/>
    <x v="340"/>
    <x v="4"/>
    <x v="1"/>
    <x v="0"/>
    <x v="0"/>
    <x v="0"/>
    <x v="0"/>
    <x v="1"/>
    <x v="491"/>
    <x v="1"/>
    <x v="4"/>
    <x v="0"/>
    <x v="4"/>
    <x v="45"/>
    <x v="45"/>
    <x v="1"/>
  </r>
  <r>
    <x v="686"/>
    <x v="666"/>
    <x v="439"/>
    <x v="6"/>
    <x v="2"/>
    <x v="1"/>
    <x v="0"/>
    <x v="0"/>
    <x v="32"/>
    <x v="5"/>
    <x v="492"/>
    <x v="0"/>
    <x v="6"/>
    <x v="0"/>
    <x v="6"/>
    <x v="17"/>
    <x v="17"/>
    <x v="1"/>
  </r>
  <r>
    <x v="687"/>
    <x v="667"/>
    <x v="479"/>
    <x v="11"/>
    <x v="1"/>
    <x v="2"/>
    <x v="2"/>
    <x v="0"/>
    <x v="16"/>
    <x v="7"/>
    <x v="493"/>
    <x v="1"/>
    <x v="11"/>
    <x v="1"/>
    <x v="11"/>
    <x v="86"/>
    <x v="86"/>
    <x v="0"/>
  </r>
  <r>
    <x v="688"/>
    <x v="668"/>
    <x v="480"/>
    <x v="16"/>
    <x v="2"/>
    <x v="1"/>
    <x v="0"/>
    <x v="0"/>
    <x v="37"/>
    <x v="2"/>
    <x v="280"/>
    <x v="1"/>
    <x v="16"/>
    <x v="1"/>
    <x v="16"/>
    <x v="93"/>
    <x v="93"/>
    <x v="0"/>
  </r>
  <r>
    <x v="689"/>
    <x v="669"/>
    <x v="456"/>
    <x v="12"/>
    <x v="1"/>
    <x v="0"/>
    <x v="0"/>
    <x v="1"/>
    <x v="33"/>
    <x v="2"/>
    <x v="494"/>
    <x v="0"/>
    <x v="12"/>
    <x v="4"/>
    <x v="12"/>
    <x v="2"/>
    <x v="2"/>
    <x v="0"/>
  </r>
  <r>
    <x v="690"/>
    <x v="670"/>
    <x v="481"/>
    <x v="12"/>
    <x v="2"/>
    <x v="1"/>
    <x v="0"/>
    <x v="0"/>
    <x v="5"/>
    <x v="5"/>
    <x v="366"/>
    <x v="2"/>
    <x v="12"/>
    <x v="4"/>
    <x v="12"/>
    <x v="154"/>
    <x v="154"/>
    <x v="1"/>
  </r>
  <r>
    <x v="691"/>
    <x v="671"/>
    <x v="279"/>
    <x v="5"/>
    <x v="0"/>
    <x v="3"/>
    <x v="0"/>
    <x v="0"/>
    <x v="0"/>
    <x v="0"/>
    <x v="495"/>
    <x v="1"/>
    <x v="5"/>
    <x v="2"/>
    <x v="5"/>
    <x v="79"/>
    <x v="79"/>
    <x v="1"/>
  </r>
  <r>
    <x v="692"/>
    <x v="672"/>
    <x v="342"/>
    <x v="11"/>
    <x v="1"/>
    <x v="2"/>
    <x v="1"/>
    <x v="0"/>
    <x v="14"/>
    <x v="4"/>
    <x v="247"/>
    <x v="0"/>
    <x v="11"/>
    <x v="1"/>
    <x v="11"/>
    <x v="86"/>
    <x v="86"/>
    <x v="1"/>
  </r>
  <r>
    <x v="693"/>
    <x v="673"/>
    <x v="482"/>
    <x v="6"/>
    <x v="1"/>
    <x v="3"/>
    <x v="3"/>
    <x v="0"/>
    <x v="2"/>
    <x v="1"/>
    <x v="496"/>
    <x v="0"/>
    <x v="6"/>
    <x v="0"/>
    <x v="6"/>
    <x v="6"/>
    <x v="6"/>
    <x v="0"/>
  </r>
  <r>
    <x v="694"/>
    <x v="674"/>
    <x v="483"/>
    <x v="0"/>
    <x v="1"/>
    <x v="3"/>
    <x v="0"/>
    <x v="0"/>
    <x v="39"/>
    <x v="7"/>
    <x v="497"/>
    <x v="2"/>
    <x v="0"/>
    <x v="0"/>
    <x v="0"/>
    <x v="43"/>
    <x v="43"/>
    <x v="1"/>
  </r>
  <r>
    <x v="695"/>
    <x v="675"/>
    <x v="237"/>
    <x v="5"/>
    <x v="1"/>
    <x v="2"/>
    <x v="0"/>
    <x v="0"/>
    <x v="14"/>
    <x v="8"/>
    <x v="115"/>
    <x v="0"/>
    <x v="5"/>
    <x v="2"/>
    <x v="5"/>
    <x v="0"/>
    <x v="0"/>
    <x v="0"/>
  </r>
  <r>
    <x v="696"/>
    <x v="676"/>
    <x v="484"/>
    <x v="12"/>
    <x v="3"/>
    <x v="2"/>
    <x v="0"/>
    <x v="0"/>
    <x v="18"/>
    <x v="2"/>
    <x v="498"/>
    <x v="0"/>
    <x v="12"/>
    <x v="4"/>
    <x v="12"/>
    <x v="145"/>
    <x v="145"/>
    <x v="0"/>
  </r>
  <r>
    <x v="697"/>
    <x v="677"/>
    <x v="485"/>
    <x v="4"/>
    <x v="1"/>
    <x v="2"/>
    <x v="0"/>
    <x v="0"/>
    <x v="29"/>
    <x v="7"/>
    <x v="216"/>
    <x v="1"/>
    <x v="4"/>
    <x v="0"/>
    <x v="4"/>
    <x v="15"/>
    <x v="15"/>
    <x v="0"/>
  </r>
  <r>
    <x v="698"/>
    <x v="365"/>
    <x v="486"/>
    <x v="5"/>
    <x v="1"/>
    <x v="4"/>
    <x v="3"/>
    <x v="0"/>
    <x v="46"/>
    <x v="4"/>
    <x v="302"/>
    <x v="1"/>
    <x v="5"/>
    <x v="2"/>
    <x v="5"/>
    <x v="18"/>
    <x v="18"/>
    <x v="1"/>
  </r>
  <r>
    <x v="699"/>
    <x v="678"/>
    <x v="407"/>
    <x v="14"/>
    <x v="1"/>
    <x v="4"/>
    <x v="2"/>
    <x v="0"/>
    <x v="11"/>
    <x v="3"/>
    <x v="299"/>
    <x v="1"/>
    <x v="14"/>
    <x v="1"/>
    <x v="14"/>
    <x v="90"/>
    <x v="90"/>
    <x v="0"/>
  </r>
  <r>
    <x v="700"/>
    <x v="679"/>
    <x v="487"/>
    <x v="4"/>
    <x v="3"/>
    <x v="1"/>
    <x v="2"/>
    <x v="0"/>
    <x v="13"/>
    <x v="7"/>
    <x v="499"/>
    <x v="2"/>
    <x v="4"/>
    <x v="0"/>
    <x v="4"/>
    <x v="12"/>
    <x v="12"/>
    <x v="1"/>
  </r>
  <r>
    <x v="701"/>
    <x v="680"/>
    <x v="286"/>
    <x v="6"/>
    <x v="3"/>
    <x v="2"/>
    <x v="1"/>
    <x v="0"/>
    <x v="19"/>
    <x v="8"/>
    <x v="500"/>
    <x v="0"/>
    <x v="6"/>
    <x v="0"/>
    <x v="6"/>
    <x v="31"/>
    <x v="31"/>
    <x v="0"/>
  </r>
  <r>
    <x v="702"/>
    <x v="681"/>
    <x v="22"/>
    <x v="3"/>
    <x v="2"/>
    <x v="0"/>
    <x v="0"/>
    <x v="0"/>
    <x v="38"/>
    <x v="6"/>
    <x v="216"/>
    <x v="1"/>
    <x v="3"/>
    <x v="2"/>
    <x v="3"/>
    <x v="155"/>
    <x v="155"/>
    <x v="0"/>
  </r>
  <r>
    <x v="703"/>
    <x v="682"/>
    <x v="488"/>
    <x v="10"/>
    <x v="1"/>
    <x v="2"/>
    <x v="0"/>
    <x v="0"/>
    <x v="44"/>
    <x v="2"/>
    <x v="501"/>
    <x v="0"/>
    <x v="10"/>
    <x v="3"/>
    <x v="10"/>
    <x v="16"/>
    <x v="16"/>
    <x v="1"/>
  </r>
  <r>
    <x v="704"/>
    <x v="683"/>
    <x v="112"/>
    <x v="9"/>
    <x v="1"/>
    <x v="2"/>
    <x v="0"/>
    <x v="0"/>
    <x v="27"/>
    <x v="0"/>
    <x v="502"/>
    <x v="0"/>
    <x v="9"/>
    <x v="0"/>
    <x v="9"/>
    <x v="4"/>
    <x v="4"/>
    <x v="0"/>
  </r>
  <r>
    <x v="705"/>
    <x v="684"/>
    <x v="489"/>
    <x v="18"/>
    <x v="0"/>
    <x v="0"/>
    <x v="0"/>
    <x v="0"/>
    <x v="18"/>
    <x v="8"/>
    <x v="171"/>
    <x v="0"/>
    <x v="18"/>
    <x v="1"/>
    <x v="18"/>
    <x v="156"/>
    <x v="156"/>
    <x v="1"/>
  </r>
  <r>
    <x v="706"/>
    <x v="685"/>
    <x v="490"/>
    <x v="16"/>
    <x v="0"/>
    <x v="2"/>
    <x v="0"/>
    <x v="0"/>
    <x v="39"/>
    <x v="3"/>
    <x v="503"/>
    <x v="0"/>
    <x v="16"/>
    <x v="1"/>
    <x v="16"/>
    <x v="67"/>
    <x v="67"/>
    <x v="1"/>
  </r>
  <r>
    <x v="707"/>
    <x v="686"/>
    <x v="54"/>
    <x v="7"/>
    <x v="3"/>
    <x v="1"/>
    <x v="2"/>
    <x v="0"/>
    <x v="14"/>
    <x v="7"/>
    <x v="504"/>
    <x v="1"/>
    <x v="7"/>
    <x v="1"/>
    <x v="7"/>
    <x v="61"/>
    <x v="61"/>
    <x v="0"/>
  </r>
  <r>
    <x v="708"/>
    <x v="687"/>
    <x v="285"/>
    <x v="0"/>
    <x v="2"/>
    <x v="2"/>
    <x v="1"/>
    <x v="0"/>
    <x v="2"/>
    <x v="5"/>
    <x v="178"/>
    <x v="1"/>
    <x v="0"/>
    <x v="0"/>
    <x v="0"/>
    <x v="17"/>
    <x v="17"/>
    <x v="0"/>
  </r>
  <r>
    <x v="709"/>
    <x v="688"/>
    <x v="11"/>
    <x v="0"/>
    <x v="2"/>
    <x v="3"/>
    <x v="2"/>
    <x v="0"/>
    <x v="39"/>
    <x v="7"/>
    <x v="298"/>
    <x v="0"/>
    <x v="0"/>
    <x v="0"/>
    <x v="0"/>
    <x v="10"/>
    <x v="10"/>
    <x v="1"/>
  </r>
  <r>
    <x v="710"/>
    <x v="689"/>
    <x v="491"/>
    <x v="5"/>
    <x v="0"/>
    <x v="2"/>
    <x v="0"/>
    <x v="0"/>
    <x v="12"/>
    <x v="3"/>
    <x v="133"/>
    <x v="0"/>
    <x v="5"/>
    <x v="2"/>
    <x v="5"/>
    <x v="5"/>
    <x v="5"/>
    <x v="0"/>
  </r>
  <r>
    <x v="711"/>
    <x v="690"/>
    <x v="492"/>
    <x v="7"/>
    <x v="1"/>
    <x v="3"/>
    <x v="2"/>
    <x v="0"/>
    <x v="39"/>
    <x v="7"/>
    <x v="375"/>
    <x v="0"/>
    <x v="7"/>
    <x v="1"/>
    <x v="7"/>
    <x v="31"/>
    <x v="31"/>
    <x v="1"/>
  </r>
  <r>
    <x v="712"/>
    <x v="691"/>
    <x v="493"/>
    <x v="14"/>
    <x v="2"/>
    <x v="2"/>
    <x v="1"/>
    <x v="0"/>
    <x v="37"/>
    <x v="5"/>
    <x v="391"/>
    <x v="0"/>
    <x v="14"/>
    <x v="1"/>
    <x v="14"/>
    <x v="73"/>
    <x v="73"/>
    <x v="0"/>
  </r>
  <r>
    <x v="713"/>
    <x v="692"/>
    <x v="494"/>
    <x v="6"/>
    <x v="0"/>
    <x v="0"/>
    <x v="0"/>
    <x v="0"/>
    <x v="10"/>
    <x v="2"/>
    <x v="505"/>
    <x v="0"/>
    <x v="6"/>
    <x v="0"/>
    <x v="6"/>
    <x v="54"/>
    <x v="54"/>
    <x v="1"/>
  </r>
  <r>
    <x v="714"/>
    <x v="693"/>
    <x v="495"/>
    <x v="2"/>
    <x v="1"/>
    <x v="2"/>
    <x v="2"/>
    <x v="0"/>
    <x v="14"/>
    <x v="7"/>
    <x v="506"/>
    <x v="0"/>
    <x v="2"/>
    <x v="1"/>
    <x v="2"/>
    <x v="23"/>
    <x v="23"/>
    <x v="1"/>
  </r>
  <r>
    <x v="715"/>
    <x v="694"/>
    <x v="496"/>
    <x v="11"/>
    <x v="1"/>
    <x v="2"/>
    <x v="2"/>
    <x v="0"/>
    <x v="1"/>
    <x v="6"/>
    <x v="382"/>
    <x v="0"/>
    <x v="11"/>
    <x v="1"/>
    <x v="11"/>
    <x v="86"/>
    <x v="86"/>
    <x v="0"/>
  </r>
  <r>
    <x v="716"/>
    <x v="695"/>
    <x v="497"/>
    <x v="10"/>
    <x v="2"/>
    <x v="0"/>
    <x v="1"/>
    <x v="1"/>
    <x v="6"/>
    <x v="9"/>
    <x v="152"/>
    <x v="1"/>
    <x v="10"/>
    <x v="3"/>
    <x v="10"/>
    <x v="45"/>
    <x v="45"/>
    <x v="0"/>
  </r>
  <r>
    <x v="717"/>
    <x v="696"/>
    <x v="306"/>
    <x v="0"/>
    <x v="2"/>
    <x v="1"/>
    <x v="2"/>
    <x v="0"/>
    <x v="21"/>
    <x v="5"/>
    <x v="195"/>
    <x v="2"/>
    <x v="0"/>
    <x v="0"/>
    <x v="0"/>
    <x v="15"/>
    <x v="15"/>
    <x v="0"/>
  </r>
  <r>
    <x v="718"/>
    <x v="697"/>
    <x v="498"/>
    <x v="8"/>
    <x v="3"/>
    <x v="5"/>
    <x v="0"/>
    <x v="0"/>
    <x v="45"/>
    <x v="2"/>
    <x v="287"/>
    <x v="1"/>
    <x v="8"/>
    <x v="1"/>
    <x v="8"/>
    <x v="114"/>
    <x v="114"/>
    <x v="1"/>
  </r>
  <r>
    <x v="719"/>
    <x v="698"/>
    <x v="499"/>
    <x v="5"/>
    <x v="3"/>
    <x v="2"/>
    <x v="1"/>
    <x v="0"/>
    <x v="46"/>
    <x v="2"/>
    <x v="330"/>
    <x v="0"/>
    <x v="5"/>
    <x v="2"/>
    <x v="5"/>
    <x v="106"/>
    <x v="106"/>
    <x v="1"/>
  </r>
  <r>
    <x v="720"/>
    <x v="699"/>
    <x v="500"/>
    <x v="9"/>
    <x v="2"/>
    <x v="5"/>
    <x v="3"/>
    <x v="0"/>
    <x v="40"/>
    <x v="3"/>
    <x v="507"/>
    <x v="2"/>
    <x v="9"/>
    <x v="0"/>
    <x v="9"/>
    <x v="86"/>
    <x v="86"/>
    <x v="0"/>
  </r>
  <r>
    <x v="721"/>
    <x v="700"/>
    <x v="501"/>
    <x v="9"/>
    <x v="1"/>
    <x v="2"/>
    <x v="0"/>
    <x v="0"/>
    <x v="4"/>
    <x v="4"/>
    <x v="145"/>
    <x v="0"/>
    <x v="9"/>
    <x v="0"/>
    <x v="9"/>
    <x v="4"/>
    <x v="4"/>
    <x v="1"/>
  </r>
  <r>
    <x v="722"/>
    <x v="701"/>
    <x v="367"/>
    <x v="10"/>
    <x v="1"/>
    <x v="2"/>
    <x v="2"/>
    <x v="0"/>
    <x v="41"/>
    <x v="2"/>
    <x v="508"/>
    <x v="0"/>
    <x v="10"/>
    <x v="3"/>
    <x v="10"/>
    <x v="16"/>
    <x v="16"/>
    <x v="0"/>
  </r>
  <r>
    <x v="723"/>
    <x v="702"/>
    <x v="502"/>
    <x v="18"/>
    <x v="1"/>
    <x v="2"/>
    <x v="0"/>
    <x v="0"/>
    <x v="1"/>
    <x v="5"/>
    <x v="509"/>
    <x v="0"/>
    <x v="18"/>
    <x v="1"/>
    <x v="18"/>
    <x v="57"/>
    <x v="57"/>
    <x v="1"/>
  </r>
  <r>
    <x v="724"/>
    <x v="703"/>
    <x v="503"/>
    <x v="16"/>
    <x v="1"/>
    <x v="5"/>
    <x v="2"/>
    <x v="0"/>
    <x v="4"/>
    <x v="4"/>
    <x v="510"/>
    <x v="0"/>
    <x v="16"/>
    <x v="1"/>
    <x v="16"/>
    <x v="110"/>
    <x v="110"/>
    <x v="1"/>
  </r>
  <r>
    <x v="725"/>
    <x v="704"/>
    <x v="504"/>
    <x v="11"/>
    <x v="1"/>
    <x v="3"/>
    <x v="2"/>
    <x v="0"/>
    <x v="47"/>
    <x v="4"/>
    <x v="93"/>
    <x v="0"/>
    <x v="11"/>
    <x v="1"/>
    <x v="11"/>
    <x v="114"/>
    <x v="114"/>
    <x v="1"/>
  </r>
  <r>
    <x v="726"/>
    <x v="705"/>
    <x v="505"/>
    <x v="8"/>
    <x v="1"/>
    <x v="3"/>
    <x v="2"/>
    <x v="0"/>
    <x v="12"/>
    <x v="4"/>
    <x v="173"/>
    <x v="1"/>
    <x v="8"/>
    <x v="1"/>
    <x v="8"/>
    <x v="10"/>
    <x v="10"/>
    <x v="1"/>
  </r>
  <r>
    <x v="727"/>
    <x v="706"/>
    <x v="506"/>
    <x v="0"/>
    <x v="3"/>
    <x v="3"/>
    <x v="2"/>
    <x v="0"/>
    <x v="22"/>
    <x v="5"/>
    <x v="511"/>
    <x v="1"/>
    <x v="0"/>
    <x v="0"/>
    <x v="0"/>
    <x v="40"/>
    <x v="40"/>
    <x v="0"/>
  </r>
  <r>
    <x v="728"/>
    <x v="707"/>
    <x v="507"/>
    <x v="4"/>
    <x v="1"/>
    <x v="5"/>
    <x v="0"/>
    <x v="0"/>
    <x v="1"/>
    <x v="5"/>
    <x v="512"/>
    <x v="1"/>
    <x v="4"/>
    <x v="0"/>
    <x v="4"/>
    <x v="70"/>
    <x v="70"/>
    <x v="1"/>
  </r>
  <r>
    <x v="729"/>
    <x v="708"/>
    <x v="508"/>
    <x v="7"/>
    <x v="4"/>
    <x v="1"/>
    <x v="0"/>
    <x v="0"/>
    <x v="47"/>
    <x v="3"/>
    <x v="92"/>
    <x v="0"/>
    <x v="7"/>
    <x v="1"/>
    <x v="7"/>
    <x v="100"/>
    <x v="100"/>
    <x v="0"/>
  </r>
  <r>
    <x v="730"/>
    <x v="709"/>
    <x v="494"/>
    <x v="5"/>
    <x v="3"/>
    <x v="2"/>
    <x v="2"/>
    <x v="0"/>
    <x v="4"/>
    <x v="7"/>
    <x v="513"/>
    <x v="0"/>
    <x v="5"/>
    <x v="2"/>
    <x v="5"/>
    <x v="106"/>
    <x v="106"/>
    <x v="1"/>
  </r>
  <r>
    <x v="731"/>
    <x v="710"/>
    <x v="509"/>
    <x v="10"/>
    <x v="1"/>
    <x v="3"/>
    <x v="0"/>
    <x v="0"/>
    <x v="3"/>
    <x v="2"/>
    <x v="167"/>
    <x v="1"/>
    <x v="10"/>
    <x v="3"/>
    <x v="10"/>
    <x v="16"/>
    <x v="16"/>
    <x v="0"/>
  </r>
  <r>
    <x v="732"/>
    <x v="711"/>
    <x v="26"/>
    <x v="15"/>
    <x v="1"/>
    <x v="0"/>
    <x v="0"/>
    <x v="0"/>
    <x v="14"/>
    <x v="3"/>
    <x v="35"/>
    <x v="2"/>
    <x v="15"/>
    <x v="5"/>
    <x v="15"/>
    <x v="30"/>
    <x v="30"/>
    <x v="0"/>
  </r>
  <r>
    <x v="733"/>
    <x v="712"/>
    <x v="158"/>
    <x v="17"/>
    <x v="4"/>
    <x v="3"/>
    <x v="2"/>
    <x v="0"/>
    <x v="2"/>
    <x v="2"/>
    <x v="514"/>
    <x v="1"/>
    <x v="17"/>
    <x v="4"/>
    <x v="17"/>
    <x v="157"/>
    <x v="157"/>
    <x v="1"/>
  </r>
  <r>
    <x v="734"/>
    <x v="713"/>
    <x v="510"/>
    <x v="4"/>
    <x v="2"/>
    <x v="3"/>
    <x v="0"/>
    <x v="0"/>
    <x v="45"/>
    <x v="6"/>
    <x v="515"/>
    <x v="1"/>
    <x v="4"/>
    <x v="0"/>
    <x v="4"/>
    <x v="37"/>
    <x v="37"/>
    <x v="1"/>
  </r>
  <r>
    <x v="735"/>
    <x v="151"/>
    <x v="331"/>
    <x v="0"/>
    <x v="2"/>
    <x v="5"/>
    <x v="1"/>
    <x v="0"/>
    <x v="42"/>
    <x v="2"/>
    <x v="140"/>
    <x v="1"/>
    <x v="0"/>
    <x v="0"/>
    <x v="0"/>
    <x v="76"/>
    <x v="76"/>
    <x v="1"/>
  </r>
  <r>
    <x v="736"/>
    <x v="714"/>
    <x v="511"/>
    <x v="6"/>
    <x v="1"/>
    <x v="0"/>
    <x v="1"/>
    <x v="0"/>
    <x v="11"/>
    <x v="6"/>
    <x v="516"/>
    <x v="1"/>
    <x v="6"/>
    <x v="0"/>
    <x v="6"/>
    <x v="6"/>
    <x v="6"/>
    <x v="1"/>
  </r>
  <r>
    <x v="737"/>
    <x v="715"/>
    <x v="512"/>
    <x v="0"/>
    <x v="0"/>
    <x v="2"/>
    <x v="2"/>
    <x v="0"/>
    <x v="32"/>
    <x v="5"/>
    <x v="197"/>
    <x v="0"/>
    <x v="0"/>
    <x v="0"/>
    <x v="0"/>
    <x v="85"/>
    <x v="85"/>
    <x v="1"/>
  </r>
  <r>
    <x v="738"/>
    <x v="716"/>
    <x v="513"/>
    <x v="8"/>
    <x v="1"/>
    <x v="0"/>
    <x v="2"/>
    <x v="0"/>
    <x v="38"/>
    <x v="1"/>
    <x v="517"/>
    <x v="1"/>
    <x v="8"/>
    <x v="1"/>
    <x v="8"/>
    <x v="103"/>
    <x v="103"/>
    <x v="1"/>
  </r>
  <r>
    <x v="739"/>
    <x v="242"/>
    <x v="473"/>
    <x v="7"/>
    <x v="2"/>
    <x v="3"/>
    <x v="2"/>
    <x v="0"/>
    <x v="10"/>
    <x v="5"/>
    <x v="210"/>
    <x v="0"/>
    <x v="7"/>
    <x v="1"/>
    <x v="7"/>
    <x v="28"/>
    <x v="28"/>
    <x v="1"/>
  </r>
  <r>
    <x v="740"/>
    <x v="717"/>
    <x v="363"/>
    <x v="1"/>
    <x v="1"/>
    <x v="5"/>
    <x v="1"/>
    <x v="0"/>
    <x v="30"/>
    <x v="2"/>
    <x v="518"/>
    <x v="1"/>
    <x v="1"/>
    <x v="0"/>
    <x v="1"/>
    <x v="85"/>
    <x v="85"/>
    <x v="0"/>
  </r>
  <r>
    <x v="741"/>
    <x v="718"/>
    <x v="219"/>
    <x v="1"/>
    <x v="3"/>
    <x v="5"/>
    <x v="1"/>
    <x v="0"/>
    <x v="41"/>
    <x v="6"/>
    <x v="519"/>
    <x v="1"/>
    <x v="1"/>
    <x v="0"/>
    <x v="1"/>
    <x v="158"/>
    <x v="158"/>
    <x v="0"/>
  </r>
  <r>
    <x v="742"/>
    <x v="159"/>
    <x v="246"/>
    <x v="8"/>
    <x v="2"/>
    <x v="2"/>
    <x v="0"/>
    <x v="0"/>
    <x v="37"/>
    <x v="4"/>
    <x v="147"/>
    <x v="0"/>
    <x v="8"/>
    <x v="1"/>
    <x v="8"/>
    <x v="85"/>
    <x v="85"/>
    <x v="1"/>
  </r>
  <r>
    <x v="743"/>
    <x v="719"/>
    <x v="260"/>
    <x v="8"/>
    <x v="1"/>
    <x v="2"/>
    <x v="0"/>
    <x v="0"/>
    <x v="34"/>
    <x v="5"/>
    <x v="306"/>
    <x v="1"/>
    <x v="8"/>
    <x v="1"/>
    <x v="8"/>
    <x v="17"/>
    <x v="17"/>
    <x v="0"/>
  </r>
  <r>
    <x v="744"/>
    <x v="720"/>
    <x v="392"/>
    <x v="6"/>
    <x v="1"/>
    <x v="0"/>
    <x v="2"/>
    <x v="0"/>
    <x v="2"/>
    <x v="3"/>
    <x v="245"/>
    <x v="2"/>
    <x v="6"/>
    <x v="0"/>
    <x v="6"/>
    <x v="6"/>
    <x v="6"/>
    <x v="1"/>
  </r>
  <r>
    <x v="745"/>
    <x v="721"/>
    <x v="514"/>
    <x v="10"/>
    <x v="1"/>
    <x v="2"/>
    <x v="2"/>
    <x v="0"/>
    <x v="3"/>
    <x v="2"/>
    <x v="457"/>
    <x v="0"/>
    <x v="10"/>
    <x v="3"/>
    <x v="10"/>
    <x v="16"/>
    <x v="16"/>
    <x v="0"/>
  </r>
  <r>
    <x v="746"/>
    <x v="500"/>
    <x v="515"/>
    <x v="17"/>
    <x v="1"/>
    <x v="2"/>
    <x v="2"/>
    <x v="0"/>
    <x v="39"/>
    <x v="2"/>
    <x v="181"/>
    <x v="0"/>
    <x v="17"/>
    <x v="4"/>
    <x v="17"/>
    <x v="49"/>
    <x v="49"/>
    <x v="1"/>
  </r>
  <r>
    <x v="747"/>
    <x v="722"/>
    <x v="516"/>
    <x v="11"/>
    <x v="1"/>
    <x v="3"/>
    <x v="0"/>
    <x v="0"/>
    <x v="21"/>
    <x v="7"/>
    <x v="520"/>
    <x v="1"/>
    <x v="11"/>
    <x v="1"/>
    <x v="11"/>
    <x v="114"/>
    <x v="114"/>
    <x v="1"/>
  </r>
  <r>
    <x v="748"/>
    <x v="723"/>
    <x v="436"/>
    <x v="7"/>
    <x v="3"/>
    <x v="2"/>
    <x v="0"/>
    <x v="0"/>
    <x v="12"/>
    <x v="1"/>
    <x v="328"/>
    <x v="2"/>
    <x v="7"/>
    <x v="1"/>
    <x v="7"/>
    <x v="159"/>
    <x v="159"/>
    <x v="0"/>
  </r>
  <r>
    <x v="749"/>
    <x v="724"/>
    <x v="70"/>
    <x v="8"/>
    <x v="3"/>
    <x v="2"/>
    <x v="0"/>
    <x v="0"/>
    <x v="47"/>
    <x v="4"/>
    <x v="521"/>
    <x v="0"/>
    <x v="8"/>
    <x v="1"/>
    <x v="8"/>
    <x v="41"/>
    <x v="41"/>
    <x v="1"/>
  </r>
  <r>
    <x v="750"/>
    <x v="725"/>
    <x v="188"/>
    <x v="6"/>
    <x v="1"/>
    <x v="2"/>
    <x v="2"/>
    <x v="0"/>
    <x v="5"/>
    <x v="9"/>
    <x v="522"/>
    <x v="1"/>
    <x v="6"/>
    <x v="0"/>
    <x v="6"/>
    <x v="13"/>
    <x v="13"/>
    <x v="1"/>
  </r>
  <r>
    <x v="751"/>
    <x v="726"/>
    <x v="517"/>
    <x v="10"/>
    <x v="3"/>
    <x v="2"/>
    <x v="1"/>
    <x v="0"/>
    <x v="40"/>
    <x v="3"/>
    <x v="523"/>
    <x v="0"/>
    <x v="10"/>
    <x v="3"/>
    <x v="10"/>
    <x v="19"/>
    <x v="19"/>
    <x v="0"/>
  </r>
  <r>
    <x v="752"/>
    <x v="727"/>
    <x v="250"/>
    <x v="0"/>
    <x v="1"/>
    <x v="3"/>
    <x v="1"/>
    <x v="0"/>
    <x v="33"/>
    <x v="2"/>
    <x v="454"/>
    <x v="0"/>
    <x v="0"/>
    <x v="0"/>
    <x v="0"/>
    <x v="43"/>
    <x v="43"/>
    <x v="0"/>
  </r>
  <r>
    <x v="753"/>
    <x v="728"/>
    <x v="54"/>
    <x v="3"/>
    <x v="2"/>
    <x v="2"/>
    <x v="2"/>
    <x v="0"/>
    <x v="32"/>
    <x v="2"/>
    <x v="524"/>
    <x v="1"/>
    <x v="3"/>
    <x v="2"/>
    <x v="3"/>
    <x v="89"/>
    <x v="89"/>
    <x v="0"/>
  </r>
  <r>
    <x v="754"/>
    <x v="729"/>
    <x v="518"/>
    <x v="2"/>
    <x v="3"/>
    <x v="1"/>
    <x v="0"/>
    <x v="0"/>
    <x v="6"/>
    <x v="2"/>
    <x v="525"/>
    <x v="1"/>
    <x v="2"/>
    <x v="1"/>
    <x v="2"/>
    <x v="139"/>
    <x v="139"/>
    <x v="1"/>
  </r>
  <r>
    <x v="755"/>
    <x v="730"/>
    <x v="161"/>
    <x v="7"/>
    <x v="0"/>
    <x v="3"/>
    <x v="2"/>
    <x v="0"/>
    <x v="18"/>
    <x v="9"/>
    <x v="526"/>
    <x v="1"/>
    <x v="7"/>
    <x v="1"/>
    <x v="7"/>
    <x v="160"/>
    <x v="160"/>
    <x v="1"/>
  </r>
  <r>
    <x v="756"/>
    <x v="731"/>
    <x v="519"/>
    <x v="6"/>
    <x v="3"/>
    <x v="2"/>
    <x v="2"/>
    <x v="0"/>
    <x v="46"/>
    <x v="6"/>
    <x v="527"/>
    <x v="1"/>
    <x v="6"/>
    <x v="0"/>
    <x v="6"/>
    <x v="31"/>
    <x v="31"/>
    <x v="1"/>
  </r>
  <r>
    <x v="757"/>
    <x v="732"/>
    <x v="477"/>
    <x v="10"/>
    <x v="1"/>
    <x v="2"/>
    <x v="0"/>
    <x v="0"/>
    <x v="31"/>
    <x v="3"/>
    <x v="163"/>
    <x v="0"/>
    <x v="10"/>
    <x v="3"/>
    <x v="10"/>
    <x v="16"/>
    <x v="16"/>
    <x v="0"/>
  </r>
  <r>
    <x v="758"/>
    <x v="733"/>
    <x v="428"/>
    <x v="0"/>
    <x v="2"/>
    <x v="1"/>
    <x v="0"/>
    <x v="0"/>
    <x v="39"/>
    <x v="0"/>
    <x v="528"/>
    <x v="0"/>
    <x v="0"/>
    <x v="0"/>
    <x v="0"/>
    <x v="15"/>
    <x v="15"/>
    <x v="1"/>
  </r>
  <r>
    <x v="759"/>
    <x v="734"/>
    <x v="197"/>
    <x v="14"/>
    <x v="3"/>
    <x v="5"/>
    <x v="2"/>
    <x v="0"/>
    <x v="44"/>
    <x v="4"/>
    <x v="529"/>
    <x v="1"/>
    <x v="14"/>
    <x v="1"/>
    <x v="14"/>
    <x v="142"/>
    <x v="142"/>
    <x v="0"/>
  </r>
  <r>
    <x v="760"/>
    <x v="735"/>
    <x v="520"/>
    <x v="18"/>
    <x v="2"/>
    <x v="2"/>
    <x v="1"/>
    <x v="2"/>
    <x v="46"/>
    <x v="2"/>
    <x v="530"/>
    <x v="0"/>
    <x v="18"/>
    <x v="1"/>
    <x v="18"/>
    <x v="53"/>
    <x v="53"/>
    <x v="0"/>
  </r>
  <r>
    <x v="761"/>
    <x v="736"/>
    <x v="521"/>
    <x v="12"/>
    <x v="1"/>
    <x v="4"/>
    <x v="0"/>
    <x v="0"/>
    <x v="44"/>
    <x v="2"/>
    <x v="531"/>
    <x v="0"/>
    <x v="12"/>
    <x v="4"/>
    <x v="12"/>
    <x v="1"/>
    <x v="1"/>
    <x v="0"/>
  </r>
  <r>
    <x v="762"/>
    <x v="737"/>
    <x v="288"/>
    <x v="0"/>
    <x v="1"/>
    <x v="3"/>
    <x v="1"/>
    <x v="0"/>
    <x v="31"/>
    <x v="6"/>
    <x v="532"/>
    <x v="1"/>
    <x v="0"/>
    <x v="0"/>
    <x v="0"/>
    <x v="43"/>
    <x v="43"/>
    <x v="1"/>
  </r>
  <r>
    <x v="763"/>
    <x v="738"/>
    <x v="522"/>
    <x v="14"/>
    <x v="1"/>
    <x v="2"/>
    <x v="2"/>
    <x v="0"/>
    <x v="14"/>
    <x v="2"/>
    <x v="122"/>
    <x v="0"/>
    <x v="14"/>
    <x v="1"/>
    <x v="14"/>
    <x v="78"/>
    <x v="78"/>
    <x v="0"/>
  </r>
  <r>
    <x v="764"/>
    <x v="739"/>
    <x v="263"/>
    <x v="16"/>
    <x v="1"/>
    <x v="2"/>
    <x v="0"/>
    <x v="0"/>
    <x v="22"/>
    <x v="9"/>
    <x v="362"/>
    <x v="1"/>
    <x v="16"/>
    <x v="1"/>
    <x v="16"/>
    <x v="58"/>
    <x v="58"/>
    <x v="0"/>
  </r>
  <r>
    <x v="765"/>
    <x v="740"/>
    <x v="432"/>
    <x v="0"/>
    <x v="2"/>
    <x v="5"/>
    <x v="0"/>
    <x v="0"/>
    <x v="30"/>
    <x v="2"/>
    <x v="477"/>
    <x v="1"/>
    <x v="0"/>
    <x v="0"/>
    <x v="0"/>
    <x v="76"/>
    <x v="76"/>
    <x v="0"/>
  </r>
  <r>
    <x v="766"/>
    <x v="741"/>
    <x v="37"/>
    <x v="4"/>
    <x v="2"/>
    <x v="3"/>
    <x v="0"/>
    <x v="0"/>
    <x v="19"/>
    <x v="3"/>
    <x v="437"/>
    <x v="1"/>
    <x v="4"/>
    <x v="0"/>
    <x v="4"/>
    <x v="37"/>
    <x v="37"/>
    <x v="0"/>
  </r>
  <r>
    <x v="767"/>
    <x v="742"/>
    <x v="523"/>
    <x v="9"/>
    <x v="2"/>
    <x v="2"/>
    <x v="0"/>
    <x v="0"/>
    <x v="42"/>
    <x v="3"/>
    <x v="533"/>
    <x v="0"/>
    <x v="9"/>
    <x v="0"/>
    <x v="9"/>
    <x v="24"/>
    <x v="24"/>
    <x v="0"/>
  </r>
  <r>
    <x v="768"/>
    <x v="743"/>
    <x v="524"/>
    <x v="18"/>
    <x v="1"/>
    <x v="0"/>
    <x v="0"/>
    <x v="0"/>
    <x v="27"/>
    <x v="4"/>
    <x v="534"/>
    <x v="0"/>
    <x v="18"/>
    <x v="1"/>
    <x v="18"/>
    <x v="90"/>
    <x v="90"/>
    <x v="0"/>
  </r>
  <r>
    <x v="769"/>
    <x v="744"/>
    <x v="516"/>
    <x v="1"/>
    <x v="2"/>
    <x v="4"/>
    <x v="3"/>
    <x v="0"/>
    <x v="37"/>
    <x v="2"/>
    <x v="535"/>
    <x v="0"/>
    <x v="1"/>
    <x v="0"/>
    <x v="1"/>
    <x v="36"/>
    <x v="36"/>
    <x v="1"/>
  </r>
  <r>
    <x v="770"/>
    <x v="745"/>
    <x v="8"/>
    <x v="12"/>
    <x v="2"/>
    <x v="0"/>
    <x v="0"/>
    <x v="0"/>
    <x v="8"/>
    <x v="5"/>
    <x v="536"/>
    <x v="0"/>
    <x v="12"/>
    <x v="4"/>
    <x v="12"/>
    <x v="96"/>
    <x v="96"/>
    <x v="0"/>
  </r>
  <r>
    <x v="771"/>
    <x v="746"/>
    <x v="525"/>
    <x v="8"/>
    <x v="1"/>
    <x v="4"/>
    <x v="0"/>
    <x v="0"/>
    <x v="14"/>
    <x v="2"/>
    <x v="537"/>
    <x v="1"/>
    <x v="8"/>
    <x v="1"/>
    <x v="8"/>
    <x v="45"/>
    <x v="45"/>
    <x v="0"/>
  </r>
  <r>
    <x v="772"/>
    <x v="747"/>
    <x v="526"/>
    <x v="10"/>
    <x v="2"/>
    <x v="2"/>
    <x v="0"/>
    <x v="0"/>
    <x v="7"/>
    <x v="3"/>
    <x v="261"/>
    <x v="0"/>
    <x v="10"/>
    <x v="3"/>
    <x v="10"/>
    <x v="15"/>
    <x v="15"/>
    <x v="0"/>
  </r>
  <r>
    <x v="773"/>
    <x v="748"/>
    <x v="227"/>
    <x v="12"/>
    <x v="3"/>
    <x v="0"/>
    <x v="0"/>
    <x v="0"/>
    <x v="14"/>
    <x v="0"/>
    <x v="538"/>
    <x v="1"/>
    <x v="12"/>
    <x v="4"/>
    <x v="12"/>
    <x v="161"/>
    <x v="161"/>
    <x v="0"/>
  </r>
  <r>
    <x v="774"/>
    <x v="749"/>
    <x v="486"/>
    <x v="17"/>
    <x v="2"/>
    <x v="3"/>
    <x v="0"/>
    <x v="0"/>
    <x v="8"/>
    <x v="3"/>
    <x v="539"/>
    <x v="0"/>
    <x v="17"/>
    <x v="4"/>
    <x v="17"/>
    <x v="162"/>
    <x v="162"/>
    <x v="1"/>
  </r>
  <r>
    <x v="775"/>
    <x v="750"/>
    <x v="496"/>
    <x v="14"/>
    <x v="4"/>
    <x v="0"/>
    <x v="0"/>
    <x v="0"/>
    <x v="39"/>
    <x v="4"/>
    <x v="236"/>
    <x v="0"/>
    <x v="14"/>
    <x v="1"/>
    <x v="14"/>
    <x v="163"/>
    <x v="163"/>
    <x v="0"/>
  </r>
  <r>
    <x v="776"/>
    <x v="751"/>
    <x v="310"/>
    <x v="0"/>
    <x v="4"/>
    <x v="5"/>
    <x v="2"/>
    <x v="0"/>
    <x v="13"/>
    <x v="3"/>
    <x v="375"/>
    <x v="1"/>
    <x v="0"/>
    <x v="0"/>
    <x v="0"/>
    <x v="1"/>
    <x v="1"/>
    <x v="0"/>
  </r>
  <r>
    <x v="777"/>
    <x v="752"/>
    <x v="3"/>
    <x v="8"/>
    <x v="2"/>
    <x v="2"/>
    <x v="2"/>
    <x v="0"/>
    <x v="20"/>
    <x v="6"/>
    <x v="540"/>
    <x v="0"/>
    <x v="8"/>
    <x v="1"/>
    <x v="8"/>
    <x v="85"/>
    <x v="85"/>
    <x v="1"/>
  </r>
  <r>
    <x v="778"/>
    <x v="753"/>
    <x v="456"/>
    <x v="12"/>
    <x v="1"/>
    <x v="0"/>
    <x v="0"/>
    <x v="0"/>
    <x v="15"/>
    <x v="8"/>
    <x v="541"/>
    <x v="0"/>
    <x v="12"/>
    <x v="4"/>
    <x v="12"/>
    <x v="2"/>
    <x v="2"/>
    <x v="0"/>
  </r>
  <r>
    <x v="779"/>
    <x v="754"/>
    <x v="251"/>
    <x v="8"/>
    <x v="1"/>
    <x v="0"/>
    <x v="0"/>
    <x v="0"/>
    <x v="27"/>
    <x v="1"/>
    <x v="542"/>
    <x v="0"/>
    <x v="8"/>
    <x v="1"/>
    <x v="8"/>
    <x v="103"/>
    <x v="103"/>
    <x v="0"/>
  </r>
  <r>
    <x v="780"/>
    <x v="755"/>
    <x v="527"/>
    <x v="10"/>
    <x v="0"/>
    <x v="2"/>
    <x v="0"/>
    <x v="0"/>
    <x v="44"/>
    <x v="6"/>
    <x v="125"/>
    <x v="1"/>
    <x v="10"/>
    <x v="3"/>
    <x v="10"/>
    <x v="4"/>
    <x v="4"/>
    <x v="0"/>
  </r>
  <r>
    <x v="781"/>
    <x v="756"/>
    <x v="383"/>
    <x v="0"/>
    <x v="1"/>
    <x v="5"/>
    <x v="2"/>
    <x v="0"/>
    <x v="8"/>
    <x v="4"/>
    <x v="543"/>
    <x v="1"/>
    <x v="0"/>
    <x v="0"/>
    <x v="0"/>
    <x v="55"/>
    <x v="55"/>
    <x v="1"/>
  </r>
  <r>
    <x v="782"/>
    <x v="757"/>
    <x v="413"/>
    <x v="6"/>
    <x v="1"/>
    <x v="2"/>
    <x v="2"/>
    <x v="0"/>
    <x v="26"/>
    <x v="2"/>
    <x v="185"/>
    <x v="0"/>
    <x v="6"/>
    <x v="0"/>
    <x v="6"/>
    <x v="13"/>
    <x v="13"/>
    <x v="0"/>
  </r>
  <r>
    <x v="783"/>
    <x v="758"/>
    <x v="528"/>
    <x v="9"/>
    <x v="1"/>
    <x v="0"/>
    <x v="3"/>
    <x v="1"/>
    <x v="24"/>
    <x v="5"/>
    <x v="322"/>
    <x v="1"/>
    <x v="9"/>
    <x v="0"/>
    <x v="9"/>
    <x v="63"/>
    <x v="63"/>
    <x v="0"/>
  </r>
  <r>
    <x v="784"/>
    <x v="759"/>
    <x v="529"/>
    <x v="2"/>
    <x v="0"/>
    <x v="0"/>
    <x v="0"/>
    <x v="0"/>
    <x v="22"/>
    <x v="2"/>
    <x v="544"/>
    <x v="1"/>
    <x v="2"/>
    <x v="1"/>
    <x v="2"/>
    <x v="126"/>
    <x v="126"/>
    <x v="1"/>
  </r>
  <r>
    <x v="785"/>
    <x v="760"/>
    <x v="187"/>
    <x v="3"/>
    <x v="2"/>
    <x v="0"/>
    <x v="0"/>
    <x v="0"/>
    <x v="20"/>
    <x v="2"/>
    <x v="545"/>
    <x v="0"/>
    <x v="3"/>
    <x v="2"/>
    <x v="3"/>
    <x v="155"/>
    <x v="155"/>
    <x v="0"/>
  </r>
  <r>
    <x v="786"/>
    <x v="761"/>
    <x v="530"/>
    <x v="10"/>
    <x v="3"/>
    <x v="4"/>
    <x v="2"/>
    <x v="0"/>
    <x v="1"/>
    <x v="5"/>
    <x v="546"/>
    <x v="0"/>
    <x v="10"/>
    <x v="3"/>
    <x v="10"/>
    <x v="76"/>
    <x v="76"/>
    <x v="0"/>
  </r>
  <r>
    <x v="787"/>
    <x v="762"/>
    <x v="190"/>
    <x v="2"/>
    <x v="2"/>
    <x v="2"/>
    <x v="0"/>
    <x v="0"/>
    <x v="22"/>
    <x v="2"/>
    <x v="246"/>
    <x v="0"/>
    <x v="2"/>
    <x v="1"/>
    <x v="2"/>
    <x v="130"/>
    <x v="130"/>
    <x v="1"/>
  </r>
  <r>
    <x v="788"/>
    <x v="763"/>
    <x v="311"/>
    <x v="7"/>
    <x v="3"/>
    <x v="1"/>
    <x v="0"/>
    <x v="0"/>
    <x v="19"/>
    <x v="3"/>
    <x v="547"/>
    <x v="0"/>
    <x v="7"/>
    <x v="1"/>
    <x v="7"/>
    <x v="61"/>
    <x v="61"/>
    <x v="1"/>
  </r>
  <r>
    <x v="789"/>
    <x v="764"/>
    <x v="298"/>
    <x v="9"/>
    <x v="2"/>
    <x v="2"/>
    <x v="2"/>
    <x v="0"/>
    <x v="11"/>
    <x v="8"/>
    <x v="242"/>
    <x v="1"/>
    <x v="9"/>
    <x v="0"/>
    <x v="9"/>
    <x v="24"/>
    <x v="24"/>
    <x v="1"/>
  </r>
  <r>
    <x v="790"/>
    <x v="765"/>
    <x v="531"/>
    <x v="10"/>
    <x v="1"/>
    <x v="3"/>
    <x v="2"/>
    <x v="0"/>
    <x v="14"/>
    <x v="6"/>
    <x v="342"/>
    <x v="0"/>
    <x v="10"/>
    <x v="3"/>
    <x v="10"/>
    <x v="16"/>
    <x v="16"/>
    <x v="1"/>
  </r>
  <r>
    <x v="791"/>
    <x v="766"/>
    <x v="252"/>
    <x v="9"/>
    <x v="1"/>
    <x v="2"/>
    <x v="2"/>
    <x v="0"/>
    <x v="29"/>
    <x v="2"/>
    <x v="548"/>
    <x v="0"/>
    <x v="9"/>
    <x v="0"/>
    <x v="9"/>
    <x v="4"/>
    <x v="4"/>
    <x v="1"/>
  </r>
  <r>
    <x v="792"/>
    <x v="767"/>
    <x v="276"/>
    <x v="0"/>
    <x v="1"/>
    <x v="2"/>
    <x v="0"/>
    <x v="0"/>
    <x v="25"/>
    <x v="6"/>
    <x v="549"/>
    <x v="0"/>
    <x v="0"/>
    <x v="0"/>
    <x v="0"/>
    <x v="43"/>
    <x v="43"/>
    <x v="1"/>
  </r>
  <r>
    <x v="793"/>
    <x v="768"/>
    <x v="209"/>
    <x v="15"/>
    <x v="1"/>
    <x v="0"/>
    <x v="0"/>
    <x v="0"/>
    <x v="17"/>
    <x v="2"/>
    <x v="550"/>
    <x v="1"/>
    <x v="15"/>
    <x v="5"/>
    <x v="15"/>
    <x v="30"/>
    <x v="30"/>
    <x v="0"/>
  </r>
  <r>
    <x v="794"/>
    <x v="769"/>
    <x v="99"/>
    <x v="11"/>
    <x v="2"/>
    <x v="0"/>
    <x v="3"/>
    <x v="0"/>
    <x v="47"/>
    <x v="3"/>
    <x v="551"/>
    <x v="1"/>
    <x v="11"/>
    <x v="1"/>
    <x v="11"/>
    <x v="22"/>
    <x v="22"/>
    <x v="0"/>
  </r>
  <r>
    <x v="795"/>
    <x v="770"/>
    <x v="532"/>
    <x v="8"/>
    <x v="1"/>
    <x v="2"/>
    <x v="1"/>
    <x v="0"/>
    <x v="47"/>
    <x v="3"/>
    <x v="552"/>
    <x v="0"/>
    <x v="8"/>
    <x v="1"/>
    <x v="8"/>
    <x v="17"/>
    <x v="17"/>
    <x v="0"/>
  </r>
  <r>
    <x v="796"/>
    <x v="771"/>
    <x v="399"/>
    <x v="3"/>
    <x v="2"/>
    <x v="3"/>
    <x v="0"/>
    <x v="0"/>
    <x v="18"/>
    <x v="1"/>
    <x v="553"/>
    <x v="0"/>
    <x v="3"/>
    <x v="2"/>
    <x v="3"/>
    <x v="164"/>
    <x v="164"/>
    <x v="0"/>
  </r>
  <r>
    <x v="797"/>
    <x v="772"/>
    <x v="39"/>
    <x v="7"/>
    <x v="1"/>
    <x v="5"/>
    <x v="2"/>
    <x v="0"/>
    <x v="40"/>
    <x v="2"/>
    <x v="554"/>
    <x v="0"/>
    <x v="7"/>
    <x v="1"/>
    <x v="7"/>
    <x v="91"/>
    <x v="91"/>
    <x v="0"/>
  </r>
  <r>
    <x v="798"/>
    <x v="773"/>
    <x v="533"/>
    <x v="9"/>
    <x v="2"/>
    <x v="3"/>
    <x v="2"/>
    <x v="0"/>
    <x v="44"/>
    <x v="7"/>
    <x v="422"/>
    <x v="0"/>
    <x v="9"/>
    <x v="0"/>
    <x v="9"/>
    <x v="137"/>
    <x v="137"/>
    <x v="0"/>
  </r>
  <r>
    <x v="799"/>
    <x v="774"/>
    <x v="69"/>
    <x v="12"/>
    <x v="1"/>
    <x v="2"/>
    <x v="0"/>
    <x v="0"/>
    <x v="40"/>
    <x v="6"/>
    <x v="306"/>
    <x v="1"/>
    <x v="12"/>
    <x v="4"/>
    <x v="12"/>
    <x v="62"/>
    <x v="62"/>
    <x v="1"/>
  </r>
  <r>
    <x v="800"/>
    <x v="775"/>
    <x v="94"/>
    <x v="8"/>
    <x v="1"/>
    <x v="0"/>
    <x v="3"/>
    <x v="0"/>
    <x v="22"/>
    <x v="2"/>
    <x v="555"/>
    <x v="0"/>
    <x v="8"/>
    <x v="1"/>
    <x v="8"/>
    <x v="103"/>
    <x v="103"/>
    <x v="0"/>
  </r>
  <r>
    <x v="801"/>
    <x v="776"/>
    <x v="534"/>
    <x v="4"/>
    <x v="1"/>
    <x v="0"/>
    <x v="1"/>
    <x v="0"/>
    <x v="27"/>
    <x v="2"/>
    <x v="556"/>
    <x v="1"/>
    <x v="4"/>
    <x v="0"/>
    <x v="4"/>
    <x v="45"/>
    <x v="45"/>
    <x v="0"/>
  </r>
  <r>
    <x v="802"/>
    <x v="777"/>
    <x v="60"/>
    <x v="10"/>
    <x v="2"/>
    <x v="5"/>
    <x v="0"/>
    <x v="0"/>
    <x v="30"/>
    <x v="0"/>
    <x v="557"/>
    <x v="2"/>
    <x v="10"/>
    <x v="3"/>
    <x v="10"/>
    <x v="70"/>
    <x v="70"/>
    <x v="0"/>
  </r>
  <r>
    <x v="803"/>
    <x v="778"/>
    <x v="527"/>
    <x v="10"/>
    <x v="2"/>
    <x v="5"/>
    <x v="3"/>
    <x v="2"/>
    <x v="23"/>
    <x v="2"/>
    <x v="80"/>
    <x v="1"/>
    <x v="10"/>
    <x v="3"/>
    <x v="10"/>
    <x v="70"/>
    <x v="70"/>
    <x v="0"/>
  </r>
  <r>
    <x v="804"/>
    <x v="779"/>
    <x v="535"/>
    <x v="19"/>
    <x v="1"/>
    <x v="2"/>
    <x v="2"/>
    <x v="0"/>
    <x v="43"/>
    <x v="7"/>
    <x v="558"/>
    <x v="2"/>
    <x v="19"/>
    <x v="1"/>
    <x v="19"/>
    <x v="19"/>
    <x v="19"/>
    <x v="0"/>
  </r>
  <r>
    <x v="805"/>
    <x v="780"/>
    <x v="419"/>
    <x v="8"/>
    <x v="2"/>
    <x v="3"/>
    <x v="1"/>
    <x v="0"/>
    <x v="26"/>
    <x v="3"/>
    <x v="332"/>
    <x v="0"/>
    <x v="8"/>
    <x v="1"/>
    <x v="8"/>
    <x v="12"/>
    <x v="12"/>
    <x v="0"/>
  </r>
  <r>
    <x v="806"/>
    <x v="781"/>
    <x v="536"/>
    <x v="4"/>
    <x v="1"/>
    <x v="2"/>
    <x v="1"/>
    <x v="0"/>
    <x v="9"/>
    <x v="3"/>
    <x v="559"/>
    <x v="0"/>
    <x v="4"/>
    <x v="0"/>
    <x v="4"/>
    <x v="15"/>
    <x v="15"/>
    <x v="1"/>
  </r>
  <r>
    <x v="807"/>
    <x v="782"/>
    <x v="446"/>
    <x v="1"/>
    <x v="2"/>
    <x v="2"/>
    <x v="0"/>
    <x v="0"/>
    <x v="42"/>
    <x v="4"/>
    <x v="6"/>
    <x v="1"/>
    <x v="1"/>
    <x v="0"/>
    <x v="1"/>
    <x v="61"/>
    <x v="61"/>
    <x v="1"/>
  </r>
  <r>
    <x v="808"/>
    <x v="783"/>
    <x v="537"/>
    <x v="4"/>
    <x v="2"/>
    <x v="0"/>
    <x v="2"/>
    <x v="0"/>
    <x v="10"/>
    <x v="3"/>
    <x v="157"/>
    <x v="1"/>
    <x v="4"/>
    <x v="0"/>
    <x v="4"/>
    <x v="63"/>
    <x v="63"/>
    <x v="0"/>
  </r>
  <r>
    <x v="809"/>
    <x v="784"/>
    <x v="536"/>
    <x v="7"/>
    <x v="2"/>
    <x v="0"/>
    <x v="0"/>
    <x v="0"/>
    <x v="11"/>
    <x v="2"/>
    <x v="504"/>
    <x v="0"/>
    <x v="7"/>
    <x v="1"/>
    <x v="7"/>
    <x v="29"/>
    <x v="29"/>
    <x v="1"/>
  </r>
  <r>
    <x v="810"/>
    <x v="785"/>
    <x v="202"/>
    <x v="8"/>
    <x v="3"/>
    <x v="2"/>
    <x v="0"/>
    <x v="0"/>
    <x v="41"/>
    <x v="7"/>
    <x v="400"/>
    <x v="2"/>
    <x v="8"/>
    <x v="1"/>
    <x v="8"/>
    <x v="41"/>
    <x v="41"/>
    <x v="1"/>
  </r>
  <r>
    <x v="811"/>
    <x v="786"/>
    <x v="538"/>
    <x v="8"/>
    <x v="3"/>
    <x v="3"/>
    <x v="1"/>
    <x v="0"/>
    <x v="17"/>
    <x v="5"/>
    <x v="108"/>
    <x v="1"/>
    <x v="8"/>
    <x v="1"/>
    <x v="8"/>
    <x v="123"/>
    <x v="123"/>
    <x v="1"/>
  </r>
  <r>
    <x v="812"/>
    <x v="787"/>
    <x v="539"/>
    <x v="0"/>
    <x v="1"/>
    <x v="2"/>
    <x v="0"/>
    <x v="0"/>
    <x v="16"/>
    <x v="2"/>
    <x v="173"/>
    <x v="0"/>
    <x v="0"/>
    <x v="0"/>
    <x v="0"/>
    <x v="43"/>
    <x v="43"/>
    <x v="0"/>
  </r>
  <r>
    <x v="813"/>
    <x v="788"/>
    <x v="540"/>
    <x v="6"/>
    <x v="1"/>
    <x v="0"/>
    <x v="1"/>
    <x v="0"/>
    <x v="23"/>
    <x v="6"/>
    <x v="560"/>
    <x v="1"/>
    <x v="6"/>
    <x v="0"/>
    <x v="6"/>
    <x v="6"/>
    <x v="6"/>
    <x v="0"/>
  </r>
  <r>
    <x v="814"/>
    <x v="789"/>
    <x v="364"/>
    <x v="5"/>
    <x v="2"/>
    <x v="1"/>
    <x v="3"/>
    <x v="2"/>
    <x v="26"/>
    <x v="6"/>
    <x v="561"/>
    <x v="0"/>
    <x v="5"/>
    <x v="2"/>
    <x v="5"/>
    <x v="123"/>
    <x v="123"/>
    <x v="0"/>
  </r>
  <r>
    <x v="815"/>
    <x v="790"/>
    <x v="336"/>
    <x v="9"/>
    <x v="2"/>
    <x v="0"/>
    <x v="0"/>
    <x v="0"/>
    <x v="1"/>
    <x v="6"/>
    <x v="122"/>
    <x v="0"/>
    <x v="9"/>
    <x v="0"/>
    <x v="9"/>
    <x v="2"/>
    <x v="2"/>
    <x v="0"/>
  </r>
  <r>
    <x v="816"/>
    <x v="791"/>
    <x v="541"/>
    <x v="10"/>
    <x v="1"/>
    <x v="2"/>
    <x v="2"/>
    <x v="0"/>
    <x v="22"/>
    <x v="5"/>
    <x v="562"/>
    <x v="1"/>
    <x v="10"/>
    <x v="3"/>
    <x v="10"/>
    <x v="16"/>
    <x v="16"/>
    <x v="0"/>
  </r>
  <r>
    <x v="817"/>
    <x v="792"/>
    <x v="260"/>
    <x v="17"/>
    <x v="3"/>
    <x v="5"/>
    <x v="1"/>
    <x v="0"/>
    <x v="19"/>
    <x v="1"/>
    <x v="429"/>
    <x v="1"/>
    <x v="17"/>
    <x v="4"/>
    <x v="17"/>
    <x v="69"/>
    <x v="69"/>
    <x v="0"/>
  </r>
  <r>
    <x v="818"/>
    <x v="131"/>
    <x v="130"/>
    <x v="10"/>
    <x v="0"/>
    <x v="0"/>
    <x v="0"/>
    <x v="0"/>
    <x v="13"/>
    <x v="0"/>
    <x v="70"/>
    <x v="1"/>
    <x v="10"/>
    <x v="3"/>
    <x v="10"/>
    <x v="63"/>
    <x v="63"/>
    <x v="0"/>
  </r>
  <r>
    <x v="819"/>
    <x v="283"/>
    <x v="466"/>
    <x v="9"/>
    <x v="1"/>
    <x v="3"/>
    <x v="3"/>
    <x v="0"/>
    <x v="47"/>
    <x v="5"/>
    <x v="242"/>
    <x v="0"/>
    <x v="9"/>
    <x v="0"/>
    <x v="9"/>
    <x v="37"/>
    <x v="37"/>
    <x v="0"/>
  </r>
  <r>
    <x v="820"/>
    <x v="793"/>
    <x v="382"/>
    <x v="10"/>
    <x v="3"/>
    <x v="3"/>
    <x v="0"/>
    <x v="0"/>
    <x v="22"/>
    <x v="2"/>
    <x v="2"/>
    <x v="0"/>
    <x v="10"/>
    <x v="3"/>
    <x v="10"/>
    <x v="52"/>
    <x v="52"/>
    <x v="1"/>
  </r>
  <r>
    <x v="821"/>
    <x v="794"/>
    <x v="114"/>
    <x v="16"/>
    <x v="2"/>
    <x v="2"/>
    <x v="1"/>
    <x v="0"/>
    <x v="44"/>
    <x v="5"/>
    <x v="288"/>
    <x v="0"/>
    <x v="16"/>
    <x v="1"/>
    <x v="16"/>
    <x v="42"/>
    <x v="42"/>
    <x v="0"/>
  </r>
  <r>
    <x v="822"/>
    <x v="795"/>
    <x v="542"/>
    <x v="1"/>
    <x v="2"/>
    <x v="2"/>
    <x v="1"/>
    <x v="0"/>
    <x v="11"/>
    <x v="2"/>
    <x v="563"/>
    <x v="0"/>
    <x v="1"/>
    <x v="0"/>
    <x v="1"/>
    <x v="61"/>
    <x v="61"/>
    <x v="0"/>
  </r>
  <r>
    <x v="823"/>
    <x v="796"/>
    <x v="27"/>
    <x v="7"/>
    <x v="1"/>
    <x v="0"/>
    <x v="3"/>
    <x v="0"/>
    <x v="22"/>
    <x v="4"/>
    <x v="194"/>
    <x v="2"/>
    <x v="7"/>
    <x v="1"/>
    <x v="7"/>
    <x v="0"/>
    <x v="0"/>
    <x v="0"/>
  </r>
  <r>
    <x v="824"/>
    <x v="251"/>
    <x v="543"/>
    <x v="18"/>
    <x v="2"/>
    <x v="2"/>
    <x v="0"/>
    <x v="0"/>
    <x v="43"/>
    <x v="2"/>
    <x v="217"/>
    <x v="1"/>
    <x v="18"/>
    <x v="1"/>
    <x v="18"/>
    <x v="53"/>
    <x v="53"/>
    <x v="1"/>
  </r>
  <r>
    <x v="825"/>
    <x v="797"/>
    <x v="544"/>
    <x v="0"/>
    <x v="4"/>
    <x v="5"/>
    <x v="1"/>
    <x v="0"/>
    <x v="8"/>
    <x v="7"/>
    <x v="564"/>
    <x v="0"/>
    <x v="0"/>
    <x v="0"/>
    <x v="0"/>
    <x v="1"/>
    <x v="1"/>
    <x v="1"/>
  </r>
  <r>
    <x v="826"/>
    <x v="798"/>
    <x v="470"/>
    <x v="11"/>
    <x v="1"/>
    <x v="3"/>
    <x v="0"/>
    <x v="0"/>
    <x v="23"/>
    <x v="2"/>
    <x v="565"/>
    <x v="0"/>
    <x v="11"/>
    <x v="1"/>
    <x v="11"/>
    <x v="114"/>
    <x v="114"/>
    <x v="1"/>
  </r>
  <r>
    <x v="827"/>
    <x v="799"/>
    <x v="365"/>
    <x v="7"/>
    <x v="0"/>
    <x v="1"/>
    <x v="1"/>
    <x v="0"/>
    <x v="15"/>
    <x v="5"/>
    <x v="566"/>
    <x v="0"/>
    <x v="7"/>
    <x v="1"/>
    <x v="7"/>
    <x v="88"/>
    <x v="88"/>
    <x v="1"/>
  </r>
  <r>
    <x v="828"/>
    <x v="800"/>
    <x v="545"/>
    <x v="13"/>
    <x v="2"/>
    <x v="0"/>
    <x v="2"/>
    <x v="2"/>
    <x v="14"/>
    <x v="2"/>
    <x v="567"/>
    <x v="0"/>
    <x v="13"/>
    <x v="1"/>
    <x v="13"/>
    <x v="165"/>
    <x v="165"/>
    <x v="0"/>
  </r>
  <r>
    <x v="829"/>
    <x v="801"/>
    <x v="440"/>
    <x v="7"/>
    <x v="2"/>
    <x v="2"/>
    <x v="0"/>
    <x v="0"/>
    <x v="22"/>
    <x v="3"/>
    <x v="530"/>
    <x v="0"/>
    <x v="7"/>
    <x v="1"/>
    <x v="7"/>
    <x v="87"/>
    <x v="87"/>
    <x v="0"/>
  </r>
  <r>
    <x v="830"/>
    <x v="802"/>
    <x v="546"/>
    <x v="10"/>
    <x v="3"/>
    <x v="1"/>
    <x v="0"/>
    <x v="0"/>
    <x v="27"/>
    <x v="8"/>
    <x v="568"/>
    <x v="0"/>
    <x v="10"/>
    <x v="3"/>
    <x v="10"/>
    <x v="10"/>
    <x v="10"/>
    <x v="1"/>
  </r>
  <r>
    <x v="831"/>
    <x v="803"/>
    <x v="547"/>
    <x v="10"/>
    <x v="2"/>
    <x v="1"/>
    <x v="0"/>
    <x v="0"/>
    <x v="5"/>
    <x v="8"/>
    <x v="569"/>
    <x v="1"/>
    <x v="10"/>
    <x v="3"/>
    <x v="10"/>
    <x v="13"/>
    <x v="13"/>
    <x v="0"/>
  </r>
  <r>
    <x v="832"/>
    <x v="804"/>
    <x v="455"/>
    <x v="8"/>
    <x v="2"/>
    <x v="2"/>
    <x v="0"/>
    <x v="0"/>
    <x v="21"/>
    <x v="4"/>
    <x v="48"/>
    <x v="1"/>
    <x v="8"/>
    <x v="1"/>
    <x v="8"/>
    <x v="85"/>
    <x v="85"/>
    <x v="0"/>
  </r>
  <r>
    <x v="833"/>
    <x v="805"/>
    <x v="548"/>
    <x v="11"/>
    <x v="1"/>
    <x v="3"/>
    <x v="2"/>
    <x v="0"/>
    <x v="31"/>
    <x v="4"/>
    <x v="570"/>
    <x v="1"/>
    <x v="11"/>
    <x v="1"/>
    <x v="11"/>
    <x v="114"/>
    <x v="114"/>
    <x v="1"/>
  </r>
  <r>
    <x v="834"/>
    <x v="806"/>
    <x v="549"/>
    <x v="11"/>
    <x v="0"/>
    <x v="5"/>
    <x v="1"/>
    <x v="0"/>
    <x v="8"/>
    <x v="6"/>
    <x v="571"/>
    <x v="1"/>
    <x v="11"/>
    <x v="1"/>
    <x v="11"/>
    <x v="166"/>
    <x v="166"/>
    <x v="1"/>
  </r>
  <r>
    <x v="835"/>
    <x v="807"/>
    <x v="550"/>
    <x v="17"/>
    <x v="4"/>
    <x v="2"/>
    <x v="2"/>
    <x v="0"/>
    <x v="17"/>
    <x v="4"/>
    <x v="399"/>
    <x v="0"/>
    <x v="17"/>
    <x v="4"/>
    <x v="17"/>
    <x v="109"/>
    <x v="109"/>
    <x v="1"/>
  </r>
  <r>
    <x v="836"/>
    <x v="808"/>
    <x v="551"/>
    <x v="0"/>
    <x v="1"/>
    <x v="0"/>
    <x v="1"/>
    <x v="0"/>
    <x v="39"/>
    <x v="9"/>
    <x v="407"/>
    <x v="1"/>
    <x v="0"/>
    <x v="0"/>
    <x v="0"/>
    <x v="55"/>
    <x v="55"/>
    <x v="0"/>
  </r>
  <r>
    <x v="837"/>
    <x v="809"/>
    <x v="552"/>
    <x v="0"/>
    <x v="2"/>
    <x v="0"/>
    <x v="2"/>
    <x v="1"/>
    <x v="39"/>
    <x v="6"/>
    <x v="572"/>
    <x v="1"/>
    <x v="0"/>
    <x v="0"/>
    <x v="0"/>
    <x v="103"/>
    <x v="103"/>
    <x v="0"/>
  </r>
  <r>
    <x v="838"/>
    <x v="810"/>
    <x v="553"/>
    <x v="0"/>
    <x v="2"/>
    <x v="5"/>
    <x v="0"/>
    <x v="0"/>
    <x v="13"/>
    <x v="2"/>
    <x v="543"/>
    <x v="0"/>
    <x v="0"/>
    <x v="0"/>
    <x v="0"/>
    <x v="76"/>
    <x v="76"/>
    <x v="1"/>
  </r>
  <r>
    <x v="839"/>
    <x v="811"/>
    <x v="178"/>
    <x v="11"/>
    <x v="1"/>
    <x v="0"/>
    <x v="0"/>
    <x v="0"/>
    <x v="40"/>
    <x v="2"/>
    <x v="573"/>
    <x v="1"/>
    <x v="11"/>
    <x v="1"/>
    <x v="11"/>
    <x v="34"/>
    <x v="34"/>
    <x v="0"/>
  </r>
  <r>
    <x v="840"/>
    <x v="812"/>
    <x v="554"/>
    <x v="0"/>
    <x v="2"/>
    <x v="3"/>
    <x v="2"/>
    <x v="0"/>
    <x v="27"/>
    <x v="8"/>
    <x v="298"/>
    <x v="0"/>
    <x v="0"/>
    <x v="0"/>
    <x v="0"/>
    <x v="10"/>
    <x v="10"/>
    <x v="0"/>
  </r>
  <r>
    <x v="841"/>
    <x v="813"/>
    <x v="21"/>
    <x v="0"/>
    <x v="1"/>
    <x v="3"/>
    <x v="1"/>
    <x v="0"/>
    <x v="44"/>
    <x v="5"/>
    <x v="247"/>
    <x v="1"/>
    <x v="0"/>
    <x v="0"/>
    <x v="0"/>
    <x v="43"/>
    <x v="43"/>
    <x v="1"/>
  </r>
  <r>
    <x v="842"/>
    <x v="814"/>
    <x v="496"/>
    <x v="5"/>
    <x v="1"/>
    <x v="0"/>
    <x v="0"/>
    <x v="0"/>
    <x v="39"/>
    <x v="2"/>
    <x v="574"/>
    <x v="2"/>
    <x v="5"/>
    <x v="2"/>
    <x v="5"/>
    <x v="99"/>
    <x v="99"/>
    <x v="0"/>
  </r>
  <r>
    <x v="843"/>
    <x v="815"/>
    <x v="546"/>
    <x v="7"/>
    <x v="1"/>
    <x v="2"/>
    <x v="2"/>
    <x v="0"/>
    <x v="39"/>
    <x v="6"/>
    <x v="432"/>
    <x v="0"/>
    <x v="7"/>
    <x v="1"/>
    <x v="7"/>
    <x v="101"/>
    <x v="101"/>
    <x v="1"/>
  </r>
  <r>
    <x v="844"/>
    <x v="816"/>
    <x v="448"/>
    <x v="8"/>
    <x v="1"/>
    <x v="3"/>
    <x v="0"/>
    <x v="0"/>
    <x v="8"/>
    <x v="5"/>
    <x v="575"/>
    <x v="0"/>
    <x v="8"/>
    <x v="1"/>
    <x v="8"/>
    <x v="10"/>
    <x v="10"/>
    <x v="1"/>
  </r>
  <r>
    <x v="845"/>
    <x v="817"/>
    <x v="346"/>
    <x v="1"/>
    <x v="1"/>
    <x v="5"/>
    <x v="0"/>
    <x v="0"/>
    <x v="29"/>
    <x v="7"/>
    <x v="576"/>
    <x v="0"/>
    <x v="1"/>
    <x v="0"/>
    <x v="1"/>
    <x v="85"/>
    <x v="85"/>
    <x v="0"/>
  </r>
  <r>
    <x v="846"/>
    <x v="818"/>
    <x v="555"/>
    <x v="2"/>
    <x v="2"/>
    <x v="2"/>
    <x v="0"/>
    <x v="0"/>
    <x v="19"/>
    <x v="2"/>
    <x v="165"/>
    <x v="0"/>
    <x v="2"/>
    <x v="1"/>
    <x v="2"/>
    <x v="130"/>
    <x v="130"/>
    <x v="1"/>
  </r>
  <r>
    <x v="847"/>
    <x v="819"/>
    <x v="496"/>
    <x v="6"/>
    <x v="1"/>
    <x v="4"/>
    <x v="0"/>
    <x v="0"/>
    <x v="33"/>
    <x v="2"/>
    <x v="577"/>
    <x v="0"/>
    <x v="6"/>
    <x v="0"/>
    <x v="6"/>
    <x v="55"/>
    <x v="55"/>
    <x v="0"/>
  </r>
  <r>
    <x v="848"/>
    <x v="507"/>
    <x v="241"/>
    <x v="9"/>
    <x v="1"/>
    <x v="2"/>
    <x v="0"/>
    <x v="0"/>
    <x v="38"/>
    <x v="6"/>
    <x v="396"/>
    <x v="0"/>
    <x v="9"/>
    <x v="0"/>
    <x v="9"/>
    <x v="4"/>
    <x v="4"/>
    <x v="0"/>
  </r>
  <r>
    <x v="849"/>
    <x v="820"/>
    <x v="549"/>
    <x v="15"/>
    <x v="0"/>
    <x v="2"/>
    <x v="1"/>
    <x v="0"/>
    <x v="14"/>
    <x v="2"/>
    <x v="63"/>
    <x v="0"/>
    <x v="15"/>
    <x v="5"/>
    <x v="15"/>
    <x v="167"/>
    <x v="167"/>
    <x v="1"/>
  </r>
  <r>
    <x v="850"/>
    <x v="121"/>
    <x v="556"/>
    <x v="4"/>
    <x v="4"/>
    <x v="0"/>
    <x v="0"/>
    <x v="0"/>
    <x v="28"/>
    <x v="4"/>
    <x v="114"/>
    <x v="0"/>
    <x v="4"/>
    <x v="0"/>
    <x v="4"/>
    <x v="29"/>
    <x v="29"/>
    <x v="0"/>
  </r>
  <r>
    <x v="851"/>
    <x v="821"/>
    <x v="166"/>
    <x v="3"/>
    <x v="1"/>
    <x v="0"/>
    <x v="2"/>
    <x v="0"/>
    <x v="29"/>
    <x v="2"/>
    <x v="457"/>
    <x v="1"/>
    <x v="3"/>
    <x v="2"/>
    <x v="3"/>
    <x v="3"/>
    <x v="3"/>
    <x v="1"/>
  </r>
  <r>
    <x v="852"/>
    <x v="822"/>
    <x v="542"/>
    <x v="11"/>
    <x v="2"/>
    <x v="0"/>
    <x v="0"/>
    <x v="0"/>
    <x v="27"/>
    <x v="4"/>
    <x v="578"/>
    <x v="1"/>
    <x v="11"/>
    <x v="1"/>
    <x v="11"/>
    <x v="22"/>
    <x v="22"/>
    <x v="0"/>
  </r>
  <r>
    <x v="853"/>
    <x v="823"/>
    <x v="333"/>
    <x v="8"/>
    <x v="1"/>
    <x v="3"/>
    <x v="3"/>
    <x v="0"/>
    <x v="46"/>
    <x v="8"/>
    <x v="579"/>
    <x v="1"/>
    <x v="8"/>
    <x v="1"/>
    <x v="8"/>
    <x v="10"/>
    <x v="10"/>
    <x v="0"/>
  </r>
  <r>
    <x v="854"/>
    <x v="824"/>
    <x v="557"/>
    <x v="19"/>
    <x v="1"/>
    <x v="3"/>
    <x v="1"/>
    <x v="0"/>
    <x v="37"/>
    <x v="2"/>
    <x v="580"/>
    <x v="0"/>
    <x v="19"/>
    <x v="1"/>
    <x v="19"/>
    <x v="52"/>
    <x v="52"/>
    <x v="0"/>
  </r>
  <r>
    <x v="855"/>
    <x v="30"/>
    <x v="558"/>
    <x v="9"/>
    <x v="2"/>
    <x v="2"/>
    <x v="2"/>
    <x v="0"/>
    <x v="23"/>
    <x v="3"/>
    <x v="29"/>
    <x v="0"/>
    <x v="9"/>
    <x v="0"/>
    <x v="9"/>
    <x v="24"/>
    <x v="24"/>
    <x v="0"/>
  </r>
  <r>
    <x v="856"/>
    <x v="825"/>
    <x v="559"/>
    <x v="5"/>
    <x v="2"/>
    <x v="2"/>
    <x v="0"/>
    <x v="0"/>
    <x v="6"/>
    <x v="1"/>
    <x v="190"/>
    <x v="1"/>
    <x v="5"/>
    <x v="2"/>
    <x v="5"/>
    <x v="26"/>
    <x v="26"/>
    <x v="1"/>
  </r>
  <r>
    <x v="857"/>
    <x v="826"/>
    <x v="77"/>
    <x v="1"/>
    <x v="2"/>
    <x v="0"/>
    <x v="0"/>
    <x v="0"/>
    <x v="12"/>
    <x v="9"/>
    <x v="522"/>
    <x v="1"/>
    <x v="1"/>
    <x v="0"/>
    <x v="1"/>
    <x v="11"/>
    <x v="11"/>
    <x v="1"/>
  </r>
  <r>
    <x v="858"/>
    <x v="366"/>
    <x v="560"/>
    <x v="2"/>
    <x v="2"/>
    <x v="2"/>
    <x v="0"/>
    <x v="0"/>
    <x v="46"/>
    <x v="6"/>
    <x v="303"/>
    <x v="1"/>
    <x v="2"/>
    <x v="1"/>
    <x v="2"/>
    <x v="130"/>
    <x v="130"/>
    <x v="0"/>
  </r>
  <r>
    <x v="859"/>
    <x v="827"/>
    <x v="561"/>
    <x v="0"/>
    <x v="1"/>
    <x v="2"/>
    <x v="2"/>
    <x v="0"/>
    <x v="2"/>
    <x v="4"/>
    <x v="581"/>
    <x v="0"/>
    <x v="0"/>
    <x v="0"/>
    <x v="0"/>
    <x v="43"/>
    <x v="43"/>
    <x v="0"/>
  </r>
  <r>
    <x v="860"/>
    <x v="828"/>
    <x v="319"/>
    <x v="14"/>
    <x v="1"/>
    <x v="2"/>
    <x v="2"/>
    <x v="0"/>
    <x v="11"/>
    <x v="5"/>
    <x v="582"/>
    <x v="0"/>
    <x v="14"/>
    <x v="1"/>
    <x v="14"/>
    <x v="78"/>
    <x v="78"/>
    <x v="0"/>
  </r>
  <r>
    <x v="861"/>
    <x v="484"/>
    <x v="266"/>
    <x v="4"/>
    <x v="1"/>
    <x v="2"/>
    <x v="1"/>
    <x v="0"/>
    <x v="42"/>
    <x v="2"/>
    <x v="381"/>
    <x v="1"/>
    <x v="4"/>
    <x v="0"/>
    <x v="4"/>
    <x v="15"/>
    <x v="15"/>
    <x v="0"/>
  </r>
  <r>
    <x v="862"/>
    <x v="829"/>
    <x v="331"/>
    <x v="16"/>
    <x v="2"/>
    <x v="2"/>
    <x v="2"/>
    <x v="0"/>
    <x v="15"/>
    <x v="7"/>
    <x v="583"/>
    <x v="1"/>
    <x v="16"/>
    <x v="1"/>
    <x v="16"/>
    <x v="42"/>
    <x v="42"/>
    <x v="1"/>
  </r>
  <r>
    <x v="863"/>
    <x v="830"/>
    <x v="148"/>
    <x v="14"/>
    <x v="2"/>
    <x v="0"/>
    <x v="0"/>
    <x v="0"/>
    <x v="37"/>
    <x v="7"/>
    <x v="471"/>
    <x v="1"/>
    <x v="14"/>
    <x v="1"/>
    <x v="14"/>
    <x v="121"/>
    <x v="121"/>
    <x v="0"/>
  </r>
  <r>
    <x v="864"/>
    <x v="831"/>
    <x v="68"/>
    <x v="18"/>
    <x v="1"/>
    <x v="3"/>
    <x v="3"/>
    <x v="0"/>
    <x v="38"/>
    <x v="7"/>
    <x v="584"/>
    <x v="1"/>
    <x v="18"/>
    <x v="1"/>
    <x v="18"/>
    <x v="62"/>
    <x v="62"/>
    <x v="0"/>
  </r>
  <r>
    <x v="865"/>
    <x v="832"/>
    <x v="320"/>
    <x v="9"/>
    <x v="1"/>
    <x v="3"/>
    <x v="2"/>
    <x v="0"/>
    <x v="3"/>
    <x v="6"/>
    <x v="585"/>
    <x v="1"/>
    <x v="9"/>
    <x v="0"/>
    <x v="9"/>
    <x v="37"/>
    <x v="37"/>
    <x v="0"/>
  </r>
  <r>
    <x v="866"/>
    <x v="833"/>
    <x v="562"/>
    <x v="12"/>
    <x v="2"/>
    <x v="3"/>
    <x v="1"/>
    <x v="0"/>
    <x v="35"/>
    <x v="9"/>
    <x v="586"/>
    <x v="1"/>
    <x v="12"/>
    <x v="4"/>
    <x v="12"/>
    <x v="21"/>
    <x v="21"/>
    <x v="1"/>
  </r>
  <r>
    <x v="867"/>
    <x v="834"/>
    <x v="563"/>
    <x v="14"/>
    <x v="1"/>
    <x v="0"/>
    <x v="0"/>
    <x v="0"/>
    <x v="41"/>
    <x v="2"/>
    <x v="408"/>
    <x v="1"/>
    <x v="14"/>
    <x v="1"/>
    <x v="14"/>
    <x v="35"/>
    <x v="35"/>
    <x v="0"/>
  </r>
  <r>
    <x v="868"/>
    <x v="835"/>
    <x v="564"/>
    <x v="6"/>
    <x v="1"/>
    <x v="1"/>
    <x v="0"/>
    <x v="0"/>
    <x v="6"/>
    <x v="7"/>
    <x v="39"/>
    <x v="0"/>
    <x v="6"/>
    <x v="0"/>
    <x v="6"/>
    <x v="43"/>
    <x v="43"/>
    <x v="0"/>
  </r>
  <r>
    <x v="869"/>
    <x v="836"/>
    <x v="536"/>
    <x v="4"/>
    <x v="2"/>
    <x v="0"/>
    <x v="3"/>
    <x v="0"/>
    <x v="2"/>
    <x v="5"/>
    <x v="587"/>
    <x v="0"/>
    <x v="4"/>
    <x v="0"/>
    <x v="4"/>
    <x v="63"/>
    <x v="63"/>
    <x v="1"/>
  </r>
  <r>
    <x v="870"/>
    <x v="11"/>
    <x v="215"/>
    <x v="5"/>
    <x v="1"/>
    <x v="2"/>
    <x v="1"/>
    <x v="0"/>
    <x v="10"/>
    <x v="7"/>
    <x v="10"/>
    <x v="2"/>
    <x v="5"/>
    <x v="2"/>
    <x v="5"/>
    <x v="0"/>
    <x v="0"/>
    <x v="1"/>
  </r>
  <r>
    <x v="871"/>
    <x v="837"/>
    <x v="424"/>
    <x v="6"/>
    <x v="1"/>
    <x v="0"/>
    <x v="3"/>
    <x v="0"/>
    <x v="21"/>
    <x v="8"/>
    <x v="588"/>
    <x v="1"/>
    <x v="6"/>
    <x v="0"/>
    <x v="6"/>
    <x v="6"/>
    <x v="6"/>
    <x v="0"/>
  </r>
  <r>
    <x v="872"/>
    <x v="838"/>
    <x v="565"/>
    <x v="6"/>
    <x v="1"/>
    <x v="2"/>
    <x v="1"/>
    <x v="0"/>
    <x v="23"/>
    <x v="2"/>
    <x v="567"/>
    <x v="1"/>
    <x v="6"/>
    <x v="0"/>
    <x v="6"/>
    <x v="13"/>
    <x v="13"/>
    <x v="0"/>
  </r>
  <r>
    <x v="873"/>
    <x v="839"/>
    <x v="353"/>
    <x v="10"/>
    <x v="3"/>
    <x v="2"/>
    <x v="3"/>
    <x v="0"/>
    <x v="6"/>
    <x v="8"/>
    <x v="589"/>
    <x v="2"/>
    <x v="10"/>
    <x v="3"/>
    <x v="10"/>
    <x v="19"/>
    <x v="19"/>
    <x v="0"/>
  </r>
  <r>
    <x v="874"/>
    <x v="840"/>
    <x v="370"/>
    <x v="14"/>
    <x v="0"/>
    <x v="2"/>
    <x v="0"/>
    <x v="0"/>
    <x v="18"/>
    <x v="1"/>
    <x v="590"/>
    <x v="1"/>
    <x v="14"/>
    <x v="1"/>
    <x v="14"/>
    <x v="152"/>
    <x v="152"/>
    <x v="0"/>
  </r>
  <r>
    <x v="875"/>
    <x v="841"/>
    <x v="473"/>
    <x v="6"/>
    <x v="1"/>
    <x v="5"/>
    <x v="0"/>
    <x v="0"/>
    <x v="42"/>
    <x v="5"/>
    <x v="121"/>
    <x v="0"/>
    <x v="6"/>
    <x v="0"/>
    <x v="6"/>
    <x v="43"/>
    <x v="43"/>
    <x v="1"/>
  </r>
  <r>
    <x v="876"/>
    <x v="842"/>
    <x v="566"/>
    <x v="11"/>
    <x v="1"/>
    <x v="2"/>
    <x v="0"/>
    <x v="0"/>
    <x v="23"/>
    <x v="4"/>
    <x v="591"/>
    <x v="0"/>
    <x v="11"/>
    <x v="1"/>
    <x v="11"/>
    <x v="86"/>
    <x v="86"/>
    <x v="0"/>
  </r>
  <r>
    <x v="877"/>
    <x v="843"/>
    <x v="567"/>
    <x v="12"/>
    <x v="1"/>
    <x v="2"/>
    <x v="0"/>
    <x v="0"/>
    <x v="35"/>
    <x v="8"/>
    <x v="574"/>
    <x v="0"/>
    <x v="12"/>
    <x v="4"/>
    <x v="12"/>
    <x v="62"/>
    <x v="62"/>
    <x v="1"/>
  </r>
  <r>
    <x v="878"/>
    <x v="844"/>
    <x v="568"/>
    <x v="9"/>
    <x v="1"/>
    <x v="5"/>
    <x v="2"/>
    <x v="0"/>
    <x v="8"/>
    <x v="0"/>
    <x v="459"/>
    <x v="0"/>
    <x v="9"/>
    <x v="0"/>
    <x v="9"/>
    <x v="59"/>
    <x v="59"/>
    <x v="1"/>
  </r>
  <r>
    <x v="879"/>
    <x v="736"/>
    <x v="523"/>
    <x v="14"/>
    <x v="1"/>
    <x v="2"/>
    <x v="3"/>
    <x v="0"/>
    <x v="44"/>
    <x v="2"/>
    <x v="531"/>
    <x v="0"/>
    <x v="14"/>
    <x v="1"/>
    <x v="14"/>
    <x v="78"/>
    <x v="78"/>
    <x v="0"/>
  </r>
  <r>
    <x v="880"/>
    <x v="845"/>
    <x v="222"/>
    <x v="10"/>
    <x v="1"/>
    <x v="5"/>
    <x v="2"/>
    <x v="0"/>
    <x v="3"/>
    <x v="6"/>
    <x v="592"/>
    <x v="1"/>
    <x v="10"/>
    <x v="3"/>
    <x v="10"/>
    <x v="20"/>
    <x v="20"/>
    <x v="1"/>
  </r>
  <r>
    <x v="881"/>
    <x v="846"/>
    <x v="1"/>
    <x v="4"/>
    <x v="1"/>
    <x v="3"/>
    <x v="0"/>
    <x v="0"/>
    <x v="12"/>
    <x v="7"/>
    <x v="152"/>
    <x v="1"/>
    <x v="4"/>
    <x v="0"/>
    <x v="4"/>
    <x v="45"/>
    <x v="45"/>
    <x v="1"/>
  </r>
  <r>
    <x v="882"/>
    <x v="847"/>
    <x v="175"/>
    <x v="7"/>
    <x v="1"/>
    <x v="2"/>
    <x v="0"/>
    <x v="0"/>
    <x v="33"/>
    <x v="3"/>
    <x v="264"/>
    <x v="1"/>
    <x v="7"/>
    <x v="1"/>
    <x v="7"/>
    <x v="101"/>
    <x v="101"/>
    <x v="1"/>
  </r>
  <r>
    <x v="883"/>
    <x v="848"/>
    <x v="17"/>
    <x v="12"/>
    <x v="3"/>
    <x v="0"/>
    <x v="2"/>
    <x v="0"/>
    <x v="42"/>
    <x v="2"/>
    <x v="476"/>
    <x v="2"/>
    <x v="12"/>
    <x v="4"/>
    <x v="12"/>
    <x v="161"/>
    <x v="161"/>
    <x v="1"/>
  </r>
  <r>
    <x v="884"/>
    <x v="379"/>
    <x v="446"/>
    <x v="9"/>
    <x v="1"/>
    <x v="0"/>
    <x v="0"/>
    <x v="0"/>
    <x v="10"/>
    <x v="6"/>
    <x v="311"/>
    <x v="1"/>
    <x v="9"/>
    <x v="0"/>
    <x v="9"/>
    <x v="63"/>
    <x v="63"/>
    <x v="1"/>
  </r>
  <r>
    <x v="885"/>
    <x v="849"/>
    <x v="569"/>
    <x v="10"/>
    <x v="0"/>
    <x v="2"/>
    <x v="3"/>
    <x v="0"/>
    <x v="39"/>
    <x v="2"/>
    <x v="593"/>
    <x v="1"/>
    <x v="10"/>
    <x v="3"/>
    <x v="10"/>
    <x v="4"/>
    <x v="4"/>
    <x v="1"/>
  </r>
  <r>
    <x v="886"/>
    <x v="850"/>
    <x v="570"/>
    <x v="1"/>
    <x v="3"/>
    <x v="2"/>
    <x v="2"/>
    <x v="2"/>
    <x v="9"/>
    <x v="1"/>
    <x v="594"/>
    <x v="1"/>
    <x v="1"/>
    <x v="0"/>
    <x v="1"/>
    <x v="75"/>
    <x v="75"/>
    <x v="0"/>
  </r>
  <r>
    <x v="887"/>
    <x v="851"/>
    <x v="571"/>
    <x v="4"/>
    <x v="0"/>
    <x v="4"/>
    <x v="2"/>
    <x v="0"/>
    <x v="31"/>
    <x v="8"/>
    <x v="136"/>
    <x v="1"/>
    <x v="4"/>
    <x v="0"/>
    <x v="4"/>
    <x v="105"/>
    <x v="105"/>
    <x v="0"/>
  </r>
  <r>
    <x v="888"/>
    <x v="852"/>
    <x v="87"/>
    <x v="4"/>
    <x v="3"/>
    <x v="4"/>
    <x v="2"/>
    <x v="0"/>
    <x v="7"/>
    <x v="2"/>
    <x v="399"/>
    <x v="1"/>
    <x v="4"/>
    <x v="0"/>
    <x v="4"/>
    <x v="99"/>
    <x v="99"/>
    <x v="0"/>
  </r>
  <r>
    <x v="889"/>
    <x v="853"/>
    <x v="218"/>
    <x v="10"/>
    <x v="1"/>
    <x v="3"/>
    <x v="3"/>
    <x v="0"/>
    <x v="1"/>
    <x v="6"/>
    <x v="165"/>
    <x v="1"/>
    <x v="10"/>
    <x v="3"/>
    <x v="10"/>
    <x v="16"/>
    <x v="16"/>
    <x v="1"/>
  </r>
  <r>
    <x v="890"/>
    <x v="854"/>
    <x v="404"/>
    <x v="14"/>
    <x v="0"/>
    <x v="3"/>
    <x v="0"/>
    <x v="0"/>
    <x v="38"/>
    <x v="2"/>
    <x v="595"/>
    <x v="1"/>
    <x v="14"/>
    <x v="1"/>
    <x v="14"/>
    <x v="168"/>
    <x v="168"/>
    <x v="1"/>
  </r>
  <r>
    <x v="891"/>
    <x v="707"/>
    <x v="534"/>
    <x v="15"/>
    <x v="1"/>
    <x v="1"/>
    <x v="2"/>
    <x v="0"/>
    <x v="1"/>
    <x v="5"/>
    <x v="512"/>
    <x v="1"/>
    <x v="15"/>
    <x v="5"/>
    <x v="15"/>
    <x v="41"/>
    <x v="41"/>
    <x v="0"/>
  </r>
  <r>
    <x v="892"/>
    <x v="855"/>
    <x v="572"/>
    <x v="19"/>
    <x v="1"/>
    <x v="0"/>
    <x v="0"/>
    <x v="0"/>
    <x v="47"/>
    <x v="5"/>
    <x v="148"/>
    <x v="1"/>
    <x v="19"/>
    <x v="1"/>
    <x v="19"/>
    <x v="39"/>
    <x v="39"/>
    <x v="0"/>
  </r>
  <r>
    <x v="893"/>
    <x v="856"/>
    <x v="104"/>
    <x v="17"/>
    <x v="1"/>
    <x v="2"/>
    <x v="1"/>
    <x v="0"/>
    <x v="3"/>
    <x v="6"/>
    <x v="596"/>
    <x v="0"/>
    <x v="17"/>
    <x v="4"/>
    <x v="17"/>
    <x v="49"/>
    <x v="49"/>
    <x v="0"/>
  </r>
  <r>
    <x v="894"/>
    <x v="857"/>
    <x v="573"/>
    <x v="4"/>
    <x v="1"/>
    <x v="2"/>
    <x v="1"/>
    <x v="0"/>
    <x v="20"/>
    <x v="1"/>
    <x v="597"/>
    <x v="0"/>
    <x v="4"/>
    <x v="0"/>
    <x v="4"/>
    <x v="15"/>
    <x v="15"/>
    <x v="1"/>
  </r>
  <r>
    <x v="895"/>
    <x v="858"/>
    <x v="197"/>
    <x v="17"/>
    <x v="2"/>
    <x v="0"/>
    <x v="0"/>
    <x v="0"/>
    <x v="19"/>
    <x v="6"/>
    <x v="226"/>
    <x v="0"/>
    <x v="17"/>
    <x v="4"/>
    <x v="17"/>
    <x v="169"/>
    <x v="169"/>
    <x v="0"/>
  </r>
  <r>
    <x v="896"/>
    <x v="859"/>
    <x v="574"/>
    <x v="17"/>
    <x v="0"/>
    <x v="2"/>
    <x v="0"/>
    <x v="0"/>
    <x v="6"/>
    <x v="2"/>
    <x v="213"/>
    <x v="0"/>
    <x v="17"/>
    <x v="4"/>
    <x v="17"/>
    <x v="80"/>
    <x v="80"/>
    <x v="0"/>
  </r>
  <r>
    <x v="897"/>
    <x v="860"/>
    <x v="86"/>
    <x v="2"/>
    <x v="3"/>
    <x v="2"/>
    <x v="0"/>
    <x v="0"/>
    <x v="2"/>
    <x v="3"/>
    <x v="598"/>
    <x v="1"/>
    <x v="2"/>
    <x v="1"/>
    <x v="2"/>
    <x v="14"/>
    <x v="14"/>
    <x v="1"/>
  </r>
  <r>
    <x v="898"/>
    <x v="861"/>
    <x v="436"/>
    <x v="4"/>
    <x v="1"/>
    <x v="2"/>
    <x v="2"/>
    <x v="0"/>
    <x v="10"/>
    <x v="0"/>
    <x v="599"/>
    <x v="1"/>
    <x v="4"/>
    <x v="0"/>
    <x v="4"/>
    <x v="15"/>
    <x v="15"/>
    <x v="0"/>
  </r>
  <r>
    <x v="899"/>
    <x v="862"/>
    <x v="305"/>
    <x v="4"/>
    <x v="1"/>
    <x v="2"/>
    <x v="2"/>
    <x v="0"/>
    <x v="32"/>
    <x v="2"/>
    <x v="600"/>
    <x v="0"/>
    <x v="4"/>
    <x v="0"/>
    <x v="4"/>
    <x v="15"/>
    <x v="15"/>
    <x v="0"/>
  </r>
  <r>
    <x v="900"/>
    <x v="863"/>
    <x v="575"/>
    <x v="9"/>
    <x v="1"/>
    <x v="2"/>
    <x v="0"/>
    <x v="0"/>
    <x v="43"/>
    <x v="2"/>
    <x v="601"/>
    <x v="0"/>
    <x v="9"/>
    <x v="0"/>
    <x v="9"/>
    <x v="4"/>
    <x v="4"/>
    <x v="1"/>
  </r>
  <r>
    <x v="901"/>
    <x v="864"/>
    <x v="417"/>
    <x v="6"/>
    <x v="2"/>
    <x v="2"/>
    <x v="1"/>
    <x v="0"/>
    <x v="18"/>
    <x v="4"/>
    <x v="529"/>
    <x v="1"/>
    <x v="6"/>
    <x v="0"/>
    <x v="6"/>
    <x v="18"/>
    <x v="18"/>
    <x v="0"/>
  </r>
  <r>
    <x v="902"/>
    <x v="865"/>
    <x v="380"/>
    <x v="0"/>
    <x v="3"/>
    <x v="0"/>
    <x v="2"/>
    <x v="0"/>
    <x v="37"/>
    <x v="2"/>
    <x v="602"/>
    <x v="0"/>
    <x v="0"/>
    <x v="0"/>
    <x v="0"/>
    <x v="59"/>
    <x v="59"/>
    <x v="0"/>
  </r>
  <r>
    <x v="903"/>
    <x v="866"/>
    <x v="52"/>
    <x v="6"/>
    <x v="1"/>
    <x v="0"/>
    <x v="0"/>
    <x v="0"/>
    <x v="41"/>
    <x v="7"/>
    <x v="297"/>
    <x v="0"/>
    <x v="6"/>
    <x v="0"/>
    <x v="6"/>
    <x v="6"/>
    <x v="6"/>
    <x v="1"/>
  </r>
  <r>
    <x v="904"/>
    <x v="867"/>
    <x v="576"/>
    <x v="12"/>
    <x v="3"/>
    <x v="1"/>
    <x v="0"/>
    <x v="2"/>
    <x v="13"/>
    <x v="2"/>
    <x v="603"/>
    <x v="1"/>
    <x v="12"/>
    <x v="4"/>
    <x v="12"/>
    <x v="170"/>
    <x v="170"/>
    <x v="0"/>
  </r>
  <r>
    <x v="905"/>
    <x v="868"/>
    <x v="536"/>
    <x v="10"/>
    <x v="2"/>
    <x v="3"/>
    <x v="2"/>
    <x v="0"/>
    <x v="19"/>
    <x v="8"/>
    <x v="604"/>
    <x v="1"/>
    <x v="10"/>
    <x v="3"/>
    <x v="10"/>
    <x v="45"/>
    <x v="45"/>
    <x v="1"/>
  </r>
  <r>
    <x v="906"/>
    <x v="869"/>
    <x v="364"/>
    <x v="6"/>
    <x v="2"/>
    <x v="3"/>
    <x v="0"/>
    <x v="0"/>
    <x v="41"/>
    <x v="1"/>
    <x v="605"/>
    <x v="1"/>
    <x v="6"/>
    <x v="0"/>
    <x v="6"/>
    <x v="19"/>
    <x v="19"/>
    <x v="0"/>
  </r>
  <r>
    <x v="907"/>
    <x v="870"/>
    <x v="421"/>
    <x v="11"/>
    <x v="3"/>
    <x v="2"/>
    <x v="2"/>
    <x v="0"/>
    <x v="4"/>
    <x v="3"/>
    <x v="606"/>
    <x v="1"/>
    <x v="11"/>
    <x v="1"/>
    <x v="11"/>
    <x v="171"/>
    <x v="171"/>
    <x v="0"/>
  </r>
  <r>
    <x v="908"/>
    <x v="871"/>
    <x v="577"/>
    <x v="0"/>
    <x v="3"/>
    <x v="3"/>
    <x v="2"/>
    <x v="2"/>
    <x v="24"/>
    <x v="6"/>
    <x v="607"/>
    <x v="1"/>
    <x v="0"/>
    <x v="0"/>
    <x v="0"/>
    <x v="40"/>
    <x v="40"/>
    <x v="0"/>
  </r>
  <r>
    <x v="909"/>
    <x v="872"/>
    <x v="394"/>
    <x v="6"/>
    <x v="4"/>
    <x v="3"/>
    <x v="0"/>
    <x v="0"/>
    <x v="11"/>
    <x v="5"/>
    <x v="319"/>
    <x v="1"/>
    <x v="6"/>
    <x v="0"/>
    <x v="6"/>
    <x v="90"/>
    <x v="90"/>
    <x v="0"/>
  </r>
  <r>
    <x v="910"/>
    <x v="873"/>
    <x v="144"/>
    <x v="7"/>
    <x v="1"/>
    <x v="0"/>
    <x v="1"/>
    <x v="0"/>
    <x v="37"/>
    <x v="9"/>
    <x v="463"/>
    <x v="2"/>
    <x v="7"/>
    <x v="1"/>
    <x v="7"/>
    <x v="0"/>
    <x v="0"/>
    <x v="0"/>
  </r>
  <r>
    <x v="911"/>
    <x v="874"/>
    <x v="383"/>
    <x v="7"/>
    <x v="3"/>
    <x v="2"/>
    <x v="0"/>
    <x v="0"/>
    <x v="7"/>
    <x v="5"/>
    <x v="608"/>
    <x v="0"/>
    <x v="7"/>
    <x v="1"/>
    <x v="7"/>
    <x v="159"/>
    <x v="159"/>
    <x v="1"/>
  </r>
  <r>
    <x v="912"/>
    <x v="875"/>
    <x v="578"/>
    <x v="4"/>
    <x v="1"/>
    <x v="2"/>
    <x v="0"/>
    <x v="0"/>
    <x v="11"/>
    <x v="8"/>
    <x v="402"/>
    <x v="2"/>
    <x v="4"/>
    <x v="0"/>
    <x v="4"/>
    <x v="15"/>
    <x v="15"/>
    <x v="0"/>
  </r>
  <r>
    <x v="913"/>
    <x v="876"/>
    <x v="464"/>
    <x v="0"/>
    <x v="2"/>
    <x v="0"/>
    <x v="0"/>
    <x v="0"/>
    <x v="28"/>
    <x v="2"/>
    <x v="588"/>
    <x v="0"/>
    <x v="0"/>
    <x v="0"/>
    <x v="0"/>
    <x v="103"/>
    <x v="103"/>
    <x v="0"/>
  </r>
  <r>
    <x v="914"/>
    <x v="877"/>
    <x v="403"/>
    <x v="11"/>
    <x v="3"/>
    <x v="2"/>
    <x v="3"/>
    <x v="0"/>
    <x v="40"/>
    <x v="1"/>
    <x v="189"/>
    <x v="0"/>
    <x v="11"/>
    <x v="1"/>
    <x v="11"/>
    <x v="171"/>
    <x v="171"/>
    <x v="0"/>
  </r>
  <r>
    <x v="915"/>
    <x v="878"/>
    <x v="335"/>
    <x v="12"/>
    <x v="1"/>
    <x v="5"/>
    <x v="1"/>
    <x v="0"/>
    <x v="34"/>
    <x v="4"/>
    <x v="168"/>
    <x v="0"/>
    <x v="12"/>
    <x v="4"/>
    <x v="12"/>
    <x v="151"/>
    <x v="151"/>
    <x v="0"/>
  </r>
  <r>
    <x v="916"/>
    <x v="879"/>
    <x v="130"/>
    <x v="6"/>
    <x v="1"/>
    <x v="2"/>
    <x v="0"/>
    <x v="0"/>
    <x v="47"/>
    <x v="3"/>
    <x v="609"/>
    <x v="1"/>
    <x v="6"/>
    <x v="0"/>
    <x v="6"/>
    <x v="13"/>
    <x v="13"/>
    <x v="0"/>
  </r>
  <r>
    <x v="917"/>
    <x v="880"/>
    <x v="166"/>
    <x v="2"/>
    <x v="1"/>
    <x v="2"/>
    <x v="2"/>
    <x v="0"/>
    <x v="43"/>
    <x v="9"/>
    <x v="421"/>
    <x v="1"/>
    <x v="2"/>
    <x v="1"/>
    <x v="2"/>
    <x v="23"/>
    <x v="23"/>
    <x v="1"/>
  </r>
  <r>
    <x v="918"/>
    <x v="881"/>
    <x v="567"/>
    <x v="6"/>
    <x v="3"/>
    <x v="2"/>
    <x v="0"/>
    <x v="0"/>
    <x v="3"/>
    <x v="9"/>
    <x v="610"/>
    <x v="1"/>
    <x v="6"/>
    <x v="0"/>
    <x v="6"/>
    <x v="31"/>
    <x v="31"/>
    <x v="1"/>
  </r>
  <r>
    <x v="919"/>
    <x v="882"/>
    <x v="105"/>
    <x v="4"/>
    <x v="1"/>
    <x v="3"/>
    <x v="0"/>
    <x v="0"/>
    <x v="37"/>
    <x v="4"/>
    <x v="611"/>
    <x v="0"/>
    <x v="4"/>
    <x v="0"/>
    <x v="4"/>
    <x v="45"/>
    <x v="45"/>
    <x v="0"/>
  </r>
  <r>
    <x v="920"/>
    <x v="665"/>
    <x v="579"/>
    <x v="19"/>
    <x v="1"/>
    <x v="0"/>
    <x v="0"/>
    <x v="0"/>
    <x v="0"/>
    <x v="1"/>
    <x v="491"/>
    <x v="1"/>
    <x v="19"/>
    <x v="1"/>
    <x v="19"/>
    <x v="39"/>
    <x v="39"/>
    <x v="0"/>
  </r>
  <r>
    <x v="921"/>
    <x v="883"/>
    <x v="366"/>
    <x v="6"/>
    <x v="2"/>
    <x v="4"/>
    <x v="1"/>
    <x v="0"/>
    <x v="46"/>
    <x v="4"/>
    <x v="612"/>
    <x v="2"/>
    <x v="6"/>
    <x v="0"/>
    <x v="6"/>
    <x v="76"/>
    <x v="76"/>
    <x v="0"/>
  </r>
  <r>
    <x v="922"/>
    <x v="884"/>
    <x v="399"/>
    <x v="17"/>
    <x v="3"/>
    <x v="2"/>
    <x v="3"/>
    <x v="2"/>
    <x v="19"/>
    <x v="6"/>
    <x v="381"/>
    <x v="0"/>
    <x v="17"/>
    <x v="4"/>
    <x v="17"/>
    <x v="89"/>
    <x v="89"/>
    <x v="0"/>
  </r>
  <r>
    <x v="923"/>
    <x v="885"/>
    <x v="153"/>
    <x v="6"/>
    <x v="1"/>
    <x v="2"/>
    <x v="0"/>
    <x v="0"/>
    <x v="41"/>
    <x v="2"/>
    <x v="366"/>
    <x v="1"/>
    <x v="6"/>
    <x v="0"/>
    <x v="6"/>
    <x v="13"/>
    <x v="13"/>
    <x v="1"/>
  </r>
  <r>
    <x v="924"/>
    <x v="886"/>
    <x v="222"/>
    <x v="0"/>
    <x v="3"/>
    <x v="5"/>
    <x v="1"/>
    <x v="0"/>
    <x v="3"/>
    <x v="6"/>
    <x v="613"/>
    <x v="1"/>
    <x v="0"/>
    <x v="0"/>
    <x v="0"/>
    <x v="129"/>
    <x v="129"/>
    <x v="1"/>
  </r>
  <r>
    <x v="925"/>
    <x v="887"/>
    <x v="580"/>
    <x v="6"/>
    <x v="1"/>
    <x v="3"/>
    <x v="0"/>
    <x v="0"/>
    <x v="15"/>
    <x v="2"/>
    <x v="283"/>
    <x v="1"/>
    <x v="6"/>
    <x v="0"/>
    <x v="6"/>
    <x v="6"/>
    <x v="6"/>
    <x v="1"/>
  </r>
  <r>
    <x v="926"/>
    <x v="888"/>
    <x v="581"/>
    <x v="6"/>
    <x v="3"/>
    <x v="2"/>
    <x v="2"/>
    <x v="0"/>
    <x v="33"/>
    <x v="4"/>
    <x v="614"/>
    <x v="2"/>
    <x v="6"/>
    <x v="0"/>
    <x v="6"/>
    <x v="31"/>
    <x v="31"/>
    <x v="1"/>
  </r>
  <r>
    <x v="927"/>
    <x v="889"/>
    <x v="126"/>
    <x v="5"/>
    <x v="1"/>
    <x v="4"/>
    <x v="2"/>
    <x v="0"/>
    <x v="24"/>
    <x v="6"/>
    <x v="437"/>
    <x v="0"/>
    <x v="5"/>
    <x v="2"/>
    <x v="5"/>
    <x v="18"/>
    <x v="18"/>
    <x v="0"/>
  </r>
  <r>
    <x v="928"/>
    <x v="890"/>
    <x v="347"/>
    <x v="10"/>
    <x v="3"/>
    <x v="3"/>
    <x v="0"/>
    <x v="0"/>
    <x v="26"/>
    <x v="6"/>
    <x v="615"/>
    <x v="1"/>
    <x v="10"/>
    <x v="3"/>
    <x v="10"/>
    <x v="52"/>
    <x v="52"/>
    <x v="0"/>
  </r>
  <r>
    <x v="929"/>
    <x v="891"/>
    <x v="191"/>
    <x v="1"/>
    <x v="3"/>
    <x v="3"/>
    <x v="3"/>
    <x v="2"/>
    <x v="40"/>
    <x v="4"/>
    <x v="616"/>
    <x v="0"/>
    <x v="1"/>
    <x v="0"/>
    <x v="1"/>
    <x v="49"/>
    <x v="49"/>
    <x v="0"/>
  </r>
  <r>
    <x v="930"/>
    <x v="195"/>
    <x v="582"/>
    <x v="15"/>
    <x v="1"/>
    <x v="0"/>
    <x v="0"/>
    <x v="1"/>
    <x v="27"/>
    <x v="5"/>
    <x v="176"/>
    <x v="1"/>
    <x v="15"/>
    <x v="5"/>
    <x v="15"/>
    <x v="30"/>
    <x v="30"/>
    <x v="1"/>
  </r>
  <r>
    <x v="931"/>
    <x v="892"/>
    <x v="583"/>
    <x v="4"/>
    <x v="1"/>
    <x v="2"/>
    <x v="3"/>
    <x v="0"/>
    <x v="0"/>
    <x v="2"/>
    <x v="548"/>
    <x v="0"/>
    <x v="4"/>
    <x v="0"/>
    <x v="4"/>
    <x v="15"/>
    <x v="15"/>
    <x v="0"/>
  </r>
  <r>
    <x v="932"/>
    <x v="893"/>
    <x v="584"/>
    <x v="4"/>
    <x v="1"/>
    <x v="3"/>
    <x v="0"/>
    <x v="0"/>
    <x v="43"/>
    <x v="2"/>
    <x v="477"/>
    <x v="2"/>
    <x v="4"/>
    <x v="0"/>
    <x v="4"/>
    <x v="45"/>
    <x v="45"/>
    <x v="0"/>
  </r>
  <r>
    <x v="933"/>
    <x v="894"/>
    <x v="585"/>
    <x v="11"/>
    <x v="0"/>
    <x v="1"/>
    <x v="0"/>
    <x v="0"/>
    <x v="45"/>
    <x v="3"/>
    <x v="617"/>
    <x v="0"/>
    <x v="11"/>
    <x v="1"/>
    <x v="11"/>
    <x v="172"/>
    <x v="172"/>
    <x v="1"/>
  </r>
  <r>
    <x v="934"/>
    <x v="895"/>
    <x v="385"/>
    <x v="0"/>
    <x v="1"/>
    <x v="1"/>
    <x v="0"/>
    <x v="0"/>
    <x v="5"/>
    <x v="2"/>
    <x v="508"/>
    <x v="2"/>
    <x v="0"/>
    <x v="0"/>
    <x v="0"/>
    <x v="16"/>
    <x v="16"/>
    <x v="0"/>
  </r>
  <r>
    <x v="935"/>
    <x v="896"/>
    <x v="514"/>
    <x v="9"/>
    <x v="1"/>
    <x v="3"/>
    <x v="0"/>
    <x v="0"/>
    <x v="24"/>
    <x v="2"/>
    <x v="618"/>
    <x v="0"/>
    <x v="9"/>
    <x v="0"/>
    <x v="9"/>
    <x v="37"/>
    <x v="37"/>
    <x v="0"/>
  </r>
  <r>
    <x v="936"/>
    <x v="897"/>
    <x v="372"/>
    <x v="10"/>
    <x v="3"/>
    <x v="2"/>
    <x v="0"/>
    <x v="0"/>
    <x v="32"/>
    <x v="2"/>
    <x v="74"/>
    <x v="0"/>
    <x v="10"/>
    <x v="3"/>
    <x v="10"/>
    <x v="19"/>
    <x v="19"/>
    <x v="1"/>
  </r>
  <r>
    <x v="937"/>
    <x v="898"/>
    <x v="142"/>
    <x v="8"/>
    <x v="1"/>
    <x v="3"/>
    <x v="3"/>
    <x v="0"/>
    <x v="47"/>
    <x v="5"/>
    <x v="531"/>
    <x v="0"/>
    <x v="8"/>
    <x v="1"/>
    <x v="8"/>
    <x v="10"/>
    <x v="10"/>
    <x v="0"/>
  </r>
  <r>
    <x v="938"/>
    <x v="523"/>
    <x v="161"/>
    <x v="10"/>
    <x v="2"/>
    <x v="3"/>
    <x v="0"/>
    <x v="0"/>
    <x v="29"/>
    <x v="9"/>
    <x v="407"/>
    <x v="1"/>
    <x v="10"/>
    <x v="3"/>
    <x v="10"/>
    <x v="45"/>
    <x v="45"/>
    <x v="1"/>
  </r>
  <r>
    <x v="939"/>
    <x v="899"/>
    <x v="86"/>
    <x v="16"/>
    <x v="2"/>
    <x v="2"/>
    <x v="2"/>
    <x v="0"/>
    <x v="38"/>
    <x v="4"/>
    <x v="494"/>
    <x v="1"/>
    <x v="16"/>
    <x v="1"/>
    <x v="16"/>
    <x v="42"/>
    <x v="42"/>
    <x v="1"/>
  </r>
  <r>
    <x v="940"/>
    <x v="73"/>
    <x v="586"/>
    <x v="7"/>
    <x v="2"/>
    <x v="3"/>
    <x v="0"/>
    <x v="0"/>
    <x v="10"/>
    <x v="2"/>
    <x v="71"/>
    <x v="1"/>
    <x v="7"/>
    <x v="1"/>
    <x v="7"/>
    <x v="28"/>
    <x v="28"/>
    <x v="1"/>
  </r>
  <r>
    <x v="941"/>
    <x v="514"/>
    <x v="420"/>
    <x v="9"/>
    <x v="1"/>
    <x v="3"/>
    <x v="0"/>
    <x v="0"/>
    <x v="29"/>
    <x v="1"/>
    <x v="402"/>
    <x v="0"/>
    <x v="9"/>
    <x v="0"/>
    <x v="9"/>
    <x v="37"/>
    <x v="37"/>
    <x v="1"/>
  </r>
  <r>
    <x v="942"/>
    <x v="900"/>
    <x v="108"/>
    <x v="6"/>
    <x v="2"/>
    <x v="1"/>
    <x v="2"/>
    <x v="1"/>
    <x v="16"/>
    <x v="6"/>
    <x v="619"/>
    <x v="1"/>
    <x v="6"/>
    <x v="0"/>
    <x v="6"/>
    <x v="17"/>
    <x v="17"/>
    <x v="0"/>
  </r>
  <r>
    <x v="943"/>
    <x v="901"/>
    <x v="587"/>
    <x v="13"/>
    <x v="1"/>
    <x v="2"/>
    <x v="3"/>
    <x v="0"/>
    <x v="41"/>
    <x v="4"/>
    <x v="433"/>
    <x v="1"/>
    <x v="13"/>
    <x v="1"/>
    <x v="13"/>
    <x v="74"/>
    <x v="74"/>
    <x v="1"/>
  </r>
  <r>
    <x v="944"/>
    <x v="902"/>
    <x v="588"/>
    <x v="1"/>
    <x v="2"/>
    <x v="2"/>
    <x v="0"/>
    <x v="0"/>
    <x v="35"/>
    <x v="5"/>
    <x v="318"/>
    <x v="1"/>
    <x v="1"/>
    <x v="0"/>
    <x v="1"/>
    <x v="61"/>
    <x v="61"/>
    <x v="0"/>
  </r>
  <r>
    <x v="945"/>
    <x v="903"/>
    <x v="376"/>
    <x v="7"/>
    <x v="1"/>
    <x v="5"/>
    <x v="1"/>
    <x v="0"/>
    <x v="39"/>
    <x v="7"/>
    <x v="620"/>
    <x v="0"/>
    <x v="7"/>
    <x v="1"/>
    <x v="7"/>
    <x v="91"/>
    <x v="91"/>
    <x v="0"/>
  </r>
  <r>
    <x v="946"/>
    <x v="904"/>
    <x v="13"/>
    <x v="17"/>
    <x v="1"/>
    <x v="3"/>
    <x v="2"/>
    <x v="0"/>
    <x v="23"/>
    <x v="6"/>
    <x v="107"/>
    <x v="0"/>
    <x v="17"/>
    <x v="4"/>
    <x v="17"/>
    <x v="173"/>
    <x v="173"/>
    <x v="0"/>
  </r>
  <r>
    <x v="947"/>
    <x v="905"/>
    <x v="589"/>
    <x v="6"/>
    <x v="2"/>
    <x v="3"/>
    <x v="0"/>
    <x v="0"/>
    <x v="10"/>
    <x v="6"/>
    <x v="621"/>
    <x v="0"/>
    <x v="6"/>
    <x v="0"/>
    <x v="6"/>
    <x v="19"/>
    <x v="19"/>
    <x v="1"/>
  </r>
  <r>
    <x v="948"/>
    <x v="714"/>
    <x v="152"/>
    <x v="5"/>
    <x v="0"/>
    <x v="2"/>
    <x v="2"/>
    <x v="2"/>
    <x v="11"/>
    <x v="6"/>
    <x v="516"/>
    <x v="1"/>
    <x v="5"/>
    <x v="2"/>
    <x v="5"/>
    <x v="5"/>
    <x v="5"/>
    <x v="1"/>
  </r>
  <r>
    <x v="949"/>
    <x v="69"/>
    <x v="181"/>
    <x v="7"/>
    <x v="1"/>
    <x v="0"/>
    <x v="0"/>
    <x v="0"/>
    <x v="31"/>
    <x v="3"/>
    <x v="67"/>
    <x v="0"/>
    <x v="7"/>
    <x v="1"/>
    <x v="7"/>
    <x v="0"/>
    <x v="0"/>
    <x v="0"/>
  </r>
  <r>
    <x v="950"/>
    <x v="906"/>
    <x v="343"/>
    <x v="8"/>
    <x v="2"/>
    <x v="2"/>
    <x v="2"/>
    <x v="0"/>
    <x v="36"/>
    <x v="5"/>
    <x v="204"/>
    <x v="0"/>
    <x v="8"/>
    <x v="1"/>
    <x v="8"/>
    <x v="85"/>
    <x v="85"/>
    <x v="1"/>
  </r>
  <r>
    <x v="951"/>
    <x v="907"/>
    <x v="448"/>
    <x v="14"/>
    <x v="1"/>
    <x v="2"/>
    <x v="0"/>
    <x v="0"/>
    <x v="15"/>
    <x v="4"/>
    <x v="429"/>
    <x v="1"/>
    <x v="14"/>
    <x v="1"/>
    <x v="14"/>
    <x v="78"/>
    <x v="78"/>
    <x v="1"/>
  </r>
  <r>
    <x v="952"/>
    <x v="908"/>
    <x v="493"/>
    <x v="18"/>
    <x v="1"/>
    <x v="2"/>
    <x v="2"/>
    <x v="0"/>
    <x v="11"/>
    <x v="8"/>
    <x v="124"/>
    <x v="2"/>
    <x v="18"/>
    <x v="1"/>
    <x v="18"/>
    <x v="57"/>
    <x v="57"/>
    <x v="0"/>
  </r>
  <r>
    <x v="953"/>
    <x v="190"/>
    <x v="422"/>
    <x v="8"/>
    <x v="3"/>
    <x v="3"/>
    <x v="2"/>
    <x v="0"/>
    <x v="11"/>
    <x v="2"/>
    <x v="172"/>
    <x v="0"/>
    <x v="8"/>
    <x v="1"/>
    <x v="8"/>
    <x v="123"/>
    <x v="123"/>
    <x v="0"/>
  </r>
  <r>
    <x v="954"/>
    <x v="909"/>
    <x v="166"/>
    <x v="14"/>
    <x v="1"/>
    <x v="5"/>
    <x v="0"/>
    <x v="0"/>
    <x v="30"/>
    <x v="1"/>
    <x v="538"/>
    <x v="0"/>
    <x v="14"/>
    <x v="1"/>
    <x v="14"/>
    <x v="26"/>
    <x v="26"/>
    <x v="1"/>
  </r>
  <r>
    <x v="955"/>
    <x v="70"/>
    <x v="590"/>
    <x v="18"/>
    <x v="1"/>
    <x v="1"/>
    <x v="0"/>
    <x v="0"/>
    <x v="38"/>
    <x v="6"/>
    <x v="68"/>
    <x v="1"/>
    <x v="18"/>
    <x v="1"/>
    <x v="18"/>
    <x v="114"/>
    <x v="114"/>
    <x v="1"/>
  </r>
  <r>
    <x v="956"/>
    <x v="910"/>
    <x v="591"/>
    <x v="10"/>
    <x v="2"/>
    <x v="2"/>
    <x v="0"/>
    <x v="0"/>
    <x v="11"/>
    <x v="3"/>
    <x v="271"/>
    <x v="2"/>
    <x v="10"/>
    <x v="3"/>
    <x v="10"/>
    <x v="15"/>
    <x v="15"/>
    <x v="0"/>
  </r>
  <r>
    <x v="957"/>
    <x v="911"/>
    <x v="30"/>
    <x v="8"/>
    <x v="1"/>
    <x v="0"/>
    <x v="1"/>
    <x v="0"/>
    <x v="33"/>
    <x v="4"/>
    <x v="622"/>
    <x v="0"/>
    <x v="8"/>
    <x v="1"/>
    <x v="8"/>
    <x v="103"/>
    <x v="103"/>
    <x v="0"/>
  </r>
  <r>
    <x v="958"/>
    <x v="912"/>
    <x v="547"/>
    <x v="10"/>
    <x v="1"/>
    <x v="3"/>
    <x v="0"/>
    <x v="0"/>
    <x v="2"/>
    <x v="4"/>
    <x v="439"/>
    <x v="2"/>
    <x v="10"/>
    <x v="3"/>
    <x v="10"/>
    <x v="16"/>
    <x v="16"/>
    <x v="0"/>
  </r>
  <r>
    <x v="959"/>
    <x v="913"/>
    <x v="99"/>
    <x v="18"/>
    <x v="0"/>
    <x v="2"/>
    <x v="3"/>
    <x v="0"/>
    <x v="11"/>
    <x v="6"/>
    <x v="569"/>
    <x v="0"/>
    <x v="18"/>
    <x v="1"/>
    <x v="18"/>
    <x v="150"/>
    <x v="150"/>
    <x v="0"/>
  </r>
  <r>
    <x v="960"/>
    <x v="914"/>
    <x v="278"/>
    <x v="8"/>
    <x v="2"/>
    <x v="2"/>
    <x v="2"/>
    <x v="0"/>
    <x v="16"/>
    <x v="8"/>
    <x v="71"/>
    <x v="1"/>
    <x v="8"/>
    <x v="1"/>
    <x v="8"/>
    <x v="85"/>
    <x v="85"/>
    <x v="1"/>
  </r>
  <r>
    <x v="961"/>
    <x v="915"/>
    <x v="450"/>
    <x v="2"/>
    <x v="1"/>
    <x v="1"/>
    <x v="2"/>
    <x v="0"/>
    <x v="6"/>
    <x v="9"/>
    <x v="163"/>
    <x v="1"/>
    <x v="2"/>
    <x v="1"/>
    <x v="2"/>
    <x v="2"/>
    <x v="2"/>
    <x v="0"/>
  </r>
  <r>
    <x v="962"/>
    <x v="916"/>
    <x v="548"/>
    <x v="4"/>
    <x v="0"/>
    <x v="0"/>
    <x v="0"/>
    <x v="2"/>
    <x v="39"/>
    <x v="4"/>
    <x v="589"/>
    <x v="0"/>
    <x v="4"/>
    <x v="0"/>
    <x v="4"/>
    <x v="2"/>
    <x v="2"/>
    <x v="1"/>
  </r>
  <r>
    <x v="963"/>
    <x v="917"/>
    <x v="579"/>
    <x v="2"/>
    <x v="3"/>
    <x v="2"/>
    <x v="2"/>
    <x v="0"/>
    <x v="22"/>
    <x v="2"/>
    <x v="623"/>
    <x v="0"/>
    <x v="2"/>
    <x v="1"/>
    <x v="2"/>
    <x v="14"/>
    <x v="14"/>
    <x v="0"/>
  </r>
  <r>
    <x v="964"/>
    <x v="918"/>
    <x v="592"/>
    <x v="1"/>
    <x v="2"/>
    <x v="0"/>
    <x v="2"/>
    <x v="0"/>
    <x v="15"/>
    <x v="9"/>
    <x v="624"/>
    <x v="0"/>
    <x v="1"/>
    <x v="0"/>
    <x v="1"/>
    <x v="11"/>
    <x v="11"/>
    <x v="1"/>
  </r>
  <r>
    <x v="965"/>
    <x v="919"/>
    <x v="593"/>
    <x v="1"/>
    <x v="2"/>
    <x v="0"/>
    <x v="2"/>
    <x v="0"/>
    <x v="15"/>
    <x v="6"/>
    <x v="625"/>
    <x v="0"/>
    <x v="1"/>
    <x v="0"/>
    <x v="1"/>
    <x v="11"/>
    <x v="11"/>
    <x v="0"/>
  </r>
  <r>
    <x v="966"/>
    <x v="920"/>
    <x v="344"/>
    <x v="8"/>
    <x v="1"/>
    <x v="2"/>
    <x v="2"/>
    <x v="0"/>
    <x v="32"/>
    <x v="2"/>
    <x v="83"/>
    <x v="1"/>
    <x v="8"/>
    <x v="1"/>
    <x v="8"/>
    <x v="17"/>
    <x v="17"/>
    <x v="0"/>
  </r>
  <r>
    <x v="967"/>
    <x v="921"/>
    <x v="394"/>
    <x v="4"/>
    <x v="2"/>
    <x v="2"/>
    <x v="0"/>
    <x v="0"/>
    <x v="6"/>
    <x v="2"/>
    <x v="474"/>
    <x v="0"/>
    <x v="4"/>
    <x v="0"/>
    <x v="4"/>
    <x v="4"/>
    <x v="4"/>
    <x v="0"/>
  </r>
  <r>
    <x v="968"/>
    <x v="922"/>
    <x v="26"/>
    <x v="7"/>
    <x v="2"/>
    <x v="5"/>
    <x v="0"/>
    <x v="0"/>
    <x v="42"/>
    <x v="2"/>
    <x v="98"/>
    <x v="2"/>
    <x v="7"/>
    <x v="1"/>
    <x v="7"/>
    <x v="104"/>
    <x v="104"/>
    <x v="0"/>
  </r>
  <r>
    <x v="969"/>
    <x v="923"/>
    <x v="251"/>
    <x v="3"/>
    <x v="2"/>
    <x v="3"/>
    <x v="1"/>
    <x v="0"/>
    <x v="41"/>
    <x v="2"/>
    <x v="178"/>
    <x v="1"/>
    <x v="3"/>
    <x v="2"/>
    <x v="3"/>
    <x v="164"/>
    <x v="164"/>
    <x v="0"/>
  </r>
  <r>
    <x v="970"/>
    <x v="924"/>
    <x v="584"/>
    <x v="2"/>
    <x v="1"/>
    <x v="3"/>
    <x v="1"/>
    <x v="1"/>
    <x v="18"/>
    <x v="5"/>
    <x v="35"/>
    <x v="0"/>
    <x v="2"/>
    <x v="1"/>
    <x v="2"/>
    <x v="36"/>
    <x v="36"/>
    <x v="0"/>
  </r>
  <r>
    <x v="971"/>
    <x v="925"/>
    <x v="594"/>
    <x v="6"/>
    <x v="3"/>
    <x v="0"/>
    <x v="0"/>
    <x v="2"/>
    <x v="36"/>
    <x v="6"/>
    <x v="143"/>
    <x v="0"/>
    <x v="6"/>
    <x v="0"/>
    <x v="6"/>
    <x v="91"/>
    <x v="91"/>
    <x v="0"/>
  </r>
  <r>
    <x v="972"/>
    <x v="926"/>
    <x v="260"/>
    <x v="3"/>
    <x v="0"/>
    <x v="4"/>
    <x v="3"/>
    <x v="0"/>
    <x v="19"/>
    <x v="7"/>
    <x v="100"/>
    <x v="1"/>
    <x v="3"/>
    <x v="2"/>
    <x v="3"/>
    <x v="174"/>
    <x v="174"/>
    <x v="0"/>
  </r>
  <r>
    <x v="973"/>
    <x v="927"/>
    <x v="595"/>
    <x v="15"/>
    <x v="2"/>
    <x v="5"/>
    <x v="3"/>
    <x v="0"/>
    <x v="36"/>
    <x v="0"/>
    <x v="554"/>
    <x v="1"/>
    <x v="15"/>
    <x v="5"/>
    <x v="15"/>
    <x v="53"/>
    <x v="53"/>
    <x v="0"/>
  </r>
  <r>
    <x v="974"/>
    <x v="928"/>
    <x v="359"/>
    <x v="0"/>
    <x v="2"/>
    <x v="2"/>
    <x v="0"/>
    <x v="0"/>
    <x v="43"/>
    <x v="7"/>
    <x v="353"/>
    <x v="1"/>
    <x v="0"/>
    <x v="0"/>
    <x v="0"/>
    <x v="17"/>
    <x v="17"/>
    <x v="0"/>
  </r>
  <r>
    <x v="975"/>
    <x v="929"/>
    <x v="596"/>
    <x v="8"/>
    <x v="3"/>
    <x v="1"/>
    <x v="0"/>
    <x v="0"/>
    <x v="43"/>
    <x v="9"/>
    <x v="35"/>
    <x v="1"/>
    <x v="8"/>
    <x v="1"/>
    <x v="8"/>
    <x v="34"/>
    <x v="34"/>
    <x v="1"/>
  </r>
  <r>
    <x v="976"/>
    <x v="930"/>
    <x v="396"/>
    <x v="7"/>
    <x v="1"/>
    <x v="3"/>
    <x v="3"/>
    <x v="0"/>
    <x v="16"/>
    <x v="0"/>
    <x v="425"/>
    <x v="1"/>
    <x v="7"/>
    <x v="1"/>
    <x v="7"/>
    <x v="31"/>
    <x v="31"/>
    <x v="0"/>
  </r>
  <r>
    <x v="977"/>
    <x v="931"/>
    <x v="597"/>
    <x v="15"/>
    <x v="1"/>
    <x v="5"/>
    <x v="0"/>
    <x v="0"/>
    <x v="30"/>
    <x v="4"/>
    <x v="626"/>
    <x v="1"/>
    <x v="15"/>
    <x v="5"/>
    <x v="15"/>
    <x v="57"/>
    <x v="57"/>
    <x v="1"/>
  </r>
  <r>
    <x v="978"/>
    <x v="661"/>
    <x v="29"/>
    <x v="10"/>
    <x v="1"/>
    <x v="0"/>
    <x v="0"/>
    <x v="0"/>
    <x v="27"/>
    <x v="0"/>
    <x v="13"/>
    <x v="1"/>
    <x v="10"/>
    <x v="3"/>
    <x v="10"/>
    <x v="20"/>
    <x v="20"/>
    <x v="0"/>
  </r>
  <r>
    <x v="979"/>
    <x v="932"/>
    <x v="598"/>
    <x v="8"/>
    <x v="2"/>
    <x v="4"/>
    <x v="1"/>
    <x v="0"/>
    <x v="20"/>
    <x v="9"/>
    <x v="353"/>
    <x v="0"/>
    <x v="8"/>
    <x v="1"/>
    <x v="8"/>
    <x v="63"/>
    <x v="63"/>
    <x v="1"/>
  </r>
  <r>
    <x v="980"/>
    <x v="933"/>
    <x v="599"/>
    <x v="6"/>
    <x v="1"/>
    <x v="5"/>
    <x v="2"/>
    <x v="0"/>
    <x v="33"/>
    <x v="7"/>
    <x v="627"/>
    <x v="0"/>
    <x v="6"/>
    <x v="0"/>
    <x v="6"/>
    <x v="43"/>
    <x v="43"/>
    <x v="0"/>
  </r>
  <r>
    <x v="981"/>
    <x v="934"/>
    <x v="175"/>
    <x v="5"/>
    <x v="1"/>
    <x v="3"/>
    <x v="0"/>
    <x v="0"/>
    <x v="8"/>
    <x v="5"/>
    <x v="205"/>
    <x v="0"/>
    <x v="5"/>
    <x v="2"/>
    <x v="5"/>
    <x v="91"/>
    <x v="91"/>
    <x v="1"/>
  </r>
  <r>
    <x v="982"/>
    <x v="935"/>
    <x v="47"/>
    <x v="0"/>
    <x v="3"/>
    <x v="2"/>
    <x v="1"/>
    <x v="0"/>
    <x v="37"/>
    <x v="5"/>
    <x v="536"/>
    <x v="0"/>
    <x v="0"/>
    <x v="0"/>
    <x v="0"/>
    <x v="37"/>
    <x v="37"/>
    <x v="0"/>
  </r>
  <r>
    <x v="983"/>
    <x v="936"/>
    <x v="600"/>
    <x v="14"/>
    <x v="2"/>
    <x v="2"/>
    <x v="3"/>
    <x v="0"/>
    <x v="4"/>
    <x v="5"/>
    <x v="393"/>
    <x v="1"/>
    <x v="14"/>
    <x v="1"/>
    <x v="14"/>
    <x v="73"/>
    <x v="73"/>
    <x v="1"/>
  </r>
  <r>
    <x v="984"/>
    <x v="937"/>
    <x v="461"/>
    <x v="10"/>
    <x v="2"/>
    <x v="0"/>
    <x v="0"/>
    <x v="0"/>
    <x v="21"/>
    <x v="5"/>
    <x v="628"/>
    <x v="0"/>
    <x v="10"/>
    <x v="3"/>
    <x v="10"/>
    <x v="45"/>
    <x v="45"/>
    <x v="0"/>
  </r>
  <r>
    <x v="985"/>
    <x v="938"/>
    <x v="601"/>
    <x v="5"/>
    <x v="1"/>
    <x v="0"/>
    <x v="2"/>
    <x v="0"/>
    <x v="15"/>
    <x v="5"/>
    <x v="256"/>
    <x v="0"/>
    <x v="5"/>
    <x v="2"/>
    <x v="5"/>
    <x v="99"/>
    <x v="99"/>
    <x v="1"/>
  </r>
  <r>
    <x v="986"/>
    <x v="939"/>
    <x v="81"/>
    <x v="0"/>
    <x v="1"/>
    <x v="2"/>
    <x v="1"/>
    <x v="0"/>
    <x v="23"/>
    <x v="4"/>
    <x v="629"/>
    <x v="1"/>
    <x v="0"/>
    <x v="0"/>
    <x v="0"/>
    <x v="43"/>
    <x v="43"/>
    <x v="0"/>
  </r>
  <r>
    <x v="987"/>
    <x v="940"/>
    <x v="298"/>
    <x v="8"/>
    <x v="1"/>
    <x v="5"/>
    <x v="1"/>
    <x v="0"/>
    <x v="8"/>
    <x v="2"/>
    <x v="630"/>
    <x v="0"/>
    <x v="8"/>
    <x v="1"/>
    <x v="8"/>
    <x v="76"/>
    <x v="76"/>
    <x v="1"/>
  </r>
  <r>
    <x v="988"/>
    <x v="941"/>
    <x v="602"/>
    <x v="7"/>
    <x v="0"/>
    <x v="5"/>
    <x v="2"/>
    <x v="0"/>
    <x v="26"/>
    <x v="5"/>
    <x v="631"/>
    <x v="1"/>
    <x v="7"/>
    <x v="1"/>
    <x v="7"/>
    <x v="175"/>
    <x v="175"/>
    <x v="0"/>
  </r>
  <r>
    <x v="989"/>
    <x v="942"/>
    <x v="603"/>
    <x v="10"/>
    <x v="1"/>
    <x v="0"/>
    <x v="3"/>
    <x v="0"/>
    <x v="8"/>
    <x v="2"/>
    <x v="632"/>
    <x v="1"/>
    <x v="10"/>
    <x v="3"/>
    <x v="10"/>
    <x v="20"/>
    <x v="20"/>
    <x v="1"/>
  </r>
  <r>
    <x v="990"/>
    <x v="943"/>
    <x v="23"/>
    <x v="7"/>
    <x v="1"/>
    <x v="2"/>
    <x v="0"/>
    <x v="0"/>
    <x v="13"/>
    <x v="6"/>
    <x v="105"/>
    <x v="0"/>
    <x v="7"/>
    <x v="1"/>
    <x v="7"/>
    <x v="101"/>
    <x v="101"/>
    <x v="0"/>
  </r>
  <r>
    <x v="991"/>
    <x v="944"/>
    <x v="596"/>
    <x v="9"/>
    <x v="3"/>
    <x v="2"/>
    <x v="0"/>
    <x v="0"/>
    <x v="9"/>
    <x v="2"/>
    <x v="194"/>
    <x v="1"/>
    <x v="9"/>
    <x v="0"/>
    <x v="9"/>
    <x v="61"/>
    <x v="61"/>
    <x v="1"/>
  </r>
  <r>
    <x v="992"/>
    <x v="945"/>
    <x v="470"/>
    <x v="18"/>
    <x v="2"/>
    <x v="5"/>
    <x v="0"/>
    <x v="0"/>
    <x v="34"/>
    <x v="7"/>
    <x v="633"/>
    <x v="0"/>
    <x v="18"/>
    <x v="1"/>
    <x v="18"/>
    <x v="96"/>
    <x v="96"/>
    <x v="1"/>
  </r>
  <r>
    <x v="993"/>
    <x v="946"/>
    <x v="240"/>
    <x v="15"/>
    <x v="3"/>
    <x v="4"/>
    <x v="0"/>
    <x v="0"/>
    <x v="34"/>
    <x v="6"/>
    <x v="634"/>
    <x v="2"/>
    <x v="15"/>
    <x v="5"/>
    <x v="15"/>
    <x v="176"/>
    <x v="176"/>
    <x v="1"/>
  </r>
  <r>
    <x v="994"/>
    <x v="947"/>
    <x v="124"/>
    <x v="2"/>
    <x v="2"/>
    <x v="5"/>
    <x v="1"/>
    <x v="0"/>
    <x v="2"/>
    <x v="2"/>
    <x v="382"/>
    <x v="0"/>
    <x v="2"/>
    <x v="1"/>
    <x v="2"/>
    <x v="159"/>
    <x v="159"/>
    <x v="0"/>
  </r>
  <r>
    <x v="995"/>
    <x v="948"/>
    <x v="457"/>
    <x v="18"/>
    <x v="0"/>
    <x v="5"/>
    <x v="0"/>
    <x v="0"/>
    <x v="16"/>
    <x v="3"/>
    <x v="366"/>
    <x v="1"/>
    <x v="18"/>
    <x v="1"/>
    <x v="18"/>
    <x v="177"/>
    <x v="177"/>
    <x v="1"/>
  </r>
  <r>
    <x v="996"/>
    <x v="949"/>
    <x v="604"/>
    <x v="12"/>
    <x v="1"/>
    <x v="3"/>
    <x v="0"/>
    <x v="0"/>
    <x v="0"/>
    <x v="2"/>
    <x v="635"/>
    <x v="2"/>
    <x v="12"/>
    <x v="4"/>
    <x v="12"/>
    <x v="90"/>
    <x v="90"/>
    <x v="0"/>
  </r>
  <r>
    <x v="997"/>
    <x v="950"/>
    <x v="605"/>
    <x v="4"/>
    <x v="0"/>
    <x v="3"/>
    <x v="2"/>
    <x v="0"/>
    <x v="26"/>
    <x v="6"/>
    <x v="477"/>
    <x v="0"/>
    <x v="4"/>
    <x v="0"/>
    <x v="4"/>
    <x v="137"/>
    <x v="137"/>
    <x v="1"/>
  </r>
  <r>
    <x v="998"/>
    <x v="951"/>
    <x v="126"/>
    <x v="7"/>
    <x v="1"/>
    <x v="1"/>
    <x v="0"/>
    <x v="0"/>
    <x v="6"/>
    <x v="9"/>
    <x v="636"/>
    <x v="1"/>
    <x v="7"/>
    <x v="1"/>
    <x v="7"/>
    <x v="4"/>
    <x v="4"/>
    <x v="0"/>
  </r>
  <r>
    <x v="999"/>
    <x v="952"/>
    <x v="550"/>
    <x v="15"/>
    <x v="0"/>
    <x v="2"/>
    <x v="0"/>
    <x v="0"/>
    <x v="33"/>
    <x v="1"/>
    <x v="205"/>
    <x v="0"/>
    <x v="15"/>
    <x v="5"/>
    <x v="15"/>
    <x v="167"/>
    <x v="16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5" firstHeaderRow="1" firstDataRow="1" firstDataCol="1"/>
  <pivotFields count="17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dataField="1" compact="0" showAll="0">
      <items count="955">
        <item x="185"/>
        <item x="774"/>
        <item x="717"/>
        <item x="69"/>
        <item x="272"/>
        <item x="274"/>
        <item x="245"/>
        <item x="443"/>
        <item x="931"/>
        <item x="93"/>
        <item x="768"/>
        <item x="593"/>
        <item x="747"/>
        <item x="778"/>
        <item x="689"/>
        <item x="97"/>
        <item x="517"/>
        <item x="802"/>
        <item x="390"/>
        <item x="727"/>
        <item x="28"/>
        <item x="913"/>
        <item x="43"/>
        <item x="81"/>
        <item x="328"/>
        <item x="120"/>
        <item x="138"/>
        <item x="128"/>
        <item x="314"/>
        <item x="538"/>
        <item x="556"/>
        <item x="450"/>
        <item x="705"/>
        <item x="96"/>
        <item x="545"/>
        <item x="98"/>
        <item x="629"/>
        <item x="351"/>
        <item x="326"/>
        <item x="162"/>
        <item x="899"/>
        <item x="65"/>
        <item x="592"/>
        <item x="712"/>
        <item x="498"/>
        <item x="213"/>
        <item x="426"/>
        <item x="794"/>
        <item x="707"/>
        <item x="446"/>
        <item x="925"/>
        <item x="926"/>
        <item x="944"/>
        <item x="471"/>
        <item x="688"/>
        <item x="84"/>
        <item x="181"/>
        <item x="719"/>
        <item x="951"/>
        <item x="413"/>
        <item x="189"/>
        <item x="276"/>
        <item x="78"/>
        <item x="268"/>
        <item x="559"/>
        <item x="258"/>
        <item x="108"/>
        <item x="285"/>
        <item x="901"/>
        <item x="832"/>
        <item x="76"/>
        <item x="670"/>
        <item x="456"/>
        <item x="796"/>
        <item x="118"/>
        <item x="324"/>
        <item x="853"/>
        <item x="130"/>
        <item x="560"/>
        <item x="492"/>
        <item x="787"/>
        <item x="844"/>
        <item x="478"/>
        <item x="578"/>
        <item x="405"/>
        <item x="380"/>
        <item x="694"/>
        <item x="754"/>
        <item x="516"/>
        <item x="939"/>
        <item x="146"/>
        <item x="575"/>
        <item x="698"/>
        <item x="170"/>
        <item x="424"/>
        <item x="748"/>
        <item x="567"/>
        <item x="210"/>
        <item x="240"/>
        <item x="840"/>
        <item x="523"/>
        <item x="388"/>
        <item x="109"/>
        <item x="16"/>
        <item x="949"/>
        <item x="387"/>
        <item x="525"/>
        <item x="340"/>
        <item x="200"/>
        <item x="196"/>
        <item x="4"/>
        <item x="935"/>
        <item x="356"/>
        <item x="227"/>
        <item x="828"/>
        <item x="667"/>
        <item x="815"/>
        <item x="92"/>
        <item x="631"/>
        <item x="363"/>
        <item x="36"/>
        <item x="386"/>
        <item x="465"/>
        <item x="238"/>
        <item x="156"/>
        <item x="347"/>
        <item x="656"/>
        <item x="206"/>
        <item x="597"/>
        <item x="225"/>
        <item x="55"/>
        <item x="454"/>
        <item x="263"/>
        <item x="857"/>
        <item x="740"/>
        <item x="759"/>
        <item x="725"/>
        <item x="644"/>
        <item x="791"/>
        <item x="371"/>
        <item x="172"/>
        <item x="848"/>
        <item x="950"/>
        <item x="352"/>
        <item x="479"/>
        <item x="364"/>
        <item x="127"/>
        <item x="577"/>
        <item x="709"/>
        <item x="668"/>
        <item x="942"/>
        <item x="484"/>
        <item x="765"/>
        <item x="115"/>
        <item x="847"/>
        <item x="813"/>
        <item x="30"/>
        <item x="841"/>
        <item x="234"/>
        <item x="528"/>
        <item x="338"/>
        <item x="482"/>
        <item x="327"/>
        <item x="300"/>
        <item x="642"/>
        <item x="752"/>
        <item x="12"/>
        <item x="460"/>
        <item x="260"/>
        <item x="564"/>
        <item x="431"/>
        <item x="863"/>
        <item x="321"/>
        <item x="382"/>
        <item x="312"/>
        <item x="201"/>
        <item x="132"/>
        <item x="469"/>
        <item x="208"/>
        <item x="800"/>
        <item x="718"/>
        <item x="215"/>
        <item x="696"/>
        <item x="323"/>
        <item x="114"/>
        <item x="404"/>
        <item x="858"/>
        <item x="568"/>
        <item x="922"/>
        <item x="558"/>
        <item x="495"/>
        <item x="376"/>
        <item x="842"/>
        <item x="875"/>
        <item x="94"/>
        <item x="296"/>
        <item x="771"/>
        <item x="625"/>
        <item x="205"/>
        <item x="14"/>
        <item x="546"/>
        <item x="871"/>
        <item x="587"/>
        <item x="207"/>
        <item x="838"/>
        <item x="372"/>
        <item x="672"/>
        <item x="87"/>
        <item x="825"/>
        <item x="10"/>
        <item x="928"/>
        <item x="239"/>
        <item x="919"/>
        <item x="309"/>
        <item x="398"/>
        <item x="83"/>
        <item x="551"/>
        <item x="769"/>
        <item x="645"/>
        <item x="606"/>
        <item x="924"/>
        <item x="249"/>
        <item x="737"/>
        <item x="381"/>
        <item x="952"/>
        <item x="457"/>
        <item x="681"/>
        <item x="892"/>
        <item x="887"/>
        <item x="757"/>
        <item x="640"/>
        <item x="691"/>
        <item x="711"/>
        <item x="886"/>
        <item x="940"/>
        <item x="665"/>
        <item x="71"/>
        <item x="407"/>
        <item x="500"/>
        <item x="601"/>
        <item x="334"/>
        <item x="409"/>
        <item x="522"/>
        <item x="339"/>
        <item x="246"/>
        <item x="214"/>
        <item x="307"/>
        <item x="927"/>
        <item x="742"/>
        <item x="49"/>
        <item x="855"/>
        <item x="808"/>
        <item x="332"/>
        <item x="870"/>
        <item x="412"/>
        <item x="816"/>
        <item x="47"/>
        <item x="264"/>
        <item x="384"/>
        <item x="547"/>
        <item x="171"/>
        <item x="821"/>
        <item x="244"/>
        <item x="64"/>
        <item x="849"/>
        <item x="889"/>
        <item x="609"/>
        <item x="228"/>
        <item x="795"/>
        <item x="112"/>
        <item x="607"/>
        <item x="619"/>
        <item x="253"/>
        <item x="177"/>
        <item x="487"/>
        <item x="402"/>
        <item x="11"/>
        <item x="470"/>
        <item x="589"/>
        <item x="330"/>
        <item x="252"/>
        <item x="91"/>
        <item x="535"/>
        <item x="148"/>
        <item x="695"/>
        <item x="756"/>
        <item x="60"/>
        <item x="721"/>
        <item x="860"/>
        <item x="882"/>
        <item x="557"/>
        <item x="852"/>
        <item x="139"/>
        <item x="9"/>
        <item x="845"/>
        <item x="502"/>
        <item x="475"/>
        <item x="884"/>
        <item x="554"/>
        <item x="491"/>
        <item x="814"/>
        <item x="620"/>
        <item x="715"/>
        <item x="289"/>
        <item x="270"/>
        <item x="442"/>
        <item x="496"/>
        <item x="155"/>
        <item x="410"/>
        <item x="914"/>
        <item x="447"/>
        <item x="279"/>
        <item x="202"/>
        <item x="134"/>
        <item x="835"/>
        <item x="684"/>
        <item x="893"/>
        <item x="322"/>
        <item x="801"/>
        <item x="77"/>
        <item x="588"/>
        <item x="150"/>
        <item x="211"/>
        <item x="617"/>
        <item x="739"/>
        <item x="286"/>
        <item x="758"/>
        <item x="362"/>
        <item x="288"/>
        <item x="88"/>
        <item x="173"/>
        <item x="604"/>
        <item x="897"/>
        <item x="106"/>
        <item x="67"/>
        <item x="27"/>
        <item x="59"/>
        <item x="103"/>
        <item x="79"/>
        <item x="477"/>
        <item x="896"/>
        <item x="910"/>
        <item x="537"/>
        <item x="216"/>
        <item x="231"/>
        <item x="283"/>
        <item x="639"/>
        <item x="298"/>
        <item x="843"/>
        <item x="236"/>
        <item x="0"/>
        <item x="598"/>
        <item x="819"/>
        <item x="175"/>
        <item x="912"/>
        <item x="616"/>
        <item x="197"/>
        <item x="829"/>
        <item x="532"/>
        <item x="223"/>
        <item x="337"/>
        <item x="636"/>
        <item x="767"/>
        <item x="846"/>
        <item x="277"/>
        <item x="527"/>
        <item x="743"/>
        <item x="377"/>
        <item x="142"/>
        <item x="48"/>
        <item x="349"/>
        <item x="628"/>
        <item x="799"/>
        <item x="817"/>
        <item x="248"/>
        <item x="237"/>
        <item x="657"/>
        <item x="507"/>
        <item x="777"/>
        <item x="149"/>
        <item x="864"/>
        <item x="526"/>
        <item x="503"/>
        <item x="788"/>
        <item x="166"/>
        <item x="342"/>
        <item x="458"/>
        <item x="686"/>
        <item x="550"/>
        <item x="504"/>
        <item x="66"/>
        <item x="451"/>
        <item x="869"/>
        <item x="163"/>
        <item x="414"/>
        <item x="366"/>
        <item x="581"/>
        <item x="513"/>
        <item x="15"/>
        <item x="265"/>
        <item x="195"/>
        <item x="494"/>
        <item x="658"/>
        <item x="626"/>
        <item x="728"/>
        <item x="281"/>
        <item x="141"/>
        <item x="603"/>
        <item x="56"/>
        <item x="38"/>
        <item x="432"/>
        <item x="18"/>
        <item x="389"/>
        <item x="455"/>
        <item x="736"/>
        <item x="902"/>
        <item x="703"/>
        <item x="552"/>
        <item x="654"/>
        <item x="851"/>
        <item x="39"/>
        <item x="582"/>
        <item x="894"/>
        <item x="101"/>
        <item x="80"/>
        <item x="40"/>
        <item x="911"/>
        <item x="63"/>
        <item x="144"/>
        <item x="420"/>
        <item x="308"/>
        <item x="476"/>
        <item x="292"/>
        <item x="116"/>
        <item x="906"/>
        <item x="29"/>
        <item x="553"/>
        <item x="510"/>
        <item x="807"/>
        <item x="862"/>
        <item x="58"/>
        <item x="203"/>
        <item x="947"/>
        <item x="541"/>
        <item x="610"/>
        <item x="290"/>
        <item x="611"/>
        <item x="627"/>
        <item x="393"/>
        <item x="766"/>
        <item x="222"/>
        <item x="608"/>
        <item x="776"/>
        <item x="798"/>
        <item x="827"/>
        <item x="346"/>
        <item x="729"/>
        <item x="325"/>
        <item x="744"/>
        <item x="194"/>
        <item x="137"/>
        <item x="392"/>
        <item x="145"/>
        <item x="233"/>
        <item x="662"/>
        <item x="343"/>
        <item x="251"/>
        <item x="615"/>
        <item x="693"/>
        <item x="562"/>
        <item x="569"/>
        <item x="861"/>
        <item x="369"/>
        <item x="176"/>
        <item x="600"/>
        <item x="441"/>
        <item x="595"/>
        <item x="880"/>
        <item x="241"/>
        <item x="612"/>
        <item x="878"/>
        <item x="786"/>
        <item x="42"/>
        <item x="73"/>
        <item x="898"/>
        <item x="105"/>
        <item x="511"/>
        <item x="399"/>
        <item x="221"/>
        <item x="224"/>
        <item x="566"/>
        <item x="122"/>
        <item x="809"/>
        <item x="885"/>
        <item x="217"/>
        <item x="179"/>
        <item x="269"/>
        <item x="33"/>
        <item x="212"/>
        <item x="599"/>
        <item x="488"/>
        <item x="8"/>
        <item x="20"/>
        <item x="2"/>
        <item x="669"/>
        <item x="68"/>
        <item x="704"/>
        <item x="941"/>
        <item x="86"/>
        <item x="854"/>
        <item x="391"/>
        <item x="722"/>
        <item x="678"/>
        <item x="643"/>
        <item x="164"/>
        <item x="461"/>
        <item x="530"/>
        <item x="614"/>
        <item x="375"/>
        <item x="169"/>
        <item x="262"/>
        <item x="423"/>
        <item x="618"/>
        <item x="254"/>
        <item x="519"/>
        <item x="437"/>
        <item x="243"/>
        <item x="613"/>
        <item x="480"/>
        <item x="945"/>
        <item x="291"/>
        <item x="21"/>
        <item x="74"/>
        <item x="866"/>
        <item x="671"/>
        <item x="536"/>
        <item x="489"/>
        <item x="674"/>
        <item x="548"/>
        <item x="257"/>
        <item x="508"/>
        <item x="903"/>
        <item x="730"/>
        <item x="275"/>
        <item x="755"/>
        <item x="580"/>
        <item x="733"/>
        <item x="837"/>
        <item x="157"/>
        <item x="174"/>
        <item x="602"/>
        <item x="5"/>
        <item x="440"/>
        <item x="154"/>
        <item x="938"/>
        <item x="305"/>
        <item x="302"/>
        <item x="428"/>
        <item x="918"/>
        <item x="720"/>
        <item x="946"/>
        <item x="429"/>
        <item x="345"/>
        <item x="724"/>
        <item x="521"/>
        <item x="586"/>
        <item x="699"/>
        <item x="850"/>
        <item x="397"/>
        <item x="294"/>
        <item x="357"/>
        <item x="143"/>
        <item x="204"/>
        <item x="659"/>
        <item x="335"/>
        <item x="895"/>
        <item x="370"/>
        <item x="782"/>
        <item x="574"/>
        <item x="193"/>
        <item x="900"/>
        <item x="400"/>
        <item x="909"/>
        <item x="303"/>
        <item x="741"/>
        <item x="242"/>
        <item x="333"/>
        <item x="803"/>
        <item x="165"/>
        <item x="378"/>
        <item x="417"/>
        <item x="188"/>
        <item x="772"/>
        <item x="723"/>
        <item x="34"/>
        <item x="82"/>
        <item x="278"/>
        <item x="287"/>
        <item x="464"/>
        <item x="355"/>
        <item x="531"/>
        <item x="126"/>
        <item x="396"/>
        <item x="113"/>
        <item x="812"/>
        <item x="697"/>
        <item x="883"/>
        <item x="872"/>
        <item x="501"/>
        <item x="638"/>
        <item x="168"/>
        <item x="474"/>
        <item x="124"/>
        <item x="666"/>
        <item x="52"/>
        <item x="637"/>
        <item x="820"/>
        <item x="833"/>
        <item x="633"/>
        <item x="408"/>
        <item x="515"/>
        <item x="267"/>
        <item x="499"/>
        <item x="731"/>
        <item x="373"/>
        <item x="888"/>
        <item x="746"/>
        <item x="6"/>
        <item x="187"/>
        <item x="51"/>
        <item x="72"/>
        <item x="385"/>
        <item x="687"/>
        <item x="493"/>
        <item x="350"/>
        <item x="453"/>
        <item x="462"/>
        <item x="90"/>
        <item x="133"/>
        <item x="167"/>
        <item x="876"/>
        <item x="653"/>
        <item x="635"/>
        <item x="348"/>
        <item x="512"/>
        <item x="539"/>
        <item x="713"/>
        <item x="915"/>
        <item x="810"/>
        <item x="905"/>
        <item x="284"/>
        <item x="585"/>
        <item x="923"/>
        <item x="714"/>
        <item x="159"/>
        <item x="877"/>
        <item x="226"/>
        <item x="583"/>
        <item x="570"/>
        <item x="422"/>
        <item x="738"/>
        <item x="702"/>
        <item x="879"/>
        <item x="726"/>
        <item x="673"/>
        <item x="259"/>
        <item x="783"/>
        <item x="436"/>
        <item x="250"/>
        <item x="61"/>
        <item x="873"/>
        <item x="509"/>
        <item x="178"/>
        <item x="62"/>
        <item x="753"/>
        <item x="403"/>
        <item x="770"/>
        <item x="773"/>
        <item x="830"/>
        <item x="641"/>
        <item x="439"/>
        <item x="485"/>
        <item x="505"/>
        <item x="358"/>
        <item x="555"/>
        <item x="916"/>
        <item x="514"/>
        <item x="444"/>
        <item x="655"/>
        <item x="180"/>
        <item x="591"/>
        <item x="805"/>
        <item x="131"/>
        <item x="660"/>
        <item x="341"/>
        <item x="320"/>
        <item x="811"/>
        <item x="936"/>
        <item x="136"/>
        <item x="379"/>
        <item x="590"/>
        <item x="99"/>
        <item x="621"/>
        <item x="433"/>
        <item x="32"/>
        <item x="734"/>
        <item x="354"/>
        <item x="140"/>
        <item x="917"/>
        <item x="605"/>
        <item x="651"/>
        <item x="158"/>
        <item x="184"/>
        <item x="543"/>
        <item x="44"/>
        <item x="937"/>
        <item x="230"/>
        <item x="506"/>
        <item x="797"/>
        <item x="37"/>
        <item x="630"/>
        <item x="804"/>
        <item x="418"/>
        <item x="679"/>
        <item x="110"/>
        <item x="904"/>
        <item x="623"/>
        <item x="650"/>
        <item x="415"/>
        <item x="411"/>
        <item x="921"/>
        <item x="749"/>
        <item x="190"/>
        <item x="463"/>
        <item x="472"/>
        <item x="622"/>
        <item x="416"/>
        <item x="329"/>
        <item x="310"/>
        <item x="745"/>
        <item x="874"/>
        <item x="383"/>
        <item x="785"/>
        <item x="344"/>
        <item x="183"/>
        <item x="520"/>
        <item x="445"/>
        <item x="826"/>
        <item x="35"/>
        <item x="218"/>
        <item x="23"/>
        <item x="359"/>
        <item x="652"/>
        <item x="690"/>
        <item x="692"/>
        <item x="735"/>
        <item x="395"/>
        <item x="789"/>
        <item x="315"/>
        <item x="394"/>
        <item x="1"/>
        <item x="856"/>
        <item x="271"/>
        <item x="317"/>
        <item x="425"/>
        <item x="675"/>
        <item x="89"/>
        <item x="25"/>
        <item x="881"/>
        <item x="293"/>
        <item x="427"/>
        <item x="419"/>
        <item x="299"/>
        <item x="306"/>
        <item x="256"/>
        <item x="123"/>
        <item x="663"/>
        <item x="50"/>
        <item x="751"/>
        <item x="22"/>
        <item x="891"/>
        <item x="229"/>
        <item x="934"/>
        <item x="579"/>
        <item x="700"/>
        <item x="421"/>
        <item x="648"/>
        <item x="70"/>
        <item x="449"/>
        <item x="182"/>
        <item x="571"/>
        <item x="209"/>
        <item x="784"/>
        <item x="129"/>
        <item x="822"/>
        <item x="839"/>
        <item x="331"/>
        <item x="435"/>
        <item x="824"/>
        <item x="677"/>
        <item x="466"/>
        <item x="865"/>
        <item x="540"/>
        <item x="859"/>
        <item x="198"/>
        <item x="779"/>
        <item x="682"/>
        <item x="732"/>
        <item x="716"/>
        <item x="125"/>
        <item x="920"/>
        <item x="524"/>
        <item x="54"/>
        <item x="468"/>
        <item x="361"/>
        <item x="792"/>
        <item x="561"/>
        <item x="220"/>
        <item x="764"/>
        <item x="624"/>
        <item x="261"/>
        <item x="374"/>
        <item x="634"/>
        <item x="452"/>
        <item x="818"/>
        <item x="304"/>
        <item x="147"/>
        <item x="490"/>
        <item x="297"/>
        <item x="459"/>
        <item x="781"/>
        <item x="7"/>
        <item x="649"/>
        <item x="3"/>
        <item x="632"/>
        <item x="948"/>
        <item x="319"/>
        <item x="107"/>
        <item x="135"/>
        <item x="533"/>
        <item x="646"/>
        <item x="13"/>
        <item x="336"/>
        <item x="836"/>
        <item x="100"/>
        <item x="573"/>
        <item x="806"/>
        <item x="282"/>
        <item x="761"/>
        <item x="780"/>
        <item x="497"/>
        <item x="273"/>
        <item x="706"/>
        <item x="26"/>
        <item x="75"/>
        <item x="119"/>
        <item x="301"/>
        <item x="762"/>
        <item x="647"/>
        <item x="31"/>
        <item x="311"/>
        <item x="24"/>
        <item x="434"/>
        <item x="438"/>
        <item x="353"/>
        <item x="280"/>
        <item x="295"/>
        <item x="153"/>
        <item x="316"/>
        <item x="192"/>
        <item x="111"/>
        <item x="710"/>
        <item x="572"/>
        <item x="932"/>
        <item x="486"/>
        <item x="529"/>
        <item x="57"/>
        <item x="750"/>
        <item x="360"/>
        <item x="95"/>
        <item x="596"/>
        <item x="867"/>
        <item x="834"/>
        <item x="907"/>
        <item x="823"/>
        <item x="160"/>
        <item x="104"/>
        <item x="313"/>
        <item x="45"/>
        <item x="401"/>
        <item x="549"/>
        <item x="19"/>
        <item x="775"/>
        <item x="199"/>
        <item x="760"/>
        <item x="685"/>
        <item x="235"/>
        <item x="680"/>
        <item x="473"/>
        <item x="266"/>
        <item x="219"/>
        <item x="232"/>
        <item x="186"/>
        <item x="467"/>
        <item x="565"/>
        <item x="117"/>
        <item x="594"/>
        <item x="908"/>
        <item x="318"/>
        <item x="85"/>
        <item x="930"/>
        <item x="483"/>
        <item x="933"/>
        <item x="793"/>
        <item x="191"/>
        <item x="542"/>
        <item x="430"/>
        <item x="151"/>
        <item x="152"/>
        <item x="41"/>
        <item x="247"/>
        <item x="448"/>
        <item x="868"/>
        <item x="676"/>
        <item x="790"/>
        <item x="161"/>
        <item x="544"/>
        <item x="518"/>
        <item x="367"/>
        <item x="943"/>
        <item x="534"/>
        <item x="563"/>
        <item x="890"/>
        <item x="708"/>
        <item x="368"/>
        <item x="46"/>
        <item x="102"/>
        <item x="664"/>
        <item x="701"/>
        <item x="53"/>
        <item x="365"/>
        <item x="661"/>
        <item x="683"/>
        <item x="17"/>
        <item x="255"/>
        <item x="406"/>
        <item x="576"/>
        <item x="584"/>
        <item x="481"/>
        <item x="121"/>
        <item x="831"/>
        <item x="763"/>
        <item x="929"/>
        <item x="953"/>
        <item t="default"/>
      </items>
    </pivotField>
    <pivotField compact="0" showAll="0">
      <items count="608">
        <item x="208"/>
        <item x="457"/>
        <item x="489"/>
        <item x="518"/>
        <item x="311"/>
        <item x="331"/>
        <item x="136"/>
        <item x="374"/>
        <item x="502"/>
        <item x="499"/>
        <item x="66"/>
        <item x="511"/>
        <item x="287"/>
        <item x="303"/>
        <item x="180"/>
        <item x="170"/>
        <item x="487"/>
        <item x="369"/>
        <item x="202"/>
        <item x="420"/>
        <item x="294"/>
        <item x="352"/>
        <item x="453"/>
        <item x="231"/>
        <item x="220"/>
        <item x="51"/>
        <item x="515"/>
        <item x="206"/>
        <item x="481"/>
        <item x="567"/>
        <item x="386"/>
        <item x="516"/>
        <item x="513"/>
        <item x="495"/>
        <item x="4"/>
        <item x="393"/>
        <item x="235"/>
        <item x="454"/>
        <item x="342"/>
        <item x="580"/>
        <item x="90"/>
        <item x="262"/>
        <item x="16"/>
        <item x="423"/>
        <item x="261"/>
        <item x="116"/>
        <item x="544"/>
        <item x="299"/>
        <item x="337"/>
        <item x="425"/>
        <item x="582"/>
        <item x="253"/>
        <item x="226"/>
        <item x="175"/>
        <item x="118"/>
        <item x="10"/>
        <item x="328"/>
        <item x="510"/>
        <item x="503"/>
        <item x="488"/>
        <item x="276"/>
        <item x="252"/>
        <item x="298"/>
        <item x="538"/>
        <item x="483"/>
        <item x="265"/>
        <item x="58"/>
        <item x="505"/>
        <item x="240"/>
        <item x="494"/>
        <item x="402"/>
        <item x="33"/>
        <item x="529"/>
        <item x="152"/>
        <item x="601"/>
        <item x="288"/>
        <item x="278"/>
        <item x="245"/>
        <item x="185"/>
        <item x="218"/>
        <item x="575"/>
        <item x="48"/>
        <item x="9"/>
        <item x="568"/>
        <item x="289"/>
        <item x="531"/>
        <item x="587"/>
        <item x="581"/>
        <item x="597"/>
        <item x="586"/>
        <item x="139"/>
        <item x="103"/>
        <item x="172"/>
        <item x="381"/>
        <item x="15"/>
        <item x="375"/>
        <item x="452"/>
        <item x="443"/>
        <item x="600"/>
        <item x="416"/>
        <item x="596"/>
        <item x="504"/>
        <item x="543"/>
        <item x="1"/>
        <item x="163"/>
        <item x="301"/>
        <item x="279"/>
        <item x="343"/>
        <item x="439"/>
        <item x="188"/>
        <item x="59"/>
        <item x="492"/>
        <item x="246"/>
        <item x="404"/>
        <item x="308"/>
        <item x="92"/>
        <item x="284"/>
        <item x="36"/>
        <item x="86"/>
        <item x="225"/>
        <item x="548"/>
        <item x="138"/>
        <item x="501"/>
        <item x="429"/>
        <item x="296"/>
        <item x="365"/>
        <item x="166"/>
        <item x="62"/>
        <item x="91"/>
        <item x="592"/>
        <item x="229"/>
        <item x="40"/>
        <item x="17"/>
        <item x="293"/>
        <item x="590"/>
        <item x="5"/>
        <item x="158"/>
        <item x="356"/>
        <item x="140"/>
        <item x="304"/>
        <item x="11"/>
        <item x="222"/>
        <item x="203"/>
        <item x="41"/>
        <item x="239"/>
        <item x="446"/>
        <item x="88"/>
        <item x="382"/>
        <item x="117"/>
        <item x="536"/>
        <item x="519"/>
        <item x="161"/>
        <item x="69"/>
        <item x="553"/>
        <item x="45"/>
        <item x="70"/>
        <item x="157"/>
        <item x="490"/>
        <item x="340"/>
        <item x="71"/>
        <item x="28"/>
        <item x="57"/>
        <item x="312"/>
        <item x="236"/>
        <item x="271"/>
        <item x="603"/>
        <item x="405"/>
        <item x="550"/>
        <item x="300"/>
        <item x="149"/>
        <item x="277"/>
        <item x="281"/>
        <item x="498"/>
        <item x="73"/>
        <item x="555"/>
        <item x="589"/>
        <item x="585"/>
        <item x="411"/>
        <item x="215"/>
        <item x="468"/>
        <item x="373"/>
        <item x="258"/>
        <item x="74"/>
        <item x="562"/>
        <item x="357"/>
        <item x="400"/>
        <item x="559"/>
        <item x="154"/>
        <item x="3"/>
        <item x="82"/>
        <item x="360"/>
        <item x="211"/>
        <item x="268"/>
        <item x="389"/>
        <item x="259"/>
        <item x="569"/>
        <item x="153"/>
        <item x="238"/>
        <item x="267"/>
        <item x="329"/>
        <item x="169"/>
        <item x="190"/>
        <item x="89"/>
        <item x="470"/>
        <item x="290"/>
        <item x="232"/>
        <item x="573"/>
        <item x="546"/>
        <item x="85"/>
        <item x="198"/>
        <item x="65"/>
        <item x="21"/>
        <item x="38"/>
        <item x="395"/>
        <item x="448"/>
        <item x="441"/>
        <item x="165"/>
        <item x="75"/>
        <item x="77"/>
        <item x="372"/>
        <item x="273"/>
        <item x="350"/>
        <item x="428"/>
        <item x="96"/>
        <item x="598"/>
        <item x="145"/>
        <item x="7"/>
        <item x="467"/>
        <item x="392"/>
        <item x="549"/>
        <item x="473"/>
        <item x="390"/>
        <item x="507"/>
        <item x="512"/>
        <item x="438"/>
        <item x="224"/>
        <item x="200"/>
        <item x="255"/>
        <item x="472"/>
        <item x="486"/>
        <item x="52"/>
        <item x="242"/>
        <item x="383"/>
        <item x="131"/>
        <item x="605"/>
        <item x="272"/>
        <item x="283"/>
        <item x="133"/>
        <item x="377"/>
        <item x="480"/>
        <item x="354"/>
        <item x="26"/>
        <item x="184"/>
        <item x="509"/>
        <item x="199"/>
        <item x="363"/>
        <item x="181"/>
        <item x="527"/>
        <item x="219"/>
        <item x="346"/>
        <item x="542"/>
        <item x="201"/>
        <item x="537"/>
        <item x="455"/>
        <item x="243"/>
        <item x="275"/>
        <item x="125"/>
        <item x="47"/>
        <item x="122"/>
        <item x="130"/>
        <item x="286"/>
        <item x="305"/>
        <item x="25"/>
        <item x="430"/>
        <item x="12"/>
        <item x="466"/>
        <item x="137"/>
        <item x="317"/>
        <item x="460"/>
        <item x="358"/>
        <item x="270"/>
        <item x="43"/>
        <item x="81"/>
        <item x="318"/>
        <item x="496"/>
        <item x="32"/>
        <item x="274"/>
        <item x="353"/>
        <item x="189"/>
        <item x="53"/>
        <item x="144"/>
        <item x="171"/>
        <item x="285"/>
        <item x="260"/>
        <item x="574"/>
        <item x="102"/>
        <item x="419"/>
        <item x="119"/>
        <item x="595"/>
        <item x="160"/>
        <item x="107"/>
        <item x="127"/>
        <item x="384"/>
        <item x="19"/>
        <item x="426"/>
        <item x="249"/>
        <item x="156"/>
        <item x="407"/>
        <item x="164"/>
        <item x="348"/>
        <item x="506"/>
        <item x="306"/>
        <item x="250"/>
        <item x="401"/>
        <item x="179"/>
        <item x="143"/>
        <item x="413"/>
        <item x="95"/>
        <item x="557"/>
        <item x="8"/>
        <item x="192"/>
        <item x="61"/>
        <item x="124"/>
        <item x="336"/>
        <item x="323"/>
        <item x="522"/>
        <item x="361"/>
        <item x="440"/>
        <item x="214"/>
        <item x="399"/>
        <item x="31"/>
        <item x="493"/>
        <item x="212"/>
        <item x="367"/>
        <item x="197"/>
        <item x="314"/>
        <item x="291"/>
        <item x="227"/>
        <item x="320"/>
        <item x="64"/>
        <item x="403"/>
        <item x="22"/>
        <item x="431"/>
        <item x="349"/>
        <item x="23"/>
        <item x="560"/>
        <item x="561"/>
        <item x="584"/>
        <item x="525"/>
        <item x="333"/>
        <item x="98"/>
        <item x="251"/>
        <item x="414"/>
        <item x="114"/>
        <item x="54"/>
        <item x="135"/>
        <item x="42"/>
        <item x="39"/>
        <item x="178"/>
        <item x="427"/>
        <item x="442"/>
        <item x="193"/>
        <item x="24"/>
        <item x="142"/>
        <item x="126"/>
        <item x="221"/>
        <item x="572"/>
        <item x="551"/>
        <item x="417"/>
        <item x="397"/>
        <item x="128"/>
        <item x="547"/>
        <item x="422"/>
        <item x="571"/>
        <item x="121"/>
        <item x="295"/>
        <item x="55"/>
        <item x="396"/>
        <item x="105"/>
        <item x="84"/>
        <item x="99"/>
        <item x="445"/>
        <item x="444"/>
        <item x="484"/>
        <item x="366"/>
        <item x="159"/>
        <item x="433"/>
        <item x="579"/>
        <item x="72"/>
        <item x="173"/>
        <item x="462"/>
        <item x="476"/>
        <item x="588"/>
        <item x="415"/>
        <item x="194"/>
        <item x="2"/>
        <item x="359"/>
        <item x="566"/>
        <item x="524"/>
        <item x="469"/>
        <item x="334"/>
        <item x="87"/>
        <item x="94"/>
        <item x="526"/>
        <item x="474"/>
        <item x="263"/>
        <item x="0"/>
        <item x="335"/>
        <item x="475"/>
        <item x="593"/>
        <item x="412"/>
        <item x="554"/>
        <item x="424"/>
        <item x="351"/>
        <item x="141"/>
        <item x="68"/>
        <item x="78"/>
        <item x="594"/>
        <item x="421"/>
        <item x="101"/>
        <item x="108"/>
        <item x="29"/>
        <item x="385"/>
        <item x="256"/>
        <item x="523"/>
        <item x="155"/>
        <item x="269"/>
        <item x="213"/>
        <item x="327"/>
        <item x="93"/>
        <item x="264"/>
        <item x="564"/>
        <item x="478"/>
        <item x="394"/>
        <item x="182"/>
        <item x="355"/>
        <item x="378"/>
        <item x="241"/>
        <item x="344"/>
        <item x="49"/>
        <item x="6"/>
        <item x="362"/>
        <item x="230"/>
        <item x="477"/>
        <item x="14"/>
        <item x="148"/>
        <item x="347"/>
        <item x="471"/>
        <item x="435"/>
        <item x="292"/>
        <item x="280"/>
        <item x="530"/>
        <item x="371"/>
        <item x="176"/>
        <item x="339"/>
        <item x="83"/>
        <item x="408"/>
        <item x="432"/>
        <item x="67"/>
        <item x="456"/>
        <item x="63"/>
        <item x="195"/>
        <item x="319"/>
        <item x="210"/>
        <item x="380"/>
        <item x="207"/>
        <item x="123"/>
        <item x="266"/>
        <item x="100"/>
        <item x="602"/>
        <item x="316"/>
        <item x="528"/>
        <item x="508"/>
        <item x="129"/>
        <item x="458"/>
        <item x="497"/>
        <item x="302"/>
        <item x="20"/>
        <item x="248"/>
        <item x="104"/>
        <item x="583"/>
        <item x="482"/>
        <item x="552"/>
        <item x="244"/>
        <item x="151"/>
        <item x="321"/>
        <item x="532"/>
        <item x="449"/>
        <item x="436"/>
        <item x="233"/>
        <item x="50"/>
        <item x="578"/>
        <item x="56"/>
        <item x="115"/>
        <item x="217"/>
        <item x="216"/>
        <item x="599"/>
        <item x="464"/>
        <item x="388"/>
        <item x="13"/>
        <item x="134"/>
        <item x="539"/>
        <item x="409"/>
        <item x="18"/>
        <item x="110"/>
        <item x="315"/>
        <item x="535"/>
        <item x="309"/>
        <item x="325"/>
        <item x="330"/>
        <item x="591"/>
        <item x="109"/>
        <item x="461"/>
        <item x="376"/>
        <item x="410"/>
        <item x="418"/>
        <item x="364"/>
        <item x="517"/>
        <item x="167"/>
        <item x="46"/>
        <item x="370"/>
        <item x="345"/>
        <item x="533"/>
        <item x="540"/>
        <item x="79"/>
        <item x="146"/>
        <item x="447"/>
        <item x="228"/>
        <item x="97"/>
        <item x="379"/>
        <item x="434"/>
        <item x="450"/>
        <item x="534"/>
        <item x="463"/>
        <item x="437"/>
        <item x="132"/>
        <item x="406"/>
        <item x="563"/>
        <item x="191"/>
        <item x="485"/>
        <item x="187"/>
        <item x="34"/>
        <item x="150"/>
        <item x="465"/>
        <item x="368"/>
        <item x="565"/>
        <item x="183"/>
        <item x="254"/>
        <item x="37"/>
        <item x="257"/>
        <item x="177"/>
        <item x="237"/>
        <item x="459"/>
        <item x="307"/>
        <item x="577"/>
        <item x="205"/>
        <item x="174"/>
        <item x="223"/>
        <item x="520"/>
        <item x="147"/>
        <item x="297"/>
        <item x="332"/>
        <item x="541"/>
        <item x="186"/>
        <item x="60"/>
        <item x="570"/>
        <item x="500"/>
        <item x="234"/>
        <item x="30"/>
        <item x="556"/>
        <item x="558"/>
        <item x="313"/>
        <item x="322"/>
        <item x="168"/>
        <item x="324"/>
        <item x="209"/>
        <item x="341"/>
        <item x="391"/>
        <item x="44"/>
        <item x="120"/>
        <item x="310"/>
        <item x="113"/>
        <item x="451"/>
        <item x="398"/>
        <item x="27"/>
        <item x="247"/>
        <item x="576"/>
        <item x="106"/>
        <item x="76"/>
        <item x="35"/>
        <item x="112"/>
        <item x="111"/>
        <item x="338"/>
        <item x="479"/>
        <item x="521"/>
        <item x="196"/>
        <item x="491"/>
        <item x="204"/>
        <item x="282"/>
        <item x="514"/>
        <item x="80"/>
        <item x="545"/>
        <item x="604"/>
        <item x="387"/>
        <item x="326"/>
        <item x="162"/>
        <item x="606"/>
        <item t="default"/>
      </items>
    </pivotField>
    <pivotField compact="0" showAll="0">
      <items count="22">
        <item x="8"/>
        <item x="2"/>
        <item x="0"/>
        <item x="7"/>
        <item x="9"/>
        <item x="11"/>
        <item x="14"/>
        <item x="4"/>
        <item x="17"/>
        <item x="12"/>
        <item x="5"/>
        <item x="3"/>
        <item x="10"/>
        <item x="1"/>
        <item x="18"/>
        <item x="19"/>
        <item x="6"/>
        <item x="16"/>
        <item x="13"/>
        <item x="15"/>
        <item x="20"/>
        <item t="default"/>
      </items>
    </pivotField>
    <pivotField compact="0" showAll="0">
      <items count="8">
        <item x="5"/>
        <item x="1"/>
        <item x="2"/>
        <item x="3"/>
        <item x="0"/>
        <item x="4"/>
        <item x="6"/>
        <item t="default"/>
      </items>
    </pivotField>
    <pivotField compact="0" showAll="0">
      <items count="8">
        <item x="2"/>
        <item x="3"/>
        <item x="0"/>
        <item x="5"/>
        <item x="1"/>
        <item x="4"/>
        <item x="6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50">
        <item x="25"/>
        <item x="23"/>
        <item x="36"/>
        <item x="32"/>
        <item x="38"/>
        <item x="5"/>
        <item x="3"/>
        <item x="42"/>
        <item x="18"/>
        <item x="28"/>
        <item x="4"/>
        <item x="27"/>
        <item x="33"/>
        <item x="13"/>
        <item x="24"/>
        <item x="10"/>
        <item x="20"/>
        <item x="31"/>
        <item x="0"/>
        <item x="9"/>
        <item x="21"/>
        <item x="11"/>
        <item x="7"/>
        <item x="6"/>
        <item x="16"/>
        <item x="8"/>
        <item x="12"/>
        <item x="2"/>
        <item x="26"/>
        <item x="43"/>
        <item x="15"/>
        <item x="1"/>
        <item x="30"/>
        <item x="37"/>
        <item x="29"/>
        <item x="34"/>
        <item x="44"/>
        <item x="22"/>
        <item x="39"/>
        <item x="40"/>
        <item x="14"/>
        <item x="46"/>
        <item x="45"/>
        <item x="17"/>
        <item x="47"/>
        <item x="41"/>
        <item x="35"/>
        <item x="19"/>
        <item x="48"/>
        <item t="default"/>
      </items>
    </pivotField>
    <pivotField axis="axisRow" compact="0" multipleItemSelectionAllowed="1" showAll="0">
      <items count="12">
        <item x="9"/>
        <item x="5"/>
        <item x="4"/>
        <item x="1"/>
        <item x="6"/>
        <item x="0"/>
        <item x="8"/>
        <item x="3"/>
        <item x="7"/>
        <item x="2"/>
        <item x="10"/>
        <item t="default"/>
      </items>
    </pivotField>
    <pivotField compact="0" showAll="0">
      <items count="639">
        <item x="548"/>
        <item x="57"/>
        <item x="202"/>
        <item x="297"/>
        <item x="486"/>
        <item x="398"/>
        <item x="259"/>
        <item x="52"/>
        <item x="525"/>
        <item x="360"/>
        <item x="497"/>
        <item x="110"/>
        <item x="495"/>
        <item x="379"/>
        <item x="267"/>
        <item x="201"/>
        <item x="36"/>
        <item x="198"/>
        <item x="484"/>
        <item x="409"/>
        <item x="269"/>
        <item x="490"/>
        <item x="536"/>
        <item x="101"/>
        <item x="575"/>
        <item x="583"/>
        <item x="620"/>
        <item x="291"/>
        <item x="39"/>
        <item x="515"/>
        <item x="359"/>
        <item x="429"/>
        <item x="69"/>
        <item x="80"/>
        <item x="157"/>
        <item x="49"/>
        <item x="517"/>
        <item x="331"/>
        <item x="199"/>
        <item x="464"/>
        <item x="344"/>
        <item x="382"/>
        <item x="420"/>
        <item x="6"/>
        <item x="164"/>
        <item x="230"/>
        <item x="483"/>
        <item x="313"/>
        <item x="143"/>
        <item x="630"/>
        <item x="262"/>
        <item x="292"/>
        <item x="263"/>
        <item x="188"/>
        <item x="34"/>
        <item x="576"/>
        <item x="98"/>
        <item x="601"/>
        <item x="330"/>
        <item x="451"/>
        <item x="26"/>
        <item x="341"/>
        <item x="533"/>
        <item x="499"/>
        <item x="414"/>
        <item x="595"/>
        <item x="122"/>
        <item x="345"/>
        <item x="56"/>
        <item x="154"/>
        <item x="433"/>
        <item x="624"/>
        <item x="443"/>
        <item x="238"/>
        <item x="58"/>
        <item x="121"/>
        <item x="541"/>
        <item x="68"/>
        <item x="485"/>
        <item x="539"/>
        <item x="526"/>
        <item x="273"/>
        <item x="192"/>
        <item x="295"/>
        <item x="14"/>
        <item x="79"/>
        <item x="247"/>
        <item x="504"/>
        <item x="19"/>
        <item x="578"/>
        <item x="415"/>
        <item x="453"/>
        <item x="78"/>
        <item x="35"/>
        <item x="127"/>
        <item x="318"/>
        <item x="327"/>
        <item x="75"/>
        <item x="60"/>
        <item x="555"/>
        <item x="489"/>
        <item x="225"/>
        <item x="614"/>
        <item x="542"/>
        <item x="530"/>
        <item x="329"/>
        <item x="100"/>
        <item x="322"/>
        <item x="362"/>
        <item x="194"/>
        <item x="337"/>
        <item x="368"/>
        <item x="596"/>
        <item x="522"/>
        <item x="424"/>
        <item x="279"/>
        <item x="299"/>
        <item x="441"/>
        <item x="214"/>
        <item x="336"/>
        <item x="145"/>
        <item x="250"/>
        <item x="119"/>
        <item x="218"/>
        <item x="231"/>
        <item x="619"/>
        <item x="264"/>
        <item x="139"/>
        <item x="298"/>
        <item x="622"/>
        <item x="240"/>
        <item x="377"/>
        <item x="394"/>
        <item x="602"/>
        <item x="251"/>
        <item x="102"/>
        <item x="554"/>
        <item x="384"/>
        <item x="160"/>
        <item x="217"/>
        <item x="315"/>
        <item x="211"/>
        <item x="468"/>
        <item x="249"/>
        <item x="63"/>
        <item x="397"/>
        <item x="149"/>
        <item x="459"/>
        <item x="162"/>
        <item x="538"/>
        <item x="507"/>
        <item x="597"/>
        <item x="386"/>
        <item x="147"/>
        <item x="608"/>
        <item x="252"/>
        <item x="514"/>
        <item x="547"/>
        <item x="163"/>
        <item x="317"/>
        <item x="77"/>
        <item x="456"/>
        <item x="207"/>
        <item x="30"/>
        <item x="446"/>
        <item x="466"/>
        <item x="235"/>
        <item x="475"/>
        <item x="215"/>
        <item x="462"/>
        <item x="366"/>
        <item x="256"/>
        <item x="17"/>
        <item x="316"/>
        <item x="135"/>
        <item x="635"/>
        <item x="421"/>
        <item x="95"/>
        <item x="228"/>
        <item x="105"/>
        <item x="274"/>
        <item x="113"/>
        <item x="544"/>
        <item x="305"/>
        <item x="457"/>
        <item x="567"/>
        <item x="328"/>
        <item x="244"/>
        <item x="106"/>
        <item x="44"/>
        <item x="350"/>
        <item x="150"/>
        <item x="148"/>
        <item x="616"/>
        <item x="227"/>
        <item x="4"/>
        <item x="178"/>
        <item x="623"/>
        <item x="426"/>
        <item x="3"/>
        <item x="129"/>
        <item x="255"/>
        <item x="503"/>
        <item x="410"/>
        <item x="557"/>
        <item x="91"/>
        <item x="42"/>
        <item x="449"/>
        <item x="471"/>
        <item x="493"/>
        <item x="599"/>
        <item x="62"/>
        <item x="482"/>
        <item x="221"/>
        <item x="210"/>
        <item x="61"/>
        <item x="540"/>
        <item x="131"/>
        <item x="506"/>
        <item x="10"/>
        <item x="85"/>
        <item x="187"/>
        <item x="592"/>
        <item x="213"/>
        <item x="627"/>
        <item x="41"/>
        <item x="342"/>
        <item x="419"/>
        <item x="427"/>
        <item x="137"/>
        <item x="197"/>
        <item x="400"/>
        <item x="365"/>
        <item x="621"/>
        <item x="219"/>
        <item x="123"/>
        <item x="392"/>
        <item x="67"/>
        <item x="521"/>
        <item x="0"/>
        <item x="613"/>
        <item x="173"/>
        <item x="287"/>
        <item x="552"/>
        <item x="204"/>
        <item x="146"/>
        <item x="436"/>
        <item x="442"/>
        <item x="354"/>
        <item x="480"/>
        <item x="610"/>
        <item x="361"/>
        <item x="93"/>
        <item x="412"/>
        <item x="153"/>
        <item x="343"/>
        <item x="174"/>
        <item x="632"/>
        <item x="474"/>
        <item x="461"/>
        <item x="28"/>
        <item x="332"/>
        <item x="519"/>
        <item x="27"/>
        <item x="282"/>
        <item x="239"/>
        <item x="463"/>
        <item x="584"/>
        <item x="390"/>
        <item x="22"/>
        <item x="284"/>
        <item x="478"/>
        <item x="588"/>
        <item x="18"/>
        <item x="498"/>
        <item x="155"/>
        <item x="559"/>
        <item x="432"/>
        <item x="25"/>
        <item x="607"/>
        <item x="612"/>
        <item x="334"/>
        <item x="367"/>
        <item x="266"/>
        <item x="109"/>
        <item x="549"/>
        <item x="465"/>
        <item x="326"/>
        <item x="356"/>
        <item x="43"/>
        <item x="545"/>
        <item x="159"/>
        <item x="54"/>
        <item x="288"/>
        <item x="389"/>
        <item x="277"/>
        <item x="312"/>
        <item x="611"/>
        <item x="296"/>
        <item x="560"/>
        <item x="529"/>
        <item x="535"/>
        <item x="9"/>
        <item x="268"/>
        <item x="65"/>
        <item x="349"/>
        <item x="180"/>
        <item x="473"/>
        <item x="120"/>
        <item x="303"/>
        <item x="222"/>
        <item x="33"/>
        <item x="487"/>
        <item x="581"/>
        <item x="55"/>
        <item x="523"/>
        <item x="294"/>
        <item x="258"/>
        <item x="417"/>
        <item x="285"/>
        <item x="562"/>
        <item x="609"/>
        <item x="82"/>
        <item x="243"/>
        <item x="524"/>
        <item x="107"/>
        <item x="629"/>
        <item x="125"/>
        <item x="369"/>
        <item x="531"/>
        <item x="358"/>
        <item x="401"/>
        <item x="5"/>
        <item x="556"/>
        <item x="598"/>
        <item x="439"/>
        <item x="189"/>
        <item x="177"/>
        <item x="168"/>
        <item x="290"/>
        <item x="94"/>
        <item x="423"/>
        <item x="375"/>
        <item x="152"/>
        <item x="96"/>
        <item x="108"/>
        <item x="378"/>
        <item x="335"/>
        <item x="527"/>
        <item x="568"/>
        <item x="437"/>
        <item x="618"/>
        <item x="229"/>
        <item x="444"/>
        <item x="425"/>
        <item x="582"/>
        <item x="128"/>
        <item x="195"/>
        <item x="276"/>
        <item x="571"/>
        <item x="553"/>
        <item x="48"/>
        <item x="347"/>
        <item x="406"/>
        <item x="200"/>
        <item x="352"/>
        <item x="223"/>
        <item x="254"/>
        <item x="15"/>
        <item x="141"/>
        <item x="142"/>
        <item x="452"/>
        <item x="182"/>
        <item x="309"/>
        <item x="579"/>
        <item x="205"/>
        <item x="590"/>
        <item x="283"/>
        <item x="138"/>
        <item x="151"/>
        <item x="450"/>
        <item x="563"/>
        <item x="11"/>
        <item x="99"/>
        <item x="272"/>
        <item x="66"/>
        <item x="51"/>
        <item x="593"/>
        <item x="564"/>
        <item x="310"/>
        <item x="133"/>
        <item x="357"/>
        <item x="301"/>
        <item x="558"/>
        <item x="438"/>
        <item x="633"/>
        <item x="496"/>
        <item x="260"/>
        <item x="166"/>
        <item x="372"/>
        <item x="134"/>
        <item x="234"/>
        <item x="124"/>
        <item x="97"/>
        <item x="185"/>
        <item x="388"/>
        <item x="190"/>
        <item x="72"/>
        <item x="300"/>
        <item x="477"/>
        <item x="383"/>
        <item x="431"/>
        <item x="338"/>
        <item x="24"/>
        <item x="40"/>
        <item x="585"/>
        <item x="165"/>
        <item x="440"/>
        <item x="631"/>
        <item x="246"/>
        <item x="23"/>
        <item x="45"/>
        <item x="257"/>
        <item x="236"/>
        <item x="407"/>
        <item x="193"/>
        <item x="156"/>
        <item x="206"/>
        <item x="224"/>
        <item x="469"/>
        <item x="511"/>
        <item x="532"/>
        <item x="71"/>
        <item x="74"/>
        <item x="339"/>
        <item x="111"/>
        <item x="509"/>
        <item x="574"/>
        <item x="550"/>
        <item x="381"/>
        <item x="117"/>
        <item x="87"/>
        <item x="628"/>
        <item x="126"/>
        <item x="591"/>
        <item x="314"/>
        <item x="304"/>
        <item x="353"/>
        <item x="566"/>
        <item x="513"/>
        <item x="600"/>
        <item x="408"/>
        <item x="594"/>
        <item x="183"/>
        <item x="351"/>
        <item x="580"/>
        <item x="411"/>
        <item x="237"/>
        <item x="374"/>
        <item x="470"/>
        <item x="293"/>
        <item x="265"/>
        <item x="53"/>
        <item x="232"/>
        <item x="270"/>
        <item x="114"/>
        <item x="586"/>
        <item x="158"/>
        <item x="454"/>
        <item x="447"/>
        <item x="92"/>
        <item x="209"/>
        <item x="226"/>
        <item x="617"/>
        <item x="376"/>
        <item x="512"/>
        <item x="434"/>
        <item x="445"/>
        <item x="320"/>
        <item x="203"/>
        <item x="422"/>
        <item x="615"/>
        <item x="587"/>
        <item x="242"/>
        <item x="233"/>
        <item x="278"/>
        <item x="76"/>
        <item x="115"/>
        <item x="589"/>
        <item x="136"/>
        <item x="29"/>
        <item x="418"/>
        <item x="90"/>
        <item x="528"/>
        <item x="380"/>
        <item x="8"/>
        <item x="458"/>
        <item x="561"/>
        <item x="306"/>
        <item x="501"/>
        <item x="333"/>
        <item x="116"/>
        <item x="572"/>
        <item x="565"/>
        <item x="500"/>
        <item x="573"/>
        <item x="625"/>
        <item x="81"/>
        <item x="488"/>
        <item x="626"/>
        <item x="363"/>
        <item x="175"/>
        <item x="516"/>
        <item x="543"/>
        <item x="1"/>
        <item x="393"/>
        <item x="73"/>
        <item x="510"/>
        <item x="181"/>
        <item x="70"/>
        <item x="577"/>
        <item x="508"/>
        <item x="494"/>
        <item x="371"/>
        <item x="184"/>
        <item x="355"/>
        <item x="186"/>
        <item x="241"/>
        <item x="280"/>
        <item x="112"/>
        <item x="405"/>
        <item x="634"/>
        <item x="546"/>
        <item x="428"/>
        <item x="286"/>
        <item x="196"/>
        <item x="161"/>
        <item x="170"/>
        <item x="395"/>
        <item x="191"/>
        <item x="59"/>
        <item x="534"/>
        <item x="321"/>
        <item x="212"/>
        <item x="551"/>
        <item x="47"/>
        <item x="416"/>
        <item x="37"/>
        <item x="140"/>
        <item x="144"/>
        <item x="104"/>
        <item x="570"/>
        <item x="103"/>
        <item x="481"/>
        <item x="50"/>
        <item x="518"/>
        <item x="208"/>
        <item x="636"/>
        <item x="275"/>
        <item x="12"/>
        <item x="404"/>
        <item x="479"/>
        <item x="467"/>
        <item x="311"/>
        <item x="319"/>
        <item x="179"/>
        <item x="86"/>
        <item x="21"/>
        <item x="20"/>
        <item x="385"/>
        <item x="289"/>
        <item x="373"/>
        <item x="413"/>
        <item x="308"/>
        <item x="16"/>
        <item x="430"/>
        <item x="220"/>
        <item x="387"/>
        <item x="46"/>
        <item x="391"/>
        <item x="537"/>
        <item x="455"/>
        <item x="167"/>
        <item x="472"/>
        <item x="606"/>
        <item x="448"/>
        <item x="399"/>
        <item x="248"/>
        <item x="118"/>
        <item x="216"/>
        <item x="569"/>
        <item x="2"/>
        <item x="307"/>
        <item x="130"/>
        <item x="64"/>
        <item x="132"/>
        <item x="38"/>
        <item x="603"/>
        <item x="32"/>
        <item x="89"/>
        <item x="253"/>
        <item x="340"/>
        <item x="323"/>
        <item x="271"/>
        <item x="83"/>
        <item x="502"/>
        <item x="505"/>
        <item x="492"/>
        <item x="435"/>
        <item x="172"/>
        <item x="348"/>
        <item x="7"/>
        <item x="324"/>
        <item x="281"/>
        <item x="346"/>
        <item x="171"/>
        <item x="176"/>
        <item x="604"/>
        <item x="370"/>
        <item x="261"/>
        <item x="88"/>
        <item x="169"/>
        <item x="325"/>
        <item x="13"/>
        <item x="605"/>
        <item x="460"/>
        <item x="31"/>
        <item x="520"/>
        <item x="396"/>
        <item x="403"/>
        <item x="491"/>
        <item x="476"/>
        <item x="245"/>
        <item x="402"/>
        <item x="302"/>
        <item x="84"/>
        <item x="364"/>
        <item x="637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22">
        <item x="1"/>
        <item x="18"/>
        <item x="5"/>
        <item x="12"/>
        <item x="15"/>
        <item x="6"/>
        <item x="14"/>
        <item x="9"/>
        <item x="2"/>
        <item x="16"/>
        <item x="19"/>
        <item x="10"/>
        <item x="3"/>
        <item x="4"/>
        <item x="7"/>
        <item x="17"/>
        <item x="13"/>
        <item x="0"/>
        <item x="11"/>
        <item x="8"/>
        <item x="20"/>
        <item t="default"/>
      </items>
    </pivotField>
    <pivotField compact="0" showAll="0">
      <items count="8">
        <item x="0"/>
        <item x="1"/>
        <item x="5"/>
        <item x="2"/>
        <item x="3"/>
        <item x="4"/>
        <item x="6"/>
        <item t="default"/>
      </items>
    </pivotField>
    <pivotField compact="0" showAll="0">
      <items count="22">
        <item x="10"/>
        <item x="0"/>
        <item x="6"/>
        <item x="4"/>
        <item x="8"/>
        <item x="19"/>
        <item x="9"/>
        <item x="5"/>
        <item x="7"/>
        <item x="1"/>
        <item x="11"/>
        <item x="12"/>
        <item x="18"/>
        <item x="2"/>
        <item x="15"/>
        <item x="14"/>
        <item x="16"/>
        <item x="17"/>
        <item x="3"/>
        <item x="13"/>
        <item x="20"/>
        <item t="default"/>
      </items>
    </pivotField>
    <pivotField compact="0" showAll="0">
      <items count="180">
        <item x="119"/>
        <item x="20"/>
        <item x="16"/>
        <item x="55"/>
        <item x="43"/>
        <item x="6"/>
        <item x="13"/>
        <item x="70"/>
        <item x="45"/>
        <item x="15"/>
        <item x="76"/>
        <item x="103"/>
        <item x="10"/>
        <item x="17"/>
        <item x="39"/>
        <item x="52"/>
        <item x="19"/>
        <item x="18"/>
        <item x="129"/>
        <item x="59"/>
        <item x="63"/>
        <item x="40"/>
        <item x="37"/>
        <item x="4"/>
        <item x="99"/>
        <item x="91"/>
        <item x="77"/>
        <item x="0"/>
        <item x="31"/>
        <item x="12"/>
        <item x="101"/>
        <item x="85"/>
        <item x="1"/>
        <item x="105"/>
        <item x="54"/>
        <item x="94"/>
        <item x="7"/>
        <item x="34"/>
        <item x="132"/>
        <item x="114"/>
        <item x="151"/>
        <item x="86"/>
        <item x="64"/>
        <item x="2"/>
        <item x="123"/>
        <item x="90"/>
        <item x="137"/>
        <item x="41"/>
        <item x="62"/>
        <item x="24"/>
        <item x="57"/>
        <item x="36"/>
        <item x="104"/>
        <item x="30"/>
        <item x="23"/>
        <item x="29"/>
        <item x="26"/>
        <item x="136"/>
        <item x="28"/>
        <item x="128"/>
        <item x="35"/>
        <item x="87"/>
        <item x="48"/>
        <item x="110"/>
        <item x="9"/>
        <item x="78"/>
        <item x="11"/>
        <item x="33"/>
        <item x="8"/>
        <item x="56"/>
        <item x="148"/>
        <item x="61"/>
        <item x="58"/>
        <item x="22"/>
        <item x="50"/>
        <item x="154"/>
        <item x="68"/>
        <item x="98"/>
        <item x="51"/>
        <item x="108"/>
        <item x="106"/>
        <item x="96"/>
        <item x="146"/>
        <item x="113"/>
        <item x="21"/>
        <item x="159"/>
        <item x="72"/>
        <item x="158"/>
        <item x="38"/>
        <item x="88"/>
        <item x="95"/>
        <item x="173"/>
        <item x="32"/>
        <item x="53"/>
        <item x="46"/>
        <item x="175"/>
        <item x="49"/>
        <item x="79"/>
        <item x="130"/>
        <item x="75"/>
        <item x="5"/>
        <item x="170"/>
        <item x="160"/>
        <item x="121"/>
        <item x="93"/>
        <item x="143"/>
        <item x="100"/>
        <item x="140"/>
        <item x="176"/>
        <item x="171"/>
        <item x="161"/>
        <item x="139"/>
        <item x="73"/>
        <item x="60"/>
        <item x="102"/>
        <item x="172"/>
        <item x="118"/>
        <item x="3"/>
        <item x="166"/>
        <item x="145"/>
        <item x="82"/>
        <item x="42"/>
        <item x="112"/>
        <item x="135"/>
        <item x="84"/>
        <item x="83"/>
        <item x="111"/>
        <item x="14"/>
        <item x="47"/>
        <item x="142"/>
        <item x="147"/>
        <item x="177"/>
        <item x="66"/>
        <item x="44"/>
        <item x="156"/>
        <item x="71"/>
        <item x="27"/>
        <item x="169"/>
        <item x="81"/>
        <item x="125"/>
        <item x="126"/>
        <item x="65"/>
        <item x="162"/>
        <item x="150"/>
        <item x="138"/>
        <item x="115"/>
        <item x="92"/>
        <item x="120"/>
        <item x="153"/>
        <item x="144"/>
        <item x="97"/>
        <item x="74"/>
        <item x="167"/>
        <item x="168"/>
        <item x="152"/>
        <item x="69"/>
        <item x="155"/>
        <item x="163"/>
        <item x="67"/>
        <item x="164"/>
        <item x="107"/>
        <item x="89"/>
        <item x="141"/>
        <item x="165"/>
        <item x="80"/>
        <item x="25"/>
        <item x="174"/>
        <item x="133"/>
        <item x="131"/>
        <item x="117"/>
        <item x="127"/>
        <item x="157"/>
        <item x="109"/>
        <item x="134"/>
        <item x="124"/>
        <item x="149"/>
        <item x="116"/>
        <item x="122"/>
        <item x="178"/>
        <item t="default"/>
      </items>
    </pivotField>
    <pivotField compact="0" showAll="0">
      <items count="180">
        <item x="119"/>
        <item x="20"/>
        <item x="16"/>
        <item x="55"/>
        <item x="43"/>
        <item x="6"/>
        <item x="13"/>
        <item x="70"/>
        <item x="45"/>
        <item x="15"/>
        <item x="76"/>
        <item x="103"/>
        <item x="10"/>
        <item x="17"/>
        <item x="39"/>
        <item x="52"/>
        <item x="19"/>
        <item x="18"/>
        <item x="129"/>
        <item x="59"/>
        <item x="63"/>
        <item x="40"/>
        <item x="37"/>
        <item x="4"/>
        <item x="99"/>
        <item x="91"/>
        <item x="77"/>
        <item x="0"/>
        <item x="31"/>
        <item x="12"/>
        <item x="101"/>
        <item x="85"/>
        <item x="1"/>
        <item x="105"/>
        <item x="54"/>
        <item x="94"/>
        <item x="7"/>
        <item x="34"/>
        <item x="132"/>
        <item x="114"/>
        <item x="151"/>
        <item x="86"/>
        <item x="64"/>
        <item x="2"/>
        <item x="123"/>
        <item x="90"/>
        <item x="137"/>
        <item x="41"/>
        <item x="62"/>
        <item x="24"/>
        <item x="57"/>
        <item x="36"/>
        <item x="104"/>
        <item x="30"/>
        <item x="23"/>
        <item x="29"/>
        <item x="26"/>
        <item x="136"/>
        <item x="28"/>
        <item x="128"/>
        <item x="35"/>
        <item x="87"/>
        <item x="48"/>
        <item x="110"/>
        <item x="9"/>
        <item x="78"/>
        <item x="11"/>
        <item x="33"/>
        <item x="8"/>
        <item x="56"/>
        <item x="148"/>
        <item x="61"/>
        <item x="58"/>
        <item x="22"/>
        <item x="50"/>
        <item x="154"/>
        <item x="68"/>
        <item x="98"/>
        <item x="51"/>
        <item x="108"/>
        <item x="106"/>
        <item x="96"/>
        <item x="146"/>
        <item x="113"/>
        <item x="21"/>
        <item x="159"/>
        <item x="72"/>
        <item x="158"/>
        <item x="38"/>
        <item x="88"/>
        <item x="95"/>
        <item x="173"/>
        <item x="32"/>
        <item x="53"/>
        <item x="46"/>
        <item x="175"/>
        <item x="49"/>
        <item x="79"/>
        <item x="130"/>
        <item x="75"/>
        <item x="5"/>
        <item x="170"/>
        <item x="160"/>
        <item x="121"/>
        <item x="93"/>
        <item x="143"/>
        <item x="100"/>
        <item x="140"/>
        <item x="176"/>
        <item x="171"/>
        <item x="161"/>
        <item x="139"/>
        <item x="73"/>
        <item x="60"/>
        <item x="102"/>
        <item x="172"/>
        <item x="118"/>
        <item x="3"/>
        <item x="166"/>
        <item x="145"/>
        <item x="82"/>
        <item x="42"/>
        <item x="112"/>
        <item x="135"/>
        <item x="84"/>
        <item x="83"/>
        <item x="111"/>
        <item x="14"/>
        <item x="47"/>
        <item x="142"/>
        <item x="147"/>
        <item x="177"/>
        <item x="66"/>
        <item x="44"/>
        <item x="156"/>
        <item x="71"/>
        <item x="27"/>
        <item x="169"/>
        <item x="81"/>
        <item x="125"/>
        <item x="126"/>
        <item x="65"/>
        <item x="162"/>
        <item x="150"/>
        <item x="138"/>
        <item x="115"/>
        <item x="92"/>
        <item x="120"/>
        <item x="153"/>
        <item x="144"/>
        <item x="97"/>
        <item x="74"/>
        <item x="167"/>
        <item x="168"/>
        <item x="152"/>
        <item x="69"/>
        <item x="155"/>
        <item x="163"/>
        <item x="67"/>
        <item x="164"/>
        <item x="107"/>
        <item x="89"/>
        <item x="141"/>
        <item x="165"/>
        <item x="80"/>
        <item x="25"/>
        <item x="174"/>
        <item x="133"/>
        <item x="131"/>
        <item x="117"/>
        <item x="127"/>
        <item x="157"/>
        <item x="109"/>
        <item x="134"/>
        <item x="124"/>
        <item x="149"/>
        <item x="116"/>
        <item x="122"/>
        <item x="178"/>
        <item t="default"/>
      </items>
    </pivotField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CustomerID" fld="1" subtotal="count" baseField="0" baseItem="0"/>
  </dataFields>
  <formats count="4">
    <format dxfId="0">
      <pivotArea field="9" type="button" dataOnly="0" labelOnly="1" outline="0" fieldPosition="0"/>
    </format>
    <format dxfId="1">
      <pivotArea type="all" dataOnly="0" outline="0" fieldPosition="0"/>
    </format>
    <format dxfId="2">
      <pivotArea type="all" dataOnly="0" outline="0" fieldPosition="0"/>
    </format>
    <format dxfId="3">
      <pivotArea field="9" type="button" dataOnly="0" labelOnly="1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E3:F11" firstHeaderRow="1" firstDataRow="1" firstDataCol="1"/>
  <pivotFields count="17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dataField="1" compact="0" showAll="0">
      <items count="955">
        <item x="185"/>
        <item x="774"/>
        <item x="717"/>
        <item x="69"/>
        <item x="272"/>
        <item x="274"/>
        <item x="245"/>
        <item x="443"/>
        <item x="931"/>
        <item x="93"/>
        <item x="768"/>
        <item x="593"/>
        <item x="747"/>
        <item x="778"/>
        <item x="689"/>
        <item x="97"/>
        <item x="517"/>
        <item x="802"/>
        <item x="390"/>
        <item x="727"/>
        <item x="28"/>
        <item x="913"/>
        <item x="43"/>
        <item x="81"/>
        <item x="328"/>
        <item x="120"/>
        <item x="138"/>
        <item x="128"/>
        <item x="314"/>
        <item x="538"/>
        <item x="556"/>
        <item x="450"/>
        <item x="705"/>
        <item x="96"/>
        <item x="545"/>
        <item x="98"/>
        <item x="629"/>
        <item x="351"/>
        <item x="326"/>
        <item x="162"/>
        <item x="899"/>
        <item x="65"/>
        <item x="592"/>
        <item x="712"/>
        <item x="498"/>
        <item x="213"/>
        <item x="426"/>
        <item x="794"/>
        <item x="707"/>
        <item x="446"/>
        <item x="925"/>
        <item x="926"/>
        <item x="944"/>
        <item x="471"/>
        <item x="688"/>
        <item x="84"/>
        <item x="181"/>
        <item x="719"/>
        <item x="951"/>
        <item x="413"/>
        <item x="189"/>
        <item x="276"/>
        <item x="78"/>
        <item x="268"/>
        <item x="559"/>
        <item x="258"/>
        <item x="108"/>
        <item x="285"/>
        <item x="901"/>
        <item x="832"/>
        <item x="76"/>
        <item x="670"/>
        <item x="456"/>
        <item x="796"/>
        <item x="118"/>
        <item x="324"/>
        <item x="853"/>
        <item x="130"/>
        <item x="560"/>
        <item x="492"/>
        <item x="787"/>
        <item x="844"/>
        <item x="478"/>
        <item x="578"/>
        <item x="405"/>
        <item x="380"/>
        <item x="694"/>
        <item x="754"/>
        <item x="516"/>
        <item x="939"/>
        <item x="146"/>
        <item x="575"/>
        <item x="698"/>
        <item x="170"/>
        <item x="424"/>
        <item x="748"/>
        <item x="567"/>
        <item x="210"/>
        <item x="240"/>
        <item x="840"/>
        <item x="523"/>
        <item x="388"/>
        <item x="109"/>
        <item x="16"/>
        <item x="949"/>
        <item x="387"/>
        <item x="525"/>
        <item x="340"/>
        <item x="200"/>
        <item x="196"/>
        <item x="4"/>
        <item x="935"/>
        <item x="356"/>
        <item x="227"/>
        <item x="828"/>
        <item x="667"/>
        <item x="815"/>
        <item x="92"/>
        <item x="631"/>
        <item x="363"/>
        <item x="36"/>
        <item x="386"/>
        <item x="465"/>
        <item x="238"/>
        <item x="156"/>
        <item x="347"/>
        <item x="656"/>
        <item x="206"/>
        <item x="597"/>
        <item x="225"/>
        <item x="55"/>
        <item x="454"/>
        <item x="263"/>
        <item x="857"/>
        <item x="740"/>
        <item x="759"/>
        <item x="725"/>
        <item x="644"/>
        <item x="791"/>
        <item x="371"/>
        <item x="172"/>
        <item x="848"/>
        <item x="950"/>
        <item x="352"/>
        <item x="479"/>
        <item x="364"/>
        <item x="127"/>
        <item x="577"/>
        <item x="709"/>
        <item x="668"/>
        <item x="942"/>
        <item x="484"/>
        <item x="765"/>
        <item x="115"/>
        <item x="847"/>
        <item x="813"/>
        <item x="30"/>
        <item x="841"/>
        <item x="234"/>
        <item x="528"/>
        <item x="338"/>
        <item x="482"/>
        <item x="327"/>
        <item x="300"/>
        <item x="642"/>
        <item x="752"/>
        <item x="12"/>
        <item x="460"/>
        <item x="260"/>
        <item x="564"/>
        <item x="431"/>
        <item x="863"/>
        <item x="321"/>
        <item x="382"/>
        <item x="312"/>
        <item x="201"/>
        <item x="132"/>
        <item x="469"/>
        <item x="208"/>
        <item x="800"/>
        <item x="718"/>
        <item x="215"/>
        <item x="696"/>
        <item x="323"/>
        <item x="114"/>
        <item x="404"/>
        <item x="858"/>
        <item x="568"/>
        <item x="922"/>
        <item x="558"/>
        <item x="495"/>
        <item x="376"/>
        <item x="842"/>
        <item x="875"/>
        <item x="94"/>
        <item x="296"/>
        <item x="771"/>
        <item x="625"/>
        <item x="205"/>
        <item x="14"/>
        <item x="546"/>
        <item x="871"/>
        <item x="587"/>
        <item x="207"/>
        <item x="838"/>
        <item x="372"/>
        <item x="672"/>
        <item x="87"/>
        <item x="825"/>
        <item x="10"/>
        <item x="928"/>
        <item x="239"/>
        <item x="919"/>
        <item x="309"/>
        <item x="398"/>
        <item x="83"/>
        <item x="551"/>
        <item x="769"/>
        <item x="645"/>
        <item x="606"/>
        <item x="924"/>
        <item x="249"/>
        <item x="737"/>
        <item x="381"/>
        <item x="952"/>
        <item x="457"/>
        <item x="681"/>
        <item x="892"/>
        <item x="887"/>
        <item x="757"/>
        <item x="640"/>
        <item x="691"/>
        <item x="711"/>
        <item x="886"/>
        <item x="940"/>
        <item x="665"/>
        <item x="71"/>
        <item x="407"/>
        <item x="500"/>
        <item x="601"/>
        <item x="334"/>
        <item x="409"/>
        <item x="522"/>
        <item x="339"/>
        <item x="246"/>
        <item x="214"/>
        <item x="307"/>
        <item x="927"/>
        <item x="742"/>
        <item x="49"/>
        <item x="855"/>
        <item x="808"/>
        <item x="332"/>
        <item x="870"/>
        <item x="412"/>
        <item x="816"/>
        <item x="47"/>
        <item x="264"/>
        <item x="384"/>
        <item x="547"/>
        <item x="171"/>
        <item x="821"/>
        <item x="244"/>
        <item x="64"/>
        <item x="849"/>
        <item x="889"/>
        <item x="609"/>
        <item x="228"/>
        <item x="795"/>
        <item x="112"/>
        <item x="607"/>
        <item x="619"/>
        <item x="253"/>
        <item x="177"/>
        <item x="487"/>
        <item x="402"/>
        <item x="11"/>
        <item x="470"/>
        <item x="589"/>
        <item x="330"/>
        <item x="252"/>
        <item x="91"/>
        <item x="535"/>
        <item x="148"/>
        <item x="695"/>
        <item x="756"/>
        <item x="60"/>
        <item x="721"/>
        <item x="860"/>
        <item x="882"/>
        <item x="557"/>
        <item x="852"/>
        <item x="139"/>
        <item x="9"/>
        <item x="845"/>
        <item x="502"/>
        <item x="475"/>
        <item x="884"/>
        <item x="554"/>
        <item x="491"/>
        <item x="814"/>
        <item x="620"/>
        <item x="715"/>
        <item x="289"/>
        <item x="270"/>
        <item x="442"/>
        <item x="496"/>
        <item x="155"/>
        <item x="410"/>
        <item x="914"/>
        <item x="447"/>
        <item x="279"/>
        <item x="202"/>
        <item x="134"/>
        <item x="835"/>
        <item x="684"/>
        <item x="893"/>
        <item x="322"/>
        <item x="801"/>
        <item x="77"/>
        <item x="588"/>
        <item x="150"/>
        <item x="211"/>
        <item x="617"/>
        <item x="739"/>
        <item x="286"/>
        <item x="758"/>
        <item x="362"/>
        <item x="288"/>
        <item x="88"/>
        <item x="173"/>
        <item x="604"/>
        <item x="897"/>
        <item x="106"/>
        <item x="67"/>
        <item x="27"/>
        <item x="59"/>
        <item x="103"/>
        <item x="79"/>
        <item x="477"/>
        <item x="896"/>
        <item x="910"/>
        <item x="537"/>
        <item x="216"/>
        <item x="231"/>
        <item x="283"/>
        <item x="639"/>
        <item x="298"/>
        <item x="843"/>
        <item x="236"/>
        <item x="0"/>
        <item x="598"/>
        <item x="819"/>
        <item x="175"/>
        <item x="912"/>
        <item x="616"/>
        <item x="197"/>
        <item x="829"/>
        <item x="532"/>
        <item x="223"/>
        <item x="337"/>
        <item x="636"/>
        <item x="767"/>
        <item x="846"/>
        <item x="277"/>
        <item x="527"/>
        <item x="743"/>
        <item x="377"/>
        <item x="142"/>
        <item x="48"/>
        <item x="349"/>
        <item x="628"/>
        <item x="799"/>
        <item x="817"/>
        <item x="248"/>
        <item x="237"/>
        <item x="657"/>
        <item x="507"/>
        <item x="777"/>
        <item x="149"/>
        <item x="864"/>
        <item x="526"/>
        <item x="503"/>
        <item x="788"/>
        <item x="166"/>
        <item x="342"/>
        <item x="458"/>
        <item x="686"/>
        <item x="550"/>
        <item x="504"/>
        <item x="66"/>
        <item x="451"/>
        <item x="869"/>
        <item x="163"/>
        <item x="414"/>
        <item x="366"/>
        <item x="581"/>
        <item x="513"/>
        <item x="15"/>
        <item x="265"/>
        <item x="195"/>
        <item x="494"/>
        <item x="658"/>
        <item x="626"/>
        <item x="728"/>
        <item x="281"/>
        <item x="141"/>
        <item x="603"/>
        <item x="56"/>
        <item x="38"/>
        <item x="432"/>
        <item x="18"/>
        <item x="389"/>
        <item x="455"/>
        <item x="736"/>
        <item x="902"/>
        <item x="703"/>
        <item x="552"/>
        <item x="654"/>
        <item x="851"/>
        <item x="39"/>
        <item x="582"/>
        <item x="894"/>
        <item x="101"/>
        <item x="80"/>
        <item x="40"/>
        <item x="911"/>
        <item x="63"/>
        <item x="144"/>
        <item x="420"/>
        <item x="308"/>
        <item x="476"/>
        <item x="292"/>
        <item x="116"/>
        <item x="906"/>
        <item x="29"/>
        <item x="553"/>
        <item x="510"/>
        <item x="807"/>
        <item x="862"/>
        <item x="58"/>
        <item x="203"/>
        <item x="947"/>
        <item x="541"/>
        <item x="610"/>
        <item x="290"/>
        <item x="611"/>
        <item x="627"/>
        <item x="393"/>
        <item x="766"/>
        <item x="222"/>
        <item x="608"/>
        <item x="776"/>
        <item x="798"/>
        <item x="827"/>
        <item x="346"/>
        <item x="729"/>
        <item x="325"/>
        <item x="744"/>
        <item x="194"/>
        <item x="137"/>
        <item x="392"/>
        <item x="145"/>
        <item x="233"/>
        <item x="662"/>
        <item x="343"/>
        <item x="251"/>
        <item x="615"/>
        <item x="693"/>
        <item x="562"/>
        <item x="569"/>
        <item x="861"/>
        <item x="369"/>
        <item x="176"/>
        <item x="600"/>
        <item x="441"/>
        <item x="595"/>
        <item x="880"/>
        <item x="241"/>
        <item x="612"/>
        <item x="878"/>
        <item x="786"/>
        <item x="42"/>
        <item x="73"/>
        <item x="898"/>
        <item x="105"/>
        <item x="511"/>
        <item x="399"/>
        <item x="221"/>
        <item x="224"/>
        <item x="566"/>
        <item x="122"/>
        <item x="809"/>
        <item x="885"/>
        <item x="217"/>
        <item x="179"/>
        <item x="269"/>
        <item x="33"/>
        <item x="212"/>
        <item x="599"/>
        <item x="488"/>
        <item x="8"/>
        <item x="20"/>
        <item x="2"/>
        <item x="669"/>
        <item x="68"/>
        <item x="704"/>
        <item x="941"/>
        <item x="86"/>
        <item x="854"/>
        <item x="391"/>
        <item x="722"/>
        <item x="678"/>
        <item x="643"/>
        <item x="164"/>
        <item x="461"/>
        <item x="530"/>
        <item x="614"/>
        <item x="375"/>
        <item x="169"/>
        <item x="262"/>
        <item x="423"/>
        <item x="618"/>
        <item x="254"/>
        <item x="519"/>
        <item x="437"/>
        <item x="243"/>
        <item x="613"/>
        <item x="480"/>
        <item x="945"/>
        <item x="291"/>
        <item x="21"/>
        <item x="74"/>
        <item x="866"/>
        <item x="671"/>
        <item x="536"/>
        <item x="489"/>
        <item x="674"/>
        <item x="548"/>
        <item x="257"/>
        <item x="508"/>
        <item x="903"/>
        <item x="730"/>
        <item x="275"/>
        <item x="755"/>
        <item x="580"/>
        <item x="733"/>
        <item x="837"/>
        <item x="157"/>
        <item x="174"/>
        <item x="602"/>
        <item x="5"/>
        <item x="440"/>
        <item x="154"/>
        <item x="938"/>
        <item x="305"/>
        <item x="302"/>
        <item x="428"/>
        <item x="918"/>
        <item x="720"/>
        <item x="946"/>
        <item x="429"/>
        <item x="345"/>
        <item x="724"/>
        <item x="521"/>
        <item x="586"/>
        <item x="699"/>
        <item x="850"/>
        <item x="397"/>
        <item x="294"/>
        <item x="357"/>
        <item x="143"/>
        <item x="204"/>
        <item x="659"/>
        <item x="335"/>
        <item x="895"/>
        <item x="370"/>
        <item x="782"/>
        <item x="574"/>
        <item x="193"/>
        <item x="900"/>
        <item x="400"/>
        <item x="909"/>
        <item x="303"/>
        <item x="741"/>
        <item x="242"/>
        <item x="333"/>
        <item x="803"/>
        <item x="165"/>
        <item x="378"/>
        <item x="417"/>
        <item x="188"/>
        <item x="772"/>
        <item x="723"/>
        <item x="34"/>
        <item x="82"/>
        <item x="278"/>
        <item x="287"/>
        <item x="464"/>
        <item x="355"/>
        <item x="531"/>
        <item x="126"/>
        <item x="396"/>
        <item x="113"/>
        <item x="812"/>
        <item x="697"/>
        <item x="883"/>
        <item x="872"/>
        <item x="501"/>
        <item x="638"/>
        <item x="168"/>
        <item x="474"/>
        <item x="124"/>
        <item x="666"/>
        <item x="52"/>
        <item x="637"/>
        <item x="820"/>
        <item x="833"/>
        <item x="633"/>
        <item x="408"/>
        <item x="515"/>
        <item x="267"/>
        <item x="499"/>
        <item x="731"/>
        <item x="373"/>
        <item x="888"/>
        <item x="746"/>
        <item x="6"/>
        <item x="187"/>
        <item x="51"/>
        <item x="72"/>
        <item x="385"/>
        <item x="687"/>
        <item x="493"/>
        <item x="350"/>
        <item x="453"/>
        <item x="462"/>
        <item x="90"/>
        <item x="133"/>
        <item x="167"/>
        <item x="876"/>
        <item x="653"/>
        <item x="635"/>
        <item x="348"/>
        <item x="512"/>
        <item x="539"/>
        <item x="713"/>
        <item x="915"/>
        <item x="810"/>
        <item x="905"/>
        <item x="284"/>
        <item x="585"/>
        <item x="923"/>
        <item x="714"/>
        <item x="159"/>
        <item x="877"/>
        <item x="226"/>
        <item x="583"/>
        <item x="570"/>
        <item x="422"/>
        <item x="738"/>
        <item x="702"/>
        <item x="879"/>
        <item x="726"/>
        <item x="673"/>
        <item x="259"/>
        <item x="783"/>
        <item x="436"/>
        <item x="250"/>
        <item x="61"/>
        <item x="873"/>
        <item x="509"/>
        <item x="178"/>
        <item x="62"/>
        <item x="753"/>
        <item x="403"/>
        <item x="770"/>
        <item x="773"/>
        <item x="830"/>
        <item x="641"/>
        <item x="439"/>
        <item x="485"/>
        <item x="505"/>
        <item x="358"/>
        <item x="555"/>
        <item x="916"/>
        <item x="514"/>
        <item x="444"/>
        <item x="655"/>
        <item x="180"/>
        <item x="591"/>
        <item x="805"/>
        <item x="131"/>
        <item x="660"/>
        <item x="341"/>
        <item x="320"/>
        <item x="811"/>
        <item x="936"/>
        <item x="136"/>
        <item x="379"/>
        <item x="590"/>
        <item x="99"/>
        <item x="621"/>
        <item x="433"/>
        <item x="32"/>
        <item x="734"/>
        <item x="354"/>
        <item x="140"/>
        <item x="917"/>
        <item x="605"/>
        <item x="651"/>
        <item x="158"/>
        <item x="184"/>
        <item x="543"/>
        <item x="44"/>
        <item x="937"/>
        <item x="230"/>
        <item x="506"/>
        <item x="797"/>
        <item x="37"/>
        <item x="630"/>
        <item x="804"/>
        <item x="418"/>
        <item x="679"/>
        <item x="110"/>
        <item x="904"/>
        <item x="623"/>
        <item x="650"/>
        <item x="415"/>
        <item x="411"/>
        <item x="921"/>
        <item x="749"/>
        <item x="190"/>
        <item x="463"/>
        <item x="472"/>
        <item x="622"/>
        <item x="416"/>
        <item x="329"/>
        <item x="310"/>
        <item x="745"/>
        <item x="874"/>
        <item x="383"/>
        <item x="785"/>
        <item x="344"/>
        <item x="183"/>
        <item x="520"/>
        <item x="445"/>
        <item x="826"/>
        <item x="35"/>
        <item x="218"/>
        <item x="23"/>
        <item x="359"/>
        <item x="652"/>
        <item x="690"/>
        <item x="692"/>
        <item x="735"/>
        <item x="395"/>
        <item x="789"/>
        <item x="315"/>
        <item x="394"/>
        <item x="1"/>
        <item x="856"/>
        <item x="271"/>
        <item x="317"/>
        <item x="425"/>
        <item x="675"/>
        <item x="89"/>
        <item x="25"/>
        <item x="881"/>
        <item x="293"/>
        <item x="427"/>
        <item x="419"/>
        <item x="299"/>
        <item x="306"/>
        <item x="256"/>
        <item x="123"/>
        <item x="663"/>
        <item x="50"/>
        <item x="751"/>
        <item x="22"/>
        <item x="891"/>
        <item x="229"/>
        <item x="934"/>
        <item x="579"/>
        <item x="700"/>
        <item x="421"/>
        <item x="648"/>
        <item x="70"/>
        <item x="449"/>
        <item x="182"/>
        <item x="571"/>
        <item x="209"/>
        <item x="784"/>
        <item x="129"/>
        <item x="822"/>
        <item x="839"/>
        <item x="331"/>
        <item x="435"/>
        <item x="824"/>
        <item x="677"/>
        <item x="466"/>
        <item x="865"/>
        <item x="540"/>
        <item x="859"/>
        <item x="198"/>
        <item x="779"/>
        <item x="682"/>
        <item x="732"/>
        <item x="716"/>
        <item x="125"/>
        <item x="920"/>
        <item x="524"/>
        <item x="54"/>
        <item x="468"/>
        <item x="361"/>
        <item x="792"/>
        <item x="561"/>
        <item x="220"/>
        <item x="764"/>
        <item x="624"/>
        <item x="261"/>
        <item x="374"/>
        <item x="634"/>
        <item x="452"/>
        <item x="818"/>
        <item x="304"/>
        <item x="147"/>
        <item x="490"/>
        <item x="297"/>
        <item x="459"/>
        <item x="781"/>
        <item x="7"/>
        <item x="649"/>
        <item x="3"/>
        <item x="632"/>
        <item x="948"/>
        <item x="319"/>
        <item x="107"/>
        <item x="135"/>
        <item x="533"/>
        <item x="646"/>
        <item x="13"/>
        <item x="336"/>
        <item x="836"/>
        <item x="100"/>
        <item x="573"/>
        <item x="806"/>
        <item x="282"/>
        <item x="761"/>
        <item x="780"/>
        <item x="497"/>
        <item x="273"/>
        <item x="706"/>
        <item x="26"/>
        <item x="75"/>
        <item x="119"/>
        <item x="301"/>
        <item x="762"/>
        <item x="647"/>
        <item x="31"/>
        <item x="311"/>
        <item x="24"/>
        <item x="434"/>
        <item x="438"/>
        <item x="353"/>
        <item x="280"/>
        <item x="295"/>
        <item x="153"/>
        <item x="316"/>
        <item x="192"/>
        <item x="111"/>
        <item x="710"/>
        <item x="572"/>
        <item x="932"/>
        <item x="486"/>
        <item x="529"/>
        <item x="57"/>
        <item x="750"/>
        <item x="360"/>
        <item x="95"/>
        <item x="596"/>
        <item x="867"/>
        <item x="834"/>
        <item x="907"/>
        <item x="823"/>
        <item x="160"/>
        <item x="104"/>
        <item x="313"/>
        <item x="45"/>
        <item x="401"/>
        <item x="549"/>
        <item x="19"/>
        <item x="775"/>
        <item x="199"/>
        <item x="760"/>
        <item x="685"/>
        <item x="235"/>
        <item x="680"/>
        <item x="473"/>
        <item x="266"/>
        <item x="219"/>
        <item x="232"/>
        <item x="186"/>
        <item x="467"/>
        <item x="565"/>
        <item x="117"/>
        <item x="594"/>
        <item x="908"/>
        <item x="318"/>
        <item x="85"/>
        <item x="930"/>
        <item x="483"/>
        <item x="933"/>
        <item x="793"/>
        <item x="191"/>
        <item x="542"/>
        <item x="430"/>
        <item x="151"/>
        <item x="152"/>
        <item x="41"/>
        <item x="247"/>
        <item x="448"/>
        <item x="868"/>
        <item x="676"/>
        <item x="790"/>
        <item x="161"/>
        <item x="544"/>
        <item x="518"/>
        <item x="367"/>
        <item x="943"/>
        <item x="534"/>
        <item x="563"/>
        <item x="890"/>
        <item x="708"/>
        <item x="368"/>
        <item x="46"/>
        <item x="102"/>
        <item x="664"/>
        <item x="701"/>
        <item x="53"/>
        <item x="365"/>
        <item x="661"/>
        <item x="683"/>
        <item x="17"/>
        <item x="255"/>
        <item x="406"/>
        <item x="576"/>
        <item x="584"/>
        <item x="481"/>
        <item x="121"/>
        <item x="831"/>
        <item x="763"/>
        <item x="929"/>
        <item x="953"/>
        <item t="default"/>
      </items>
    </pivotField>
    <pivotField compact="0" showAll="0">
      <items count="608">
        <item x="208"/>
        <item x="457"/>
        <item x="489"/>
        <item x="518"/>
        <item x="311"/>
        <item x="331"/>
        <item x="136"/>
        <item x="374"/>
        <item x="502"/>
        <item x="499"/>
        <item x="66"/>
        <item x="511"/>
        <item x="287"/>
        <item x="303"/>
        <item x="180"/>
        <item x="170"/>
        <item x="487"/>
        <item x="369"/>
        <item x="202"/>
        <item x="420"/>
        <item x="294"/>
        <item x="352"/>
        <item x="453"/>
        <item x="231"/>
        <item x="220"/>
        <item x="51"/>
        <item x="515"/>
        <item x="206"/>
        <item x="481"/>
        <item x="567"/>
        <item x="386"/>
        <item x="516"/>
        <item x="513"/>
        <item x="495"/>
        <item x="4"/>
        <item x="393"/>
        <item x="235"/>
        <item x="454"/>
        <item x="342"/>
        <item x="580"/>
        <item x="90"/>
        <item x="262"/>
        <item x="16"/>
        <item x="423"/>
        <item x="261"/>
        <item x="116"/>
        <item x="544"/>
        <item x="299"/>
        <item x="337"/>
        <item x="425"/>
        <item x="582"/>
        <item x="253"/>
        <item x="226"/>
        <item x="175"/>
        <item x="118"/>
        <item x="10"/>
        <item x="328"/>
        <item x="510"/>
        <item x="503"/>
        <item x="488"/>
        <item x="276"/>
        <item x="252"/>
        <item x="298"/>
        <item x="538"/>
        <item x="483"/>
        <item x="265"/>
        <item x="58"/>
        <item x="505"/>
        <item x="240"/>
        <item x="494"/>
        <item x="402"/>
        <item x="33"/>
        <item x="529"/>
        <item x="152"/>
        <item x="601"/>
        <item x="288"/>
        <item x="278"/>
        <item x="245"/>
        <item x="185"/>
        <item x="218"/>
        <item x="575"/>
        <item x="48"/>
        <item x="9"/>
        <item x="568"/>
        <item x="289"/>
        <item x="531"/>
        <item x="587"/>
        <item x="581"/>
        <item x="597"/>
        <item x="586"/>
        <item x="139"/>
        <item x="103"/>
        <item x="172"/>
        <item x="381"/>
        <item x="15"/>
        <item x="375"/>
        <item x="452"/>
        <item x="443"/>
        <item x="600"/>
        <item x="416"/>
        <item x="596"/>
        <item x="504"/>
        <item x="543"/>
        <item x="1"/>
        <item x="163"/>
        <item x="301"/>
        <item x="279"/>
        <item x="343"/>
        <item x="439"/>
        <item x="188"/>
        <item x="59"/>
        <item x="492"/>
        <item x="246"/>
        <item x="404"/>
        <item x="308"/>
        <item x="92"/>
        <item x="284"/>
        <item x="36"/>
        <item x="86"/>
        <item x="225"/>
        <item x="548"/>
        <item x="138"/>
        <item x="501"/>
        <item x="429"/>
        <item x="296"/>
        <item x="365"/>
        <item x="166"/>
        <item x="62"/>
        <item x="91"/>
        <item x="592"/>
        <item x="229"/>
        <item x="40"/>
        <item x="17"/>
        <item x="293"/>
        <item x="590"/>
        <item x="5"/>
        <item x="158"/>
        <item x="356"/>
        <item x="140"/>
        <item x="304"/>
        <item x="11"/>
        <item x="222"/>
        <item x="203"/>
        <item x="41"/>
        <item x="239"/>
        <item x="446"/>
        <item x="88"/>
        <item x="382"/>
        <item x="117"/>
        <item x="536"/>
        <item x="519"/>
        <item x="161"/>
        <item x="69"/>
        <item x="553"/>
        <item x="45"/>
        <item x="70"/>
        <item x="157"/>
        <item x="490"/>
        <item x="340"/>
        <item x="71"/>
        <item x="28"/>
        <item x="57"/>
        <item x="312"/>
        <item x="236"/>
        <item x="271"/>
        <item x="603"/>
        <item x="405"/>
        <item x="550"/>
        <item x="300"/>
        <item x="149"/>
        <item x="277"/>
        <item x="281"/>
        <item x="498"/>
        <item x="73"/>
        <item x="555"/>
        <item x="589"/>
        <item x="585"/>
        <item x="411"/>
        <item x="215"/>
        <item x="468"/>
        <item x="373"/>
        <item x="258"/>
        <item x="74"/>
        <item x="562"/>
        <item x="357"/>
        <item x="400"/>
        <item x="559"/>
        <item x="154"/>
        <item x="3"/>
        <item x="82"/>
        <item x="360"/>
        <item x="211"/>
        <item x="268"/>
        <item x="389"/>
        <item x="259"/>
        <item x="569"/>
        <item x="153"/>
        <item x="238"/>
        <item x="267"/>
        <item x="329"/>
        <item x="169"/>
        <item x="190"/>
        <item x="89"/>
        <item x="470"/>
        <item x="290"/>
        <item x="232"/>
        <item x="573"/>
        <item x="546"/>
        <item x="85"/>
        <item x="198"/>
        <item x="65"/>
        <item x="21"/>
        <item x="38"/>
        <item x="395"/>
        <item x="448"/>
        <item x="441"/>
        <item x="165"/>
        <item x="75"/>
        <item x="77"/>
        <item x="372"/>
        <item x="273"/>
        <item x="350"/>
        <item x="428"/>
        <item x="96"/>
        <item x="598"/>
        <item x="145"/>
        <item x="7"/>
        <item x="467"/>
        <item x="392"/>
        <item x="549"/>
        <item x="473"/>
        <item x="390"/>
        <item x="507"/>
        <item x="512"/>
        <item x="438"/>
        <item x="224"/>
        <item x="200"/>
        <item x="255"/>
        <item x="472"/>
        <item x="486"/>
        <item x="52"/>
        <item x="242"/>
        <item x="383"/>
        <item x="131"/>
        <item x="605"/>
        <item x="272"/>
        <item x="283"/>
        <item x="133"/>
        <item x="377"/>
        <item x="480"/>
        <item x="354"/>
        <item x="26"/>
        <item x="184"/>
        <item x="509"/>
        <item x="199"/>
        <item x="363"/>
        <item x="181"/>
        <item x="527"/>
        <item x="219"/>
        <item x="346"/>
        <item x="542"/>
        <item x="201"/>
        <item x="537"/>
        <item x="455"/>
        <item x="243"/>
        <item x="275"/>
        <item x="125"/>
        <item x="47"/>
        <item x="122"/>
        <item x="130"/>
        <item x="286"/>
        <item x="305"/>
        <item x="25"/>
        <item x="430"/>
        <item x="12"/>
        <item x="466"/>
        <item x="137"/>
        <item x="317"/>
        <item x="460"/>
        <item x="358"/>
        <item x="270"/>
        <item x="43"/>
        <item x="81"/>
        <item x="318"/>
        <item x="496"/>
        <item x="32"/>
        <item x="274"/>
        <item x="353"/>
        <item x="189"/>
        <item x="53"/>
        <item x="144"/>
        <item x="171"/>
        <item x="285"/>
        <item x="260"/>
        <item x="574"/>
        <item x="102"/>
        <item x="419"/>
        <item x="119"/>
        <item x="595"/>
        <item x="160"/>
        <item x="107"/>
        <item x="127"/>
        <item x="384"/>
        <item x="19"/>
        <item x="426"/>
        <item x="249"/>
        <item x="156"/>
        <item x="407"/>
        <item x="164"/>
        <item x="348"/>
        <item x="506"/>
        <item x="306"/>
        <item x="250"/>
        <item x="401"/>
        <item x="179"/>
        <item x="143"/>
        <item x="413"/>
        <item x="95"/>
        <item x="557"/>
        <item x="8"/>
        <item x="192"/>
        <item x="61"/>
        <item x="124"/>
        <item x="336"/>
        <item x="323"/>
        <item x="522"/>
        <item x="361"/>
        <item x="440"/>
        <item x="214"/>
        <item x="399"/>
        <item x="31"/>
        <item x="493"/>
        <item x="212"/>
        <item x="367"/>
        <item x="197"/>
        <item x="314"/>
        <item x="291"/>
        <item x="227"/>
        <item x="320"/>
        <item x="64"/>
        <item x="403"/>
        <item x="22"/>
        <item x="431"/>
        <item x="349"/>
        <item x="23"/>
        <item x="560"/>
        <item x="561"/>
        <item x="584"/>
        <item x="525"/>
        <item x="333"/>
        <item x="98"/>
        <item x="251"/>
        <item x="414"/>
        <item x="114"/>
        <item x="54"/>
        <item x="135"/>
        <item x="42"/>
        <item x="39"/>
        <item x="178"/>
        <item x="427"/>
        <item x="442"/>
        <item x="193"/>
        <item x="24"/>
        <item x="142"/>
        <item x="126"/>
        <item x="221"/>
        <item x="572"/>
        <item x="551"/>
        <item x="417"/>
        <item x="397"/>
        <item x="128"/>
        <item x="547"/>
        <item x="422"/>
        <item x="571"/>
        <item x="121"/>
        <item x="295"/>
        <item x="55"/>
        <item x="396"/>
        <item x="105"/>
        <item x="84"/>
        <item x="99"/>
        <item x="445"/>
        <item x="444"/>
        <item x="484"/>
        <item x="366"/>
        <item x="159"/>
        <item x="433"/>
        <item x="579"/>
        <item x="72"/>
        <item x="173"/>
        <item x="462"/>
        <item x="476"/>
        <item x="588"/>
        <item x="415"/>
        <item x="194"/>
        <item x="2"/>
        <item x="359"/>
        <item x="566"/>
        <item x="524"/>
        <item x="469"/>
        <item x="334"/>
        <item x="87"/>
        <item x="94"/>
        <item x="526"/>
        <item x="474"/>
        <item x="263"/>
        <item x="0"/>
        <item x="335"/>
        <item x="475"/>
        <item x="593"/>
        <item x="412"/>
        <item x="554"/>
        <item x="424"/>
        <item x="351"/>
        <item x="141"/>
        <item x="68"/>
        <item x="78"/>
        <item x="594"/>
        <item x="421"/>
        <item x="101"/>
        <item x="108"/>
        <item x="29"/>
        <item x="385"/>
        <item x="256"/>
        <item x="523"/>
        <item x="155"/>
        <item x="269"/>
        <item x="213"/>
        <item x="327"/>
        <item x="93"/>
        <item x="264"/>
        <item x="564"/>
        <item x="478"/>
        <item x="394"/>
        <item x="182"/>
        <item x="355"/>
        <item x="378"/>
        <item x="241"/>
        <item x="344"/>
        <item x="49"/>
        <item x="6"/>
        <item x="362"/>
        <item x="230"/>
        <item x="477"/>
        <item x="14"/>
        <item x="148"/>
        <item x="347"/>
        <item x="471"/>
        <item x="435"/>
        <item x="292"/>
        <item x="280"/>
        <item x="530"/>
        <item x="371"/>
        <item x="176"/>
        <item x="339"/>
        <item x="83"/>
        <item x="408"/>
        <item x="432"/>
        <item x="67"/>
        <item x="456"/>
        <item x="63"/>
        <item x="195"/>
        <item x="319"/>
        <item x="210"/>
        <item x="380"/>
        <item x="207"/>
        <item x="123"/>
        <item x="266"/>
        <item x="100"/>
        <item x="602"/>
        <item x="316"/>
        <item x="528"/>
        <item x="508"/>
        <item x="129"/>
        <item x="458"/>
        <item x="497"/>
        <item x="302"/>
        <item x="20"/>
        <item x="248"/>
        <item x="104"/>
        <item x="583"/>
        <item x="482"/>
        <item x="552"/>
        <item x="244"/>
        <item x="151"/>
        <item x="321"/>
        <item x="532"/>
        <item x="449"/>
        <item x="436"/>
        <item x="233"/>
        <item x="50"/>
        <item x="578"/>
        <item x="56"/>
        <item x="115"/>
        <item x="217"/>
        <item x="216"/>
        <item x="599"/>
        <item x="464"/>
        <item x="388"/>
        <item x="13"/>
        <item x="134"/>
        <item x="539"/>
        <item x="409"/>
        <item x="18"/>
        <item x="110"/>
        <item x="315"/>
        <item x="535"/>
        <item x="309"/>
        <item x="325"/>
        <item x="330"/>
        <item x="591"/>
        <item x="109"/>
        <item x="461"/>
        <item x="376"/>
        <item x="410"/>
        <item x="418"/>
        <item x="364"/>
        <item x="517"/>
        <item x="167"/>
        <item x="46"/>
        <item x="370"/>
        <item x="345"/>
        <item x="533"/>
        <item x="540"/>
        <item x="79"/>
        <item x="146"/>
        <item x="447"/>
        <item x="228"/>
        <item x="97"/>
        <item x="379"/>
        <item x="434"/>
        <item x="450"/>
        <item x="534"/>
        <item x="463"/>
        <item x="437"/>
        <item x="132"/>
        <item x="406"/>
        <item x="563"/>
        <item x="191"/>
        <item x="485"/>
        <item x="187"/>
        <item x="34"/>
        <item x="150"/>
        <item x="465"/>
        <item x="368"/>
        <item x="565"/>
        <item x="183"/>
        <item x="254"/>
        <item x="37"/>
        <item x="257"/>
        <item x="177"/>
        <item x="237"/>
        <item x="459"/>
        <item x="307"/>
        <item x="577"/>
        <item x="205"/>
        <item x="174"/>
        <item x="223"/>
        <item x="520"/>
        <item x="147"/>
        <item x="297"/>
        <item x="332"/>
        <item x="541"/>
        <item x="186"/>
        <item x="60"/>
        <item x="570"/>
        <item x="500"/>
        <item x="234"/>
        <item x="30"/>
        <item x="556"/>
        <item x="558"/>
        <item x="313"/>
        <item x="322"/>
        <item x="168"/>
        <item x="324"/>
        <item x="209"/>
        <item x="341"/>
        <item x="391"/>
        <item x="44"/>
        <item x="120"/>
        <item x="310"/>
        <item x="113"/>
        <item x="451"/>
        <item x="398"/>
        <item x="27"/>
        <item x="247"/>
        <item x="576"/>
        <item x="106"/>
        <item x="76"/>
        <item x="35"/>
        <item x="112"/>
        <item x="111"/>
        <item x="338"/>
        <item x="479"/>
        <item x="521"/>
        <item x="196"/>
        <item x="491"/>
        <item x="204"/>
        <item x="282"/>
        <item x="514"/>
        <item x="80"/>
        <item x="545"/>
        <item x="604"/>
        <item x="387"/>
        <item x="326"/>
        <item x="162"/>
        <item x="606"/>
        <item t="default"/>
      </items>
    </pivotField>
    <pivotField compact="0" showAll="0">
      <items count="22">
        <item x="8"/>
        <item x="2"/>
        <item x="0"/>
        <item x="7"/>
        <item x="9"/>
        <item x="11"/>
        <item x="14"/>
        <item x="4"/>
        <item x="17"/>
        <item x="12"/>
        <item x="5"/>
        <item x="3"/>
        <item x="10"/>
        <item x="1"/>
        <item x="18"/>
        <item x="19"/>
        <item x="6"/>
        <item x="16"/>
        <item x="13"/>
        <item x="15"/>
        <item x="20"/>
        <item t="default"/>
      </items>
    </pivotField>
    <pivotField compact="0" showAll="0">
      <items count="8">
        <item x="5"/>
        <item x="1"/>
        <item x="2"/>
        <item x="3"/>
        <item x="0"/>
        <item x="4"/>
        <item x="6"/>
        <item t="default"/>
      </items>
    </pivotField>
    <pivotField compact="0" showAll="0">
      <items count="8">
        <item x="2"/>
        <item x="3"/>
        <item x="0"/>
        <item x="5"/>
        <item x="1"/>
        <item x="4"/>
        <item x="6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50">
        <item x="25"/>
        <item x="23"/>
        <item x="36"/>
        <item x="32"/>
        <item x="38"/>
        <item x="5"/>
        <item x="3"/>
        <item x="42"/>
        <item x="18"/>
        <item x="28"/>
        <item x="4"/>
        <item x="27"/>
        <item x="33"/>
        <item x="13"/>
        <item x="24"/>
        <item x="10"/>
        <item x="20"/>
        <item x="31"/>
        <item x="0"/>
        <item x="9"/>
        <item x="21"/>
        <item x="11"/>
        <item x="7"/>
        <item x="6"/>
        <item x="16"/>
        <item x="8"/>
        <item x="12"/>
        <item x="2"/>
        <item x="26"/>
        <item x="43"/>
        <item x="15"/>
        <item x="1"/>
        <item x="30"/>
        <item x="37"/>
        <item x="29"/>
        <item x="34"/>
        <item x="44"/>
        <item x="22"/>
        <item x="39"/>
        <item x="40"/>
        <item x="14"/>
        <item x="46"/>
        <item x="45"/>
        <item x="17"/>
        <item x="47"/>
        <item x="41"/>
        <item x="35"/>
        <item x="19"/>
        <item x="48"/>
        <item t="default"/>
      </items>
    </pivotField>
    <pivotField compact="0" showAll="0">
      <items count="12">
        <item x="9"/>
        <item x="5"/>
        <item x="4"/>
        <item x="1"/>
        <item x="6"/>
        <item x="0"/>
        <item x="8"/>
        <item x="3"/>
        <item x="7"/>
        <item x="2"/>
        <item x="10"/>
        <item t="default"/>
      </items>
    </pivotField>
    <pivotField compact="0" showAll="0">
      <items count="639">
        <item x="548"/>
        <item x="57"/>
        <item x="202"/>
        <item x="297"/>
        <item x="486"/>
        <item x="398"/>
        <item x="259"/>
        <item x="52"/>
        <item x="525"/>
        <item x="360"/>
        <item x="497"/>
        <item x="110"/>
        <item x="495"/>
        <item x="379"/>
        <item x="267"/>
        <item x="201"/>
        <item x="36"/>
        <item x="198"/>
        <item x="484"/>
        <item x="409"/>
        <item x="269"/>
        <item x="490"/>
        <item x="536"/>
        <item x="101"/>
        <item x="575"/>
        <item x="583"/>
        <item x="620"/>
        <item x="291"/>
        <item x="39"/>
        <item x="515"/>
        <item x="359"/>
        <item x="429"/>
        <item x="69"/>
        <item x="80"/>
        <item x="157"/>
        <item x="49"/>
        <item x="517"/>
        <item x="331"/>
        <item x="199"/>
        <item x="464"/>
        <item x="344"/>
        <item x="382"/>
        <item x="420"/>
        <item x="6"/>
        <item x="164"/>
        <item x="230"/>
        <item x="483"/>
        <item x="313"/>
        <item x="143"/>
        <item x="630"/>
        <item x="262"/>
        <item x="292"/>
        <item x="263"/>
        <item x="188"/>
        <item x="34"/>
        <item x="576"/>
        <item x="98"/>
        <item x="601"/>
        <item x="330"/>
        <item x="451"/>
        <item x="26"/>
        <item x="341"/>
        <item x="533"/>
        <item x="499"/>
        <item x="414"/>
        <item x="595"/>
        <item x="122"/>
        <item x="345"/>
        <item x="56"/>
        <item x="154"/>
        <item x="433"/>
        <item x="624"/>
        <item x="443"/>
        <item x="238"/>
        <item x="58"/>
        <item x="121"/>
        <item x="541"/>
        <item x="68"/>
        <item x="485"/>
        <item x="539"/>
        <item x="526"/>
        <item x="273"/>
        <item x="192"/>
        <item x="295"/>
        <item x="14"/>
        <item x="79"/>
        <item x="247"/>
        <item x="504"/>
        <item x="19"/>
        <item x="578"/>
        <item x="415"/>
        <item x="453"/>
        <item x="78"/>
        <item x="35"/>
        <item x="127"/>
        <item x="318"/>
        <item x="327"/>
        <item x="75"/>
        <item x="60"/>
        <item x="555"/>
        <item x="489"/>
        <item x="225"/>
        <item x="614"/>
        <item x="542"/>
        <item x="530"/>
        <item x="329"/>
        <item x="100"/>
        <item x="322"/>
        <item x="362"/>
        <item x="194"/>
        <item x="337"/>
        <item x="368"/>
        <item x="596"/>
        <item x="522"/>
        <item x="424"/>
        <item x="279"/>
        <item x="299"/>
        <item x="441"/>
        <item x="214"/>
        <item x="336"/>
        <item x="145"/>
        <item x="250"/>
        <item x="119"/>
        <item x="218"/>
        <item x="231"/>
        <item x="619"/>
        <item x="264"/>
        <item x="139"/>
        <item x="298"/>
        <item x="622"/>
        <item x="240"/>
        <item x="377"/>
        <item x="394"/>
        <item x="602"/>
        <item x="251"/>
        <item x="102"/>
        <item x="554"/>
        <item x="384"/>
        <item x="160"/>
        <item x="217"/>
        <item x="315"/>
        <item x="211"/>
        <item x="468"/>
        <item x="249"/>
        <item x="63"/>
        <item x="397"/>
        <item x="149"/>
        <item x="459"/>
        <item x="162"/>
        <item x="538"/>
        <item x="507"/>
        <item x="597"/>
        <item x="386"/>
        <item x="147"/>
        <item x="608"/>
        <item x="252"/>
        <item x="514"/>
        <item x="547"/>
        <item x="163"/>
        <item x="317"/>
        <item x="77"/>
        <item x="456"/>
        <item x="207"/>
        <item x="30"/>
        <item x="446"/>
        <item x="466"/>
        <item x="235"/>
        <item x="475"/>
        <item x="215"/>
        <item x="462"/>
        <item x="366"/>
        <item x="256"/>
        <item x="17"/>
        <item x="316"/>
        <item x="135"/>
        <item x="635"/>
        <item x="421"/>
        <item x="95"/>
        <item x="228"/>
        <item x="105"/>
        <item x="274"/>
        <item x="113"/>
        <item x="544"/>
        <item x="305"/>
        <item x="457"/>
        <item x="567"/>
        <item x="328"/>
        <item x="244"/>
        <item x="106"/>
        <item x="44"/>
        <item x="350"/>
        <item x="150"/>
        <item x="148"/>
        <item x="616"/>
        <item x="227"/>
        <item x="4"/>
        <item x="178"/>
        <item x="623"/>
        <item x="426"/>
        <item x="3"/>
        <item x="129"/>
        <item x="255"/>
        <item x="503"/>
        <item x="410"/>
        <item x="557"/>
        <item x="91"/>
        <item x="42"/>
        <item x="449"/>
        <item x="471"/>
        <item x="493"/>
        <item x="599"/>
        <item x="62"/>
        <item x="482"/>
        <item x="221"/>
        <item x="210"/>
        <item x="61"/>
        <item x="540"/>
        <item x="131"/>
        <item x="506"/>
        <item x="10"/>
        <item x="85"/>
        <item x="187"/>
        <item x="592"/>
        <item x="213"/>
        <item x="627"/>
        <item x="41"/>
        <item x="342"/>
        <item x="419"/>
        <item x="427"/>
        <item x="137"/>
        <item x="197"/>
        <item x="400"/>
        <item x="365"/>
        <item x="621"/>
        <item x="219"/>
        <item x="123"/>
        <item x="392"/>
        <item x="67"/>
        <item x="521"/>
        <item x="0"/>
        <item x="613"/>
        <item x="173"/>
        <item x="287"/>
        <item x="552"/>
        <item x="204"/>
        <item x="146"/>
        <item x="436"/>
        <item x="442"/>
        <item x="354"/>
        <item x="480"/>
        <item x="610"/>
        <item x="361"/>
        <item x="93"/>
        <item x="412"/>
        <item x="153"/>
        <item x="343"/>
        <item x="174"/>
        <item x="632"/>
        <item x="474"/>
        <item x="461"/>
        <item x="28"/>
        <item x="332"/>
        <item x="519"/>
        <item x="27"/>
        <item x="282"/>
        <item x="239"/>
        <item x="463"/>
        <item x="584"/>
        <item x="390"/>
        <item x="22"/>
        <item x="284"/>
        <item x="478"/>
        <item x="588"/>
        <item x="18"/>
        <item x="498"/>
        <item x="155"/>
        <item x="559"/>
        <item x="432"/>
        <item x="25"/>
        <item x="607"/>
        <item x="612"/>
        <item x="334"/>
        <item x="367"/>
        <item x="266"/>
        <item x="109"/>
        <item x="549"/>
        <item x="465"/>
        <item x="326"/>
        <item x="356"/>
        <item x="43"/>
        <item x="545"/>
        <item x="159"/>
        <item x="54"/>
        <item x="288"/>
        <item x="389"/>
        <item x="277"/>
        <item x="312"/>
        <item x="611"/>
        <item x="296"/>
        <item x="560"/>
        <item x="529"/>
        <item x="535"/>
        <item x="9"/>
        <item x="268"/>
        <item x="65"/>
        <item x="349"/>
        <item x="180"/>
        <item x="473"/>
        <item x="120"/>
        <item x="303"/>
        <item x="222"/>
        <item x="33"/>
        <item x="487"/>
        <item x="581"/>
        <item x="55"/>
        <item x="523"/>
        <item x="294"/>
        <item x="258"/>
        <item x="417"/>
        <item x="285"/>
        <item x="562"/>
        <item x="609"/>
        <item x="82"/>
        <item x="243"/>
        <item x="524"/>
        <item x="107"/>
        <item x="629"/>
        <item x="125"/>
        <item x="369"/>
        <item x="531"/>
        <item x="358"/>
        <item x="401"/>
        <item x="5"/>
        <item x="556"/>
        <item x="598"/>
        <item x="439"/>
        <item x="189"/>
        <item x="177"/>
        <item x="168"/>
        <item x="290"/>
        <item x="94"/>
        <item x="423"/>
        <item x="375"/>
        <item x="152"/>
        <item x="96"/>
        <item x="108"/>
        <item x="378"/>
        <item x="335"/>
        <item x="527"/>
        <item x="568"/>
        <item x="437"/>
        <item x="618"/>
        <item x="229"/>
        <item x="444"/>
        <item x="425"/>
        <item x="582"/>
        <item x="128"/>
        <item x="195"/>
        <item x="276"/>
        <item x="571"/>
        <item x="553"/>
        <item x="48"/>
        <item x="347"/>
        <item x="406"/>
        <item x="200"/>
        <item x="352"/>
        <item x="223"/>
        <item x="254"/>
        <item x="15"/>
        <item x="141"/>
        <item x="142"/>
        <item x="452"/>
        <item x="182"/>
        <item x="309"/>
        <item x="579"/>
        <item x="205"/>
        <item x="590"/>
        <item x="283"/>
        <item x="138"/>
        <item x="151"/>
        <item x="450"/>
        <item x="563"/>
        <item x="11"/>
        <item x="99"/>
        <item x="272"/>
        <item x="66"/>
        <item x="51"/>
        <item x="593"/>
        <item x="564"/>
        <item x="310"/>
        <item x="133"/>
        <item x="357"/>
        <item x="301"/>
        <item x="558"/>
        <item x="438"/>
        <item x="633"/>
        <item x="496"/>
        <item x="260"/>
        <item x="166"/>
        <item x="372"/>
        <item x="134"/>
        <item x="234"/>
        <item x="124"/>
        <item x="97"/>
        <item x="185"/>
        <item x="388"/>
        <item x="190"/>
        <item x="72"/>
        <item x="300"/>
        <item x="477"/>
        <item x="383"/>
        <item x="431"/>
        <item x="338"/>
        <item x="24"/>
        <item x="40"/>
        <item x="585"/>
        <item x="165"/>
        <item x="440"/>
        <item x="631"/>
        <item x="246"/>
        <item x="23"/>
        <item x="45"/>
        <item x="257"/>
        <item x="236"/>
        <item x="407"/>
        <item x="193"/>
        <item x="156"/>
        <item x="206"/>
        <item x="224"/>
        <item x="469"/>
        <item x="511"/>
        <item x="532"/>
        <item x="71"/>
        <item x="74"/>
        <item x="339"/>
        <item x="111"/>
        <item x="509"/>
        <item x="574"/>
        <item x="550"/>
        <item x="381"/>
        <item x="117"/>
        <item x="87"/>
        <item x="628"/>
        <item x="126"/>
        <item x="591"/>
        <item x="314"/>
        <item x="304"/>
        <item x="353"/>
        <item x="566"/>
        <item x="513"/>
        <item x="600"/>
        <item x="408"/>
        <item x="594"/>
        <item x="183"/>
        <item x="351"/>
        <item x="580"/>
        <item x="411"/>
        <item x="237"/>
        <item x="374"/>
        <item x="470"/>
        <item x="293"/>
        <item x="265"/>
        <item x="53"/>
        <item x="232"/>
        <item x="270"/>
        <item x="114"/>
        <item x="586"/>
        <item x="158"/>
        <item x="454"/>
        <item x="447"/>
        <item x="92"/>
        <item x="209"/>
        <item x="226"/>
        <item x="617"/>
        <item x="376"/>
        <item x="512"/>
        <item x="434"/>
        <item x="445"/>
        <item x="320"/>
        <item x="203"/>
        <item x="422"/>
        <item x="615"/>
        <item x="587"/>
        <item x="242"/>
        <item x="233"/>
        <item x="278"/>
        <item x="76"/>
        <item x="115"/>
        <item x="589"/>
        <item x="136"/>
        <item x="29"/>
        <item x="418"/>
        <item x="90"/>
        <item x="528"/>
        <item x="380"/>
        <item x="8"/>
        <item x="458"/>
        <item x="561"/>
        <item x="306"/>
        <item x="501"/>
        <item x="333"/>
        <item x="116"/>
        <item x="572"/>
        <item x="565"/>
        <item x="500"/>
        <item x="573"/>
        <item x="625"/>
        <item x="81"/>
        <item x="488"/>
        <item x="626"/>
        <item x="363"/>
        <item x="175"/>
        <item x="516"/>
        <item x="543"/>
        <item x="1"/>
        <item x="393"/>
        <item x="73"/>
        <item x="510"/>
        <item x="181"/>
        <item x="70"/>
        <item x="577"/>
        <item x="508"/>
        <item x="494"/>
        <item x="371"/>
        <item x="184"/>
        <item x="355"/>
        <item x="186"/>
        <item x="241"/>
        <item x="280"/>
        <item x="112"/>
        <item x="405"/>
        <item x="634"/>
        <item x="546"/>
        <item x="428"/>
        <item x="286"/>
        <item x="196"/>
        <item x="161"/>
        <item x="170"/>
        <item x="395"/>
        <item x="191"/>
        <item x="59"/>
        <item x="534"/>
        <item x="321"/>
        <item x="212"/>
        <item x="551"/>
        <item x="47"/>
        <item x="416"/>
        <item x="37"/>
        <item x="140"/>
        <item x="144"/>
        <item x="104"/>
        <item x="570"/>
        <item x="103"/>
        <item x="481"/>
        <item x="50"/>
        <item x="518"/>
        <item x="208"/>
        <item x="636"/>
        <item x="275"/>
        <item x="12"/>
        <item x="404"/>
        <item x="479"/>
        <item x="467"/>
        <item x="311"/>
        <item x="319"/>
        <item x="179"/>
        <item x="86"/>
        <item x="21"/>
        <item x="20"/>
        <item x="385"/>
        <item x="289"/>
        <item x="373"/>
        <item x="413"/>
        <item x="308"/>
        <item x="16"/>
        <item x="430"/>
        <item x="220"/>
        <item x="387"/>
        <item x="46"/>
        <item x="391"/>
        <item x="537"/>
        <item x="455"/>
        <item x="167"/>
        <item x="472"/>
        <item x="606"/>
        <item x="448"/>
        <item x="399"/>
        <item x="248"/>
        <item x="118"/>
        <item x="216"/>
        <item x="569"/>
        <item x="2"/>
        <item x="307"/>
        <item x="130"/>
        <item x="64"/>
        <item x="132"/>
        <item x="38"/>
        <item x="603"/>
        <item x="32"/>
        <item x="89"/>
        <item x="253"/>
        <item x="340"/>
        <item x="323"/>
        <item x="271"/>
        <item x="83"/>
        <item x="502"/>
        <item x="505"/>
        <item x="492"/>
        <item x="435"/>
        <item x="172"/>
        <item x="348"/>
        <item x="7"/>
        <item x="324"/>
        <item x="281"/>
        <item x="346"/>
        <item x="171"/>
        <item x="176"/>
        <item x="604"/>
        <item x="370"/>
        <item x="261"/>
        <item x="88"/>
        <item x="169"/>
        <item x="325"/>
        <item x="13"/>
        <item x="605"/>
        <item x="460"/>
        <item x="31"/>
        <item x="520"/>
        <item x="396"/>
        <item x="403"/>
        <item x="491"/>
        <item x="476"/>
        <item x="245"/>
        <item x="402"/>
        <item x="302"/>
        <item x="84"/>
        <item x="364"/>
        <item x="637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22">
        <item x="1"/>
        <item x="18"/>
        <item x="5"/>
        <item x="12"/>
        <item x="15"/>
        <item x="6"/>
        <item x="14"/>
        <item x="9"/>
        <item x="2"/>
        <item x="16"/>
        <item x="19"/>
        <item x="10"/>
        <item x="3"/>
        <item x="4"/>
        <item x="7"/>
        <item x="17"/>
        <item x="13"/>
        <item x="0"/>
        <item x="11"/>
        <item x="8"/>
        <item x="20"/>
        <item t="default"/>
      </items>
    </pivotField>
    <pivotField axis="axisRow" compact="0" showAll="0">
      <items count="8">
        <item x="0"/>
        <item x="1"/>
        <item x="5"/>
        <item x="2"/>
        <item x="3"/>
        <item x="4"/>
        <item x="6"/>
        <item t="default"/>
      </items>
    </pivotField>
    <pivotField compact="0" showAll="0">
      <items count="22">
        <item x="10"/>
        <item x="0"/>
        <item x="6"/>
        <item x="4"/>
        <item x="8"/>
        <item x="19"/>
        <item x="9"/>
        <item x="5"/>
        <item x="7"/>
        <item x="1"/>
        <item x="11"/>
        <item x="12"/>
        <item x="18"/>
        <item x="2"/>
        <item x="15"/>
        <item x="14"/>
        <item x="16"/>
        <item x="17"/>
        <item x="3"/>
        <item x="13"/>
        <item x="20"/>
        <item t="default"/>
      </items>
    </pivotField>
    <pivotField compact="0" showAll="0">
      <items count="180">
        <item x="119"/>
        <item x="20"/>
        <item x="16"/>
        <item x="55"/>
        <item x="43"/>
        <item x="6"/>
        <item x="13"/>
        <item x="70"/>
        <item x="45"/>
        <item x="15"/>
        <item x="76"/>
        <item x="103"/>
        <item x="10"/>
        <item x="17"/>
        <item x="39"/>
        <item x="52"/>
        <item x="19"/>
        <item x="18"/>
        <item x="129"/>
        <item x="59"/>
        <item x="63"/>
        <item x="40"/>
        <item x="37"/>
        <item x="4"/>
        <item x="99"/>
        <item x="91"/>
        <item x="77"/>
        <item x="0"/>
        <item x="31"/>
        <item x="12"/>
        <item x="101"/>
        <item x="85"/>
        <item x="1"/>
        <item x="105"/>
        <item x="54"/>
        <item x="94"/>
        <item x="7"/>
        <item x="34"/>
        <item x="132"/>
        <item x="114"/>
        <item x="151"/>
        <item x="86"/>
        <item x="64"/>
        <item x="2"/>
        <item x="123"/>
        <item x="90"/>
        <item x="137"/>
        <item x="41"/>
        <item x="62"/>
        <item x="24"/>
        <item x="57"/>
        <item x="36"/>
        <item x="104"/>
        <item x="30"/>
        <item x="23"/>
        <item x="29"/>
        <item x="26"/>
        <item x="136"/>
        <item x="28"/>
        <item x="128"/>
        <item x="35"/>
        <item x="87"/>
        <item x="48"/>
        <item x="110"/>
        <item x="9"/>
        <item x="78"/>
        <item x="11"/>
        <item x="33"/>
        <item x="8"/>
        <item x="56"/>
        <item x="148"/>
        <item x="61"/>
        <item x="58"/>
        <item x="22"/>
        <item x="50"/>
        <item x="154"/>
        <item x="68"/>
        <item x="98"/>
        <item x="51"/>
        <item x="108"/>
        <item x="106"/>
        <item x="96"/>
        <item x="146"/>
        <item x="113"/>
        <item x="21"/>
        <item x="159"/>
        <item x="72"/>
        <item x="158"/>
        <item x="38"/>
        <item x="88"/>
        <item x="95"/>
        <item x="173"/>
        <item x="32"/>
        <item x="53"/>
        <item x="46"/>
        <item x="175"/>
        <item x="49"/>
        <item x="79"/>
        <item x="130"/>
        <item x="75"/>
        <item x="5"/>
        <item x="170"/>
        <item x="160"/>
        <item x="121"/>
        <item x="93"/>
        <item x="143"/>
        <item x="100"/>
        <item x="140"/>
        <item x="176"/>
        <item x="171"/>
        <item x="161"/>
        <item x="139"/>
        <item x="73"/>
        <item x="60"/>
        <item x="102"/>
        <item x="172"/>
        <item x="118"/>
        <item x="3"/>
        <item x="166"/>
        <item x="145"/>
        <item x="82"/>
        <item x="42"/>
        <item x="112"/>
        <item x="135"/>
        <item x="84"/>
        <item x="83"/>
        <item x="111"/>
        <item x="14"/>
        <item x="47"/>
        <item x="142"/>
        <item x="147"/>
        <item x="177"/>
        <item x="66"/>
        <item x="44"/>
        <item x="156"/>
        <item x="71"/>
        <item x="27"/>
        <item x="169"/>
        <item x="81"/>
        <item x="125"/>
        <item x="126"/>
        <item x="65"/>
        <item x="162"/>
        <item x="150"/>
        <item x="138"/>
        <item x="115"/>
        <item x="92"/>
        <item x="120"/>
        <item x="153"/>
        <item x="144"/>
        <item x="97"/>
        <item x="74"/>
        <item x="167"/>
        <item x="168"/>
        <item x="152"/>
        <item x="69"/>
        <item x="155"/>
        <item x="163"/>
        <item x="67"/>
        <item x="164"/>
        <item x="107"/>
        <item x="89"/>
        <item x="141"/>
        <item x="165"/>
        <item x="80"/>
        <item x="25"/>
        <item x="174"/>
        <item x="133"/>
        <item x="131"/>
        <item x="117"/>
        <item x="127"/>
        <item x="157"/>
        <item x="109"/>
        <item x="134"/>
        <item x="124"/>
        <item x="149"/>
        <item x="116"/>
        <item x="122"/>
        <item x="178"/>
        <item t="default"/>
      </items>
    </pivotField>
    <pivotField compact="0" showAll="0">
      <items count="180">
        <item x="119"/>
        <item x="20"/>
        <item x="16"/>
        <item x="55"/>
        <item x="43"/>
        <item x="6"/>
        <item x="13"/>
        <item x="70"/>
        <item x="45"/>
        <item x="15"/>
        <item x="76"/>
        <item x="103"/>
        <item x="10"/>
        <item x="17"/>
        <item x="39"/>
        <item x="52"/>
        <item x="19"/>
        <item x="18"/>
        <item x="129"/>
        <item x="59"/>
        <item x="63"/>
        <item x="40"/>
        <item x="37"/>
        <item x="4"/>
        <item x="99"/>
        <item x="91"/>
        <item x="77"/>
        <item x="0"/>
        <item x="31"/>
        <item x="12"/>
        <item x="101"/>
        <item x="85"/>
        <item x="1"/>
        <item x="105"/>
        <item x="54"/>
        <item x="94"/>
        <item x="7"/>
        <item x="34"/>
        <item x="132"/>
        <item x="114"/>
        <item x="151"/>
        <item x="86"/>
        <item x="64"/>
        <item x="2"/>
        <item x="123"/>
        <item x="90"/>
        <item x="137"/>
        <item x="41"/>
        <item x="62"/>
        <item x="24"/>
        <item x="57"/>
        <item x="36"/>
        <item x="104"/>
        <item x="30"/>
        <item x="23"/>
        <item x="29"/>
        <item x="26"/>
        <item x="136"/>
        <item x="28"/>
        <item x="128"/>
        <item x="35"/>
        <item x="87"/>
        <item x="48"/>
        <item x="110"/>
        <item x="9"/>
        <item x="78"/>
        <item x="11"/>
        <item x="33"/>
        <item x="8"/>
        <item x="56"/>
        <item x="148"/>
        <item x="61"/>
        <item x="58"/>
        <item x="22"/>
        <item x="50"/>
        <item x="154"/>
        <item x="68"/>
        <item x="98"/>
        <item x="51"/>
        <item x="108"/>
        <item x="106"/>
        <item x="96"/>
        <item x="146"/>
        <item x="113"/>
        <item x="21"/>
        <item x="159"/>
        <item x="72"/>
        <item x="158"/>
        <item x="38"/>
        <item x="88"/>
        <item x="95"/>
        <item x="173"/>
        <item x="32"/>
        <item x="53"/>
        <item x="46"/>
        <item x="175"/>
        <item x="49"/>
        <item x="79"/>
        <item x="130"/>
        <item x="75"/>
        <item x="5"/>
        <item x="170"/>
        <item x="160"/>
        <item x="121"/>
        <item x="93"/>
        <item x="143"/>
        <item x="100"/>
        <item x="140"/>
        <item x="176"/>
        <item x="171"/>
        <item x="161"/>
        <item x="139"/>
        <item x="73"/>
        <item x="60"/>
        <item x="102"/>
        <item x="172"/>
        <item x="118"/>
        <item x="3"/>
        <item x="166"/>
        <item x="145"/>
        <item x="82"/>
        <item x="42"/>
        <item x="112"/>
        <item x="135"/>
        <item x="84"/>
        <item x="83"/>
        <item x="111"/>
        <item x="14"/>
        <item x="47"/>
        <item x="142"/>
        <item x="147"/>
        <item x="177"/>
        <item x="66"/>
        <item x="44"/>
        <item x="156"/>
        <item x="71"/>
        <item x="27"/>
        <item x="169"/>
        <item x="81"/>
        <item x="125"/>
        <item x="126"/>
        <item x="65"/>
        <item x="162"/>
        <item x="150"/>
        <item x="138"/>
        <item x="115"/>
        <item x="92"/>
        <item x="120"/>
        <item x="153"/>
        <item x="144"/>
        <item x="97"/>
        <item x="74"/>
        <item x="167"/>
        <item x="168"/>
        <item x="152"/>
        <item x="69"/>
        <item x="155"/>
        <item x="163"/>
        <item x="67"/>
        <item x="164"/>
        <item x="107"/>
        <item x="89"/>
        <item x="141"/>
        <item x="165"/>
        <item x="80"/>
        <item x="25"/>
        <item x="174"/>
        <item x="133"/>
        <item x="131"/>
        <item x="117"/>
        <item x="127"/>
        <item x="157"/>
        <item x="109"/>
        <item x="134"/>
        <item x="124"/>
        <item x="149"/>
        <item x="116"/>
        <item x="122"/>
        <item x="178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ustomerID" fld="1" subtotal="count" baseField="0" baseItem="0"/>
  </dataFields>
  <formats count="4">
    <format dxfId="4">
      <pivotArea field="13" type="button" dataOnly="0" labelOnly="1" outline="0" fieldPosition="0"/>
    </format>
    <format dxfId="5">
      <pivotArea type="all" dataOnly="0" outline="0" fieldPosition="0"/>
    </format>
    <format dxfId="6">
      <pivotArea type="all" dataOnly="0" outline="0" fieldPosition="0"/>
    </format>
    <format dxfId="7">
      <pivotArea field="13" type="button" dataOnly="0" labelOnly="1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I3:J6" firstHeaderRow="1" firstDataRow="1" firstDataCol="1"/>
  <pivotFields count="18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dataField="1" compact="0" showAll="0">
      <items count="954">
        <item x="185"/>
        <item x="774"/>
        <item x="717"/>
        <item x="69"/>
        <item x="272"/>
        <item x="274"/>
        <item x="245"/>
        <item x="443"/>
        <item x="931"/>
        <item x="93"/>
        <item x="768"/>
        <item x="593"/>
        <item x="747"/>
        <item x="778"/>
        <item x="689"/>
        <item x="97"/>
        <item x="517"/>
        <item x="802"/>
        <item x="390"/>
        <item x="727"/>
        <item x="28"/>
        <item x="913"/>
        <item x="43"/>
        <item x="81"/>
        <item x="328"/>
        <item x="120"/>
        <item x="138"/>
        <item x="128"/>
        <item x="314"/>
        <item x="538"/>
        <item x="556"/>
        <item x="450"/>
        <item x="705"/>
        <item x="96"/>
        <item x="545"/>
        <item x="98"/>
        <item x="629"/>
        <item x="351"/>
        <item x="326"/>
        <item x="162"/>
        <item x="899"/>
        <item x="65"/>
        <item x="592"/>
        <item x="712"/>
        <item x="498"/>
        <item x="213"/>
        <item x="426"/>
        <item x="794"/>
        <item x="707"/>
        <item x="446"/>
        <item x="925"/>
        <item x="926"/>
        <item x="944"/>
        <item x="471"/>
        <item x="688"/>
        <item x="84"/>
        <item x="181"/>
        <item x="719"/>
        <item x="951"/>
        <item x="413"/>
        <item x="189"/>
        <item x="276"/>
        <item x="78"/>
        <item x="268"/>
        <item x="559"/>
        <item x="258"/>
        <item x="108"/>
        <item x="285"/>
        <item x="901"/>
        <item x="832"/>
        <item x="76"/>
        <item x="670"/>
        <item x="456"/>
        <item x="796"/>
        <item x="118"/>
        <item x="324"/>
        <item x="853"/>
        <item x="130"/>
        <item x="560"/>
        <item x="492"/>
        <item x="787"/>
        <item x="844"/>
        <item x="478"/>
        <item x="578"/>
        <item x="405"/>
        <item x="380"/>
        <item x="694"/>
        <item x="754"/>
        <item x="516"/>
        <item x="939"/>
        <item x="146"/>
        <item x="575"/>
        <item x="698"/>
        <item x="170"/>
        <item x="424"/>
        <item x="748"/>
        <item x="567"/>
        <item x="210"/>
        <item x="240"/>
        <item x="840"/>
        <item x="523"/>
        <item x="388"/>
        <item x="109"/>
        <item x="16"/>
        <item x="949"/>
        <item x="387"/>
        <item x="525"/>
        <item x="340"/>
        <item x="200"/>
        <item x="196"/>
        <item x="4"/>
        <item x="935"/>
        <item x="356"/>
        <item x="227"/>
        <item x="828"/>
        <item x="667"/>
        <item x="815"/>
        <item x="92"/>
        <item x="631"/>
        <item x="363"/>
        <item x="36"/>
        <item x="386"/>
        <item x="465"/>
        <item x="238"/>
        <item x="156"/>
        <item x="347"/>
        <item x="656"/>
        <item x="206"/>
        <item x="597"/>
        <item x="225"/>
        <item x="55"/>
        <item x="454"/>
        <item x="263"/>
        <item x="857"/>
        <item x="740"/>
        <item x="759"/>
        <item x="725"/>
        <item x="644"/>
        <item x="791"/>
        <item x="371"/>
        <item x="172"/>
        <item x="848"/>
        <item x="950"/>
        <item x="352"/>
        <item x="479"/>
        <item x="364"/>
        <item x="127"/>
        <item x="577"/>
        <item x="709"/>
        <item x="668"/>
        <item x="942"/>
        <item x="484"/>
        <item x="765"/>
        <item x="115"/>
        <item x="847"/>
        <item x="813"/>
        <item x="30"/>
        <item x="841"/>
        <item x="234"/>
        <item x="528"/>
        <item x="338"/>
        <item x="482"/>
        <item x="327"/>
        <item x="300"/>
        <item x="642"/>
        <item x="752"/>
        <item x="12"/>
        <item x="460"/>
        <item x="260"/>
        <item x="564"/>
        <item x="431"/>
        <item x="863"/>
        <item x="321"/>
        <item x="382"/>
        <item x="312"/>
        <item x="201"/>
        <item x="132"/>
        <item x="469"/>
        <item x="208"/>
        <item x="800"/>
        <item x="718"/>
        <item x="215"/>
        <item x="696"/>
        <item x="323"/>
        <item x="114"/>
        <item x="404"/>
        <item x="858"/>
        <item x="568"/>
        <item x="922"/>
        <item x="558"/>
        <item x="495"/>
        <item x="376"/>
        <item x="842"/>
        <item x="875"/>
        <item x="94"/>
        <item x="296"/>
        <item x="771"/>
        <item x="625"/>
        <item x="205"/>
        <item x="14"/>
        <item x="546"/>
        <item x="871"/>
        <item x="587"/>
        <item x="207"/>
        <item x="838"/>
        <item x="372"/>
        <item x="672"/>
        <item x="87"/>
        <item x="825"/>
        <item x="10"/>
        <item x="928"/>
        <item x="239"/>
        <item x="919"/>
        <item x="309"/>
        <item x="398"/>
        <item x="83"/>
        <item x="551"/>
        <item x="769"/>
        <item x="645"/>
        <item x="606"/>
        <item x="924"/>
        <item x="249"/>
        <item x="737"/>
        <item x="381"/>
        <item x="952"/>
        <item x="457"/>
        <item x="681"/>
        <item x="892"/>
        <item x="887"/>
        <item x="757"/>
        <item x="640"/>
        <item x="691"/>
        <item x="711"/>
        <item x="886"/>
        <item x="940"/>
        <item x="665"/>
        <item x="71"/>
        <item x="407"/>
        <item x="500"/>
        <item x="601"/>
        <item x="334"/>
        <item x="409"/>
        <item x="522"/>
        <item x="339"/>
        <item x="246"/>
        <item x="214"/>
        <item x="307"/>
        <item x="927"/>
        <item x="742"/>
        <item x="49"/>
        <item x="855"/>
        <item x="808"/>
        <item x="332"/>
        <item x="870"/>
        <item x="412"/>
        <item x="816"/>
        <item x="47"/>
        <item x="264"/>
        <item x="384"/>
        <item x="547"/>
        <item x="171"/>
        <item x="821"/>
        <item x="244"/>
        <item x="64"/>
        <item x="849"/>
        <item x="889"/>
        <item x="609"/>
        <item x="228"/>
        <item x="795"/>
        <item x="112"/>
        <item x="607"/>
        <item x="619"/>
        <item x="253"/>
        <item x="177"/>
        <item x="487"/>
        <item x="402"/>
        <item x="11"/>
        <item x="470"/>
        <item x="589"/>
        <item x="330"/>
        <item x="252"/>
        <item x="91"/>
        <item x="535"/>
        <item x="148"/>
        <item x="695"/>
        <item x="756"/>
        <item x="60"/>
        <item x="721"/>
        <item x="860"/>
        <item x="882"/>
        <item x="557"/>
        <item x="852"/>
        <item x="139"/>
        <item x="9"/>
        <item x="845"/>
        <item x="502"/>
        <item x="475"/>
        <item x="884"/>
        <item x="554"/>
        <item x="491"/>
        <item x="814"/>
        <item x="620"/>
        <item x="715"/>
        <item x="289"/>
        <item x="270"/>
        <item x="442"/>
        <item x="496"/>
        <item x="155"/>
        <item x="410"/>
        <item x="914"/>
        <item x="447"/>
        <item x="279"/>
        <item x="202"/>
        <item x="134"/>
        <item x="835"/>
        <item x="684"/>
        <item x="893"/>
        <item x="322"/>
        <item x="801"/>
        <item x="77"/>
        <item x="588"/>
        <item x="150"/>
        <item x="211"/>
        <item x="617"/>
        <item x="739"/>
        <item x="286"/>
        <item x="758"/>
        <item x="362"/>
        <item x="288"/>
        <item x="88"/>
        <item x="173"/>
        <item x="604"/>
        <item x="897"/>
        <item x="106"/>
        <item x="67"/>
        <item x="27"/>
        <item x="59"/>
        <item x="103"/>
        <item x="79"/>
        <item x="477"/>
        <item x="896"/>
        <item x="910"/>
        <item x="537"/>
        <item x="216"/>
        <item x="231"/>
        <item x="283"/>
        <item x="639"/>
        <item x="298"/>
        <item x="843"/>
        <item x="236"/>
        <item x="0"/>
        <item x="598"/>
        <item x="819"/>
        <item x="175"/>
        <item x="912"/>
        <item x="616"/>
        <item x="197"/>
        <item x="829"/>
        <item x="532"/>
        <item x="223"/>
        <item x="337"/>
        <item x="636"/>
        <item x="767"/>
        <item x="846"/>
        <item x="277"/>
        <item x="527"/>
        <item x="743"/>
        <item x="377"/>
        <item x="142"/>
        <item x="48"/>
        <item x="349"/>
        <item x="628"/>
        <item x="799"/>
        <item x="817"/>
        <item x="248"/>
        <item x="237"/>
        <item x="657"/>
        <item x="507"/>
        <item x="777"/>
        <item x="149"/>
        <item x="864"/>
        <item x="526"/>
        <item x="503"/>
        <item x="788"/>
        <item x="166"/>
        <item x="342"/>
        <item x="458"/>
        <item x="686"/>
        <item x="550"/>
        <item x="504"/>
        <item x="66"/>
        <item x="451"/>
        <item x="869"/>
        <item x="163"/>
        <item x="414"/>
        <item x="366"/>
        <item x="581"/>
        <item x="513"/>
        <item x="15"/>
        <item x="265"/>
        <item x="195"/>
        <item x="494"/>
        <item x="658"/>
        <item x="626"/>
        <item x="728"/>
        <item x="281"/>
        <item x="141"/>
        <item x="603"/>
        <item x="56"/>
        <item x="38"/>
        <item x="432"/>
        <item x="18"/>
        <item x="389"/>
        <item x="455"/>
        <item x="736"/>
        <item x="902"/>
        <item x="703"/>
        <item x="552"/>
        <item x="654"/>
        <item x="851"/>
        <item x="39"/>
        <item x="582"/>
        <item x="894"/>
        <item x="101"/>
        <item x="80"/>
        <item x="40"/>
        <item x="911"/>
        <item x="63"/>
        <item x="144"/>
        <item x="420"/>
        <item x="308"/>
        <item x="476"/>
        <item x="292"/>
        <item x="116"/>
        <item x="906"/>
        <item x="29"/>
        <item x="553"/>
        <item x="510"/>
        <item x="807"/>
        <item x="862"/>
        <item x="58"/>
        <item x="203"/>
        <item x="947"/>
        <item x="541"/>
        <item x="610"/>
        <item x="290"/>
        <item x="611"/>
        <item x="627"/>
        <item x="393"/>
        <item x="766"/>
        <item x="222"/>
        <item x="608"/>
        <item x="776"/>
        <item x="798"/>
        <item x="827"/>
        <item x="346"/>
        <item x="729"/>
        <item x="325"/>
        <item x="744"/>
        <item x="194"/>
        <item x="137"/>
        <item x="392"/>
        <item x="145"/>
        <item x="233"/>
        <item x="662"/>
        <item x="343"/>
        <item x="251"/>
        <item x="615"/>
        <item x="693"/>
        <item x="562"/>
        <item x="569"/>
        <item x="861"/>
        <item x="369"/>
        <item x="176"/>
        <item x="600"/>
        <item x="441"/>
        <item x="595"/>
        <item x="880"/>
        <item x="241"/>
        <item x="612"/>
        <item x="878"/>
        <item x="786"/>
        <item x="42"/>
        <item x="73"/>
        <item x="898"/>
        <item x="105"/>
        <item x="511"/>
        <item x="399"/>
        <item x="221"/>
        <item x="224"/>
        <item x="566"/>
        <item x="122"/>
        <item x="809"/>
        <item x="885"/>
        <item x="217"/>
        <item x="179"/>
        <item x="269"/>
        <item x="33"/>
        <item x="212"/>
        <item x="599"/>
        <item x="488"/>
        <item x="8"/>
        <item x="20"/>
        <item x="2"/>
        <item x="669"/>
        <item x="68"/>
        <item x="704"/>
        <item x="941"/>
        <item x="86"/>
        <item x="854"/>
        <item x="391"/>
        <item x="722"/>
        <item x="678"/>
        <item x="643"/>
        <item x="164"/>
        <item x="461"/>
        <item x="530"/>
        <item x="614"/>
        <item x="375"/>
        <item x="169"/>
        <item x="262"/>
        <item x="423"/>
        <item x="618"/>
        <item x="254"/>
        <item x="519"/>
        <item x="437"/>
        <item x="243"/>
        <item x="613"/>
        <item x="480"/>
        <item x="945"/>
        <item x="291"/>
        <item x="21"/>
        <item x="74"/>
        <item x="866"/>
        <item x="671"/>
        <item x="536"/>
        <item x="489"/>
        <item x="674"/>
        <item x="548"/>
        <item x="257"/>
        <item x="508"/>
        <item x="903"/>
        <item x="730"/>
        <item x="275"/>
        <item x="755"/>
        <item x="580"/>
        <item x="733"/>
        <item x="837"/>
        <item x="157"/>
        <item x="174"/>
        <item x="602"/>
        <item x="5"/>
        <item x="440"/>
        <item x="154"/>
        <item x="938"/>
        <item x="305"/>
        <item x="302"/>
        <item x="428"/>
        <item x="918"/>
        <item x="720"/>
        <item x="946"/>
        <item x="429"/>
        <item x="345"/>
        <item x="724"/>
        <item x="521"/>
        <item x="586"/>
        <item x="699"/>
        <item x="850"/>
        <item x="397"/>
        <item x="294"/>
        <item x="357"/>
        <item x="143"/>
        <item x="204"/>
        <item x="659"/>
        <item x="335"/>
        <item x="895"/>
        <item x="370"/>
        <item x="782"/>
        <item x="574"/>
        <item x="193"/>
        <item x="900"/>
        <item x="400"/>
        <item x="909"/>
        <item x="303"/>
        <item x="741"/>
        <item x="242"/>
        <item x="333"/>
        <item x="803"/>
        <item x="165"/>
        <item x="378"/>
        <item x="417"/>
        <item x="188"/>
        <item x="772"/>
        <item x="723"/>
        <item x="34"/>
        <item x="82"/>
        <item x="278"/>
        <item x="287"/>
        <item x="464"/>
        <item x="355"/>
        <item x="531"/>
        <item x="126"/>
        <item x="396"/>
        <item x="113"/>
        <item x="812"/>
        <item x="697"/>
        <item x="883"/>
        <item x="872"/>
        <item x="501"/>
        <item x="638"/>
        <item x="168"/>
        <item x="474"/>
        <item x="124"/>
        <item x="666"/>
        <item x="52"/>
        <item x="637"/>
        <item x="820"/>
        <item x="833"/>
        <item x="633"/>
        <item x="408"/>
        <item x="515"/>
        <item x="267"/>
        <item x="499"/>
        <item x="731"/>
        <item x="373"/>
        <item x="888"/>
        <item x="746"/>
        <item x="6"/>
        <item x="187"/>
        <item x="51"/>
        <item x="72"/>
        <item x="385"/>
        <item x="687"/>
        <item x="493"/>
        <item x="350"/>
        <item x="453"/>
        <item x="462"/>
        <item x="90"/>
        <item x="133"/>
        <item x="167"/>
        <item x="876"/>
        <item x="653"/>
        <item x="635"/>
        <item x="348"/>
        <item x="512"/>
        <item x="539"/>
        <item x="713"/>
        <item x="915"/>
        <item x="810"/>
        <item x="905"/>
        <item x="284"/>
        <item x="585"/>
        <item x="923"/>
        <item x="714"/>
        <item x="159"/>
        <item x="877"/>
        <item x="226"/>
        <item x="583"/>
        <item x="570"/>
        <item x="422"/>
        <item x="738"/>
        <item x="702"/>
        <item x="879"/>
        <item x="726"/>
        <item x="673"/>
        <item x="259"/>
        <item x="783"/>
        <item x="436"/>
        <item x="250"/>
        <item x="61"/>
        <item x="873"/>
        <item x="509"/>
        <item x="178"/>
        <item x="62"/>
        <item x="753"/>
        <item x="403"/>
        <item x="770"/>
        <item x="773"/>
        <item x="830"/>
        <item x="641"/>
        <item x="439"/>
        <item x="485"/>
        <item x="505"/>
        <item x="358"/>
        <item x="555"/>
        <item x="916"/>
        <item x="514"/>
        <item x="444"/>
        <item x="655"/>
        <item x="180"/>
        <item x="591"/>
        <item x="805"/>
        <item x="131"/>
        <item x="660"/>
        <item x="341"/>
        <item x="320"/>
        <item x="811"/>
        <item x="936"/>
        <item x="136"/>
        <item x="379"/>
        <item x="590"/>
        <item x="99"/>
        <item x="621"/>
        <item x="433"/>
        <item x="32"/>
        <item x="734"/>
        <item x="354"/>
        <item x="140"/>
        <item x="917"/>
        <item x="605"/>
        <item x="651"/>
        <item x="158"/>
        <item x="184"/>
        <item x="543"/>
        <item x="44"/>
        <item x="937"/>
        <item x="230"/>
        <item x="506"/>
        <item x="797"/>
        <item x="37"/>
        <item x="630"/>
        <item x="804"/>
        <item x="418"/>
        <item x="679"/>
        <item x="110"/>
        <item x="904"/>
        <item x="623"/>
        <item x="650"/>
        <item x="415"/>
        <item x="411"/>
        <item x="921"/>
        <item x="749"/>
        <item x="190"/>
        <item x="463"/>
        <item x="472"/>
        <item x="622"/>
        <item x="416"/>
        <item x="329"/>
        <item x="310"/>
        <item x="745"/>
        <item x="874"/>
        <item x="383"/>
        <item x="785"/>
        <item x="344"/>
        <item x="183"/>
        <item x="520"/>
        <item x="445"/>
        <item x="826"/>
        <item x="35"/>
        <item x="218"/>
        <item x="23"/>
        <item x="359"/>
        <item x="652"/>
        <item x="690"/>
        <item x="692"/>
        <item x="735"/>
        <item x="395"/>
        <item x="789"/>
        <item x="315"/>
        <item x="394"/>
        <item x="1"/>
        <item x="856"/>
        <item x="271"/>
        <item x="317"/>
        <item x="425"/>
        <item x="675"/>
        <item x="89"/>
        <item x="25"/>
        <item x="881"/>
        <item x="293"/>
        <item x="427"/>
        <item x="419"/>
        <item x="299"/>
        <item x="306"/>
        <item x="256"/>
        <item x="123"/>
        <item x="663"/>
        <item x="50"/>
        <item x="751"/>
        <item x="22"/>
        <item x="891"/>
        <item x="229"/>
        <item x="934"/>
        <item x="579"/>
        <item x="700"/>
        <item x="421"/>
        <item x="648"/>
        <item x="70"/>
        <item x="449"/>
        <item x="182"/>
        <item x="571"/>
        <item x="209"/>
        <item x="784"/>
        <item x="129"/>
        <item x="822"/>
        <item x="839"/>
        <item x="331"/>
        <item x="435"/>
        <item x="824"/>
        <item x="677"/>
        <item x="466"/>
        <item x="865"/>
        <item x="540"/>
        <item x="859"/>
        <item x="198"/>
        <item x="779"/>
        <item x="682"/>
        <item x="732"/>
        <item x="716"/>
        <item x="125"/>
        <item x="920"/>
        <item x="524"/>
        <item x="54"/>
        <item x="468"/>
        <item x="361"/>
        <item x="792"/>
        <item x="561"/>
        <item x="220"/>
        <item x="764"/>
        <item x="624"/>
        <item x="261"/>
        <item x="374"/>
        <item x="634"/>
        <item x="452"/>
        <item x="818"/>
        <item x="304"/>
        <item x="147"/>
        <item x="490"/>
        <item x="297"/>
        <item x="459"/>
        <item x="781"/>
        <item x="7"/>
        <item x="649"/>
        <item x="3"/>
        <item x="632"/>
        <item x="948"/>
        <item x="319"/>
        <item x="107"/>
        <item x="135"/>
        <item x="533"/>
        <item x="646"/>
        <item x="13"/>
        <item x="336"/>
        <item x="836"/>
        <item x="100"/>
        <item x="573"/>
        <item x="806"/>
        <item x="282"/>
        <item x="761"/>
        <item x="780"/>
        <item x="497"/>
        <item x="273"/>
        <item x="706"/>
        <item x="26"/>
        <item x="75"/>
        <item x="119"/>
        <item x="301"/>
        <item x="762"/>
        <item x="647"/>
        <item x="31"/>
        <item x="311"/>
        <item x="24"/>
        <item x="434"/>
        <item x="438"/>
        <item x="353"/>
        <item x="280"/>
        <item x="295"/>
        <item x="153"/>
        <item x="316"/>
        <item x="192"/>
        <item x="111"/>
        <item x="710"/>
        <item x="572"/>
        <item x="932"/>
        <item x="486"/>
        <item x="529"/>
        <item x="57"/>
        <item x="750"/>
        <item x="360"/>
        <item x="95"/>
        <item x="596"/>
        <item x="867"/>
        <item x="834"/>
        <item x="907"/>
        <item x="823"/>
        <item x="160"/>
        <item x="104"/>
        <item x="313"/>
        <item x="45"/>
        <item x="401"/>
        <item x="549"/>
        <item x="19"/>
        <item x="775"/>
        <item x="199"/>
        <item x="760"/>
        <item x="685"/>
        <item x="235"/>
        <item x="680"/>
        <item x="473"/>
        <item x="266"/>
        <item x="219"/>
        <item x="232"/>
        <item x="186"/>
        <item x="467"/>
        <item x="565"/>
        <item x="117"/>
        <item x="594"/>
        <item x="908"/>
        <item x="318"/>
        <item x="85"/>
        <item x="930"/>
        <item x="483"/>
        <item x="933"/>
        <item x="793"/>
        <item x="191"/>
        <item x="542"/>
        <item x="430"/>
        <item x="151"/>
        <item x="152"/>
        <item x="41"/>
        <item x="247"/>
        <item x="448"/>
        <item x="868"/>
        <item x="676"/>
        <item x="790"/>
        <item x="161"/>
        <item x="544"/>
        <item x="518"/>
        <item x="367"/>
        <item x="943"/>
        <item x="534"/>
        <item x="563"/>
        <item x="890"/>
        <item x="708"/>
        <item x="368"/>
        <item x="46"/>
        <item x="102"/>
        <item x="664"/>
        <item x="701"/>
        <item x="53"/>
        <item x="365"/>
        <item x="661"/>
        <item x="683"/>
        <item x="17"/>
        <item x="255"/>
        <item x="406"/>
        <item x="576"/>
        <item x="584"/>
        <item x="481"/>
        <item x="121"/>
        <item x="831"/>
        <item x="763"/>
        <item x="929"/>
        <item t="default"/>
      </items>
    </pivotField>
    <pivotField compact="0" numFmtId="182" showAll="0">
      <items count="607">
        <item x="208"/>
        <item x="457"/>
        <item x="489"/>
        <item x="518"/>
        <item x="311"/>
        <item x="331"/>
        <item x="136"/>
        <item x="374"/>
        <item x="502"/>
        <item x="499"/>
        <item x="66"/>
        <item x="511"/>
        <item x="287"/>
        <item x="303"/>
        <item x="180"/>
        <item x="170"/>
        <item x="487"/>
        <item x="369"/>
        <item x="202"/>
        <item x="420"/>
        <item x="294"/>
        <item x="352"/>
        <item x="453"/>
        <item x="231"/>
        <item x="220"/>
        <item x="51"/>
        <item x="515"/>
        <item x="206"/>
        <item x="481"/>
        <item x="567"/>
        <item x="386"/>
        <item x="516"/>
        <item x="513"/>
        <item x="495"/>
        <item x="4"/>
        <item x="393"/>
        <item x="235"/>
        <item x="454"/>
        <item x="342"/>
        <item x="580"/>
        <item x="90"/>
        <item x="262"/>
        <item x="16"/>
        <item x="423"/>
        <item x="261"/>
        <item x="116"/>
        <item x="544"/>
        <item x="299"/>
        <item x="337"/>
        <item x="425"/>
        <item x="582"/>
        <item x="253"/>
        <item x="226"/>
        <item x="175"/>
        <item x="118"/>
        <item x="10"/>
        <item x="328"/>
        <item x="510"/>
        <item x="503"/>
        <item x="488"/>
        <item x="276"/>
        <item x="252"/>
        <item x="298"/>
        <item x="538"/>
        <item x="483"/>
        <item x="265"/>
        <item x="58"/>
        <item x="505"/>
        <item x="240"/>
        <item x="494"/>
        <item x="402"/>
        <item x="33"/>
        <item x="529"/>
        <item x="152"/>
        <item x="601"/>
        <item x="288"/>
        <item x="278"/>
        <item x="245"/>
        <item x="185"/>
        <item x="218"/>
        <item x="575"/>
        <item x="48"/>
        <item x="9"/>
        <item x="568"/>
        <item x="289"/>
        <item x="531"/>
        <item x="587"/>
        <item x="581"/>
        <item x="597"/>
        <item x="586"/>
        <item x="139"/>
        <item x="103"/>
        <item x="172"/>
        <item x="381"/>
        <item x="15"/>
        <item x="375"/>
        <item x="452"/>
        <item x="443"/>
        <item x="600"/>
        <item x="416"/>
        <item x="596"/>
        <item x="504"/>
        <item x="543"/>
        <item x="1"/>
        <item x="163"/>
        <item x="301"/>
        <item x="279"/>
        <item x="343"/>
        <item x="439"/>
        <item x="188"/>
        <item x="59"/>
        <item x="492"/>
        <item x="246"/>
        <item x="404"/>
        <item x="308"/>
        <item x="92"/>
        <item x="284"/>
        <item x="36"/>
        <item x="86"/>
        <item x="225"/>
        <item x="548"/>
        <item x="138"/>
        <item x="501"/>
        <item x="429"/>
        <item x="296"/>
        <item x="365"/>
        <item x="166"/>
        <item x="62"/>
        <item x="91"/>
        <item x="592"/>
        <item x="229"/>
        <item x="40"/>
        <item x="17"/>
        <item x="293"/>
        <item x="590"/>
        <item x="5"/>
        <item x="158"/>
        <item x="356"/>
        <item x="140"/>
        <item x="304"/>
        <item x="11"/>
        <item x="222"/>
        <item x="203"/>
        <item x="41"/>
        <item x="239"/>
        <item x="446"/>
        <item x="88"/>
        <item x="382"/>
        <item x="117"/>
        <item x="536"/>
        <item x="519"/>
        <item x="161"/>
        <item x="69"/>
        <item x="553"/>
        <item x="45"/>
        <item x="70"/>
        <item x="157"/>
        <item x="490"/>
        <item x="340"/>
        <item x="71"/>
        <item x="28"/>
        <item x="57"/>
        <item x="312"/>
        <item x="236"/>
        <item x="271"/>
        <item x="603"/>
        <item x="405"/>
        <item x="550"/>
        <item x="300"/>
        <item x="149"/>
        <item x="277"/>
        <item x="281"/>
        <item x="498"/>
        <item x="73"/>
        <item x="555"/>
        <item x="589"/>
        <item x="585"/>
        <item x="411"/>
        <item x="215"/>
        <item x="468"/>
        <item x="373"/>
        <item x="258"/>
        <item x="74"/>
        <item x="562"/>
        <item x="357"/>
        <item x="400"/>
        <item x="559"/>
        <item x="154"/>
        <item x="3"/>
        <item x="82"/>
        <item x="360"/>
        <item x="211"/>
        <item x="268"/>
        <item x="389"/>
        <item x="259"/>
        <item x="569"/>
        <item x="153"/>
        <item x="238"/>
        <item x="267"/>
        <item x="329"/>
        <item x="169"/>
        <item x="190"/>
        <item x="89"/>
        <item x="470"/>
        <item x="290"/>
        <item x="232"/>
        <item x="573"/>
        <item x="546"/>
        <item x="85"/>
        <item x="198"/>
        <item x="65"/>
        <item x="21"/>
        <item x="38"/>
        <item x="395"/>
        <item x="448"/>
        <item x="441"/>
        <item x="165"/>
        <item x="75"/>
        <item x="77"/>
        <item x="372"/>
        <item x="273"/>
        <item x="350"/>
        <item x="428"/>
        <item x="96"/>
        <item x="598"/>
        <item x="145"/>
        <item x="7"/>
        <item x="467"/>
        <item x="392"/>
        <item x="549"/>
        <item x="473"/>
        <item x="390"/>
        <item x="507"/>
        <item x="512"/>
        <item x="438"/>
        <item x="224"/>
        <item x="200"/>
        <item x="255"/>
        <item x="472"/>
        <item x="486"/>
        <item x="52"/>
        <item x="242"/>
        <item x="383"/>
        <item x="131"/>
        <item x="605"/>
        <item x="272"/>
        <item x="283"/>
        <item x="133"/>
        <item x="377"/>
        <item x="480"/>
        <item x="354"/>
        <item x="26"/>
        <item x="184"/>
        <item x="509"/>
        <item x="199"/>
        <item x="363"/>
        <item x="181"/>
        <item x="527"/>
        <item x="219"/>
        <item x="346"/>
        <item x="542"/>
        <item x="201"/>
        <item x="537"/>
        <item x="455"/>
        <item x="243"/>
        <item x="275"/>
        <item x="125"/>
        <item x="47"/>
        <item x="122"/>
        <item x="130"/>
        <item x="286"/>
        <item x="305"/>
        <item x="25"/>
        <item x="430"/>
        <item x="12"/>
        <item x="466"/>
        <item x="137"/>
        <item x="317"/>
        <item x="460"/>
        <item x="358"/>
        <item x="270"/>
        <item x="43"/>
        <item x="81"/>
        <item x="318"/>
        <item x="496"/>
        <item x="32"/>
        <item x="274"/>
        <item x="353"/>
        <item x="189"/>
        <item x="53"/>
        <item x="144"/>
        <item x="171"/>
        <item x="285"/>
        <item x="260"/>
        <item x="574"/>
        <item x="102"/>
        <item x="419"/>
        <item x="119"/>
        <item x="595"/>
        <item x="160"/>
        <item x="107"/>
        <item x="127"/>
        <item x="384"/>
        <item x="19"/>
        <item x="426"/>
        <item x="249"/>
        <item x="156"/>
        <item x="407"/>
        <item x="164"/>
        <item x="348"/>
        <item x="506"/>
        <item x="306"/>
        <item x="250"/>
        <item x="401"/>
        <item x="179"/>
        <item x="143"/>
        <item x="413"/>
        <item x="95"/>
        <item x="557"/>
        <item x="8"/>
        <item x="192"/>
        <item x="61"/>
        <item x="124"/>
        <item x="336"/>
        <item x="323"/>
        <item x="522"/>
        <item x="361"/>
        <item x="440"/>
        <item x="214"/>
        <item x="399"/>
        <item x="31"/>
        <item x="493"/>
        <item x="212"/>
        <item x="367"/>
        <item x="197"/>
        <item x="314"/>
        <item x="291"/>
        <item x="227"/>
        <item x="320"/>
        <item x="64"/>
        <item x="403"/>
        <item x="22"/>
        <item x="431"/>
        <item x="349"/>
        <item x="23"/>
        <item x="560"/>
        <item x="561"/>
        <item x="584"/>
        <item x="525"/>
        <item x="333"/>
        <item x="98"/>
        <item x="251"/>
        <item x="414"/>
        <item x="114"/>
        <item x="54"/>
        <item x="135"/>
        <item x="42"/>
        <item x="39"/>
        <item x="178"/>
        <item x="427"/>
        <item x="442"/>
        <item x="193"/>
        <item x="24"/>
        <item x="142"/>
        <item x="126"/>
        <item x="221"/>
        <item x="572"/>
        <item x="551"/>
        <item x="417"/>
        <item x="397"/>
        <item x="128"/>
        <item x="547"/>
        <item x="422"/>
        <item x="571"/>
        <item x="121"/>
        <item x="295"/>
        <item x="55"/>
        <item x="396"/>
        <item x="105"/>
        <item x="84"/>
        <item x="99"/>
        <item x="445"/>
        <item x="444"/>
        <item x="484"/>
        <item x="366"/>
        <item x="159"/>
        <item x="433"/>
        <item x="579"/>
        <item x="72"/>
        <item x="173"/>
        <item x="462"/>
        <item x="476"/>
        <item x="588"/>
        <item x="415"/>
        <item x="194"/>
        <item x="2"/>
        <item x="359"/>
        <item x="566"/>
        <item x="524"/>
        <item x="469"/>
        <item x="334"/>
        <item x="87"/>
        <item x="94"/>
        <item x="526"/>
        <item x="474"/>
        <item x="263"/>
        <item x="0"/>
        <item x="335"/>
        <item x="475"/>
        <item x="593"/>
        <item x="412"/>
        <item x="554"/>
        <item x="424"/>
        <item x="351"/>
        <item x="141"/>
        <item x="68"/>
        <item x="78"/>
        <item x="594"/>
        <item x="421"/>
        <item x="101"/>
        <item x="108"/>
        <item x="29"/>
        <item x="385"/>
        <item x="256"/>
        <item x="523"/>
        <item x="155"/>
        <item x="269"/>
        <item x="213"/>
        <item x="327"/>
        <item x="93"/>
        <item x="264"/>
        <item x="564"/>
        <item x="478"/>
        <item x="394"/>
        <item x="182"/>
        <item x="355"/>
        <item x="378"/>
        <item x="241"/>
        <item x="344"/>
        <item x="49"/>
        <item x="6"/>
        <item x="362"/>
        <item x="230"/>
        <item x="477"/>
        <item x="14"/>
        <item x="148"/>
        <item x="347"/>
        <item x="471"/>
        <item x="435"/>
        <item x="292"/>
        <item x="280"/>
        <item x="530"/>
        <item x="371"/>
        <item x="176"/>
        <item x="339"/>
        <item x="83"/>
        <item x="408"/>
        <item x="432"/>
        <item x="67"/>
        <item x="456"/>
        <item x="63"/>
        <item x="195"/>
        <item x="319"/>
        <item x="210"/>
        <item x="380"/>
        <item x="207"/>
        <item x="123"/>
        <item x="266"/>
        <item x="100"/>
        <item x="602"/>
        <item x="316"/>
        <item x="528"/>
        <item x="508"/>
        <item x="129"/>
        <item x="458"/>
        <item x="497"/>
        <item x="302"/>
        <item x="20"/>
        <item x="248"/>
        <item x="104"/>
        <item x="583"/>
        <item x="482"/>
        <item x="552"/>
        <item x="244"/>
        <item x="151"/>
        <item x="321"/>
        <item x="532"/>
        <item x="449"/>
        <item x="436"/>
        <item x="233"/>
        <item x="50"/>
        <item x="578"/>
        <item x="56"/>
        <item x="115"/>
        <item x="217"/>
        <item x="216"/>
        <item x="599"/>
        <item x="464"/>
        <item x="388"/>
        <item x="13"/>
        <item x="134"/>
        <item x="539"/>
        <item x="409"/>
        <item x="18"/>
        <item x="110"/>
        <item x="315"/>
        <item x="535"/>
        <item x="309"/>
        <item x="325"/>
        <item x="330"/>
        <item x="591"/>
        <item x="109"/>
        <item x="461"/>
        <item x="376"/>
        <item x="410"/>
        <item x="418"/>
        <item x="364"/>
        <item x="517"/>
        <item x="167"/>
        <item x="46"/>
        <item x="370"/>
        <item x="345"/>
        <item x="533"/>
        <item x="540"/>
        <item x="79"/>
        <item x="146"/>
        <item x="447"/>
        <item x="228"/>
        <item x="97"/>
        <item x="379"/>
        <item x="434"/>
        <item x="450"/>
        <item x="534"/>
        <item x="463"/>
        <item x="437"/>
        <item x="132"/>
        <item x="406"/>
        <item x="563"/>
        <item x="191"/>
        <item x="485"/>
        <item x="187"/>
        <item x="34"/>
        <item x="150"/>
        <item x="465"/>
        <item x="368"/>
        <item x="565"/>
        <item x="183"/>
        <item x="254"/>
        <item x="37"/>
        <item x="257"/>
        <item x="177"/>
        <item x="237"/>
        <item x="459"/>
        <item x="307"/>
        <item x="577"/>
        <item x="205"/>
        <item x="174"/>
        <item x="223"/>
        <item x="520"/>
        <item x="147"/>
        <item x="297"/>
        <item x="332"/>
        <item x="541"/>
        <item x="186"/>
        <item x="60"/>
        <item x="570"/>
        <item x="500"/>
        <item x="234"/>
        <item x="30"/>
        <item x="556"/>
        <item x="558"/>
        <item x="313"/>
        <item x="322"/>
        <item x="168"/>
        <item x="324"/>
        <item x="209"/>
        <item x="341"/>
        <item x="391"/>
        <item x="44"/>
        <item x="120"/>
        <item x="310"/>
        <item x="113"/>
        <item x="451"/>
        <item x="398"/>
        <item x="27"/>
        <item x="247"/>
        <item x="576"/>
        <item x="106"/>
        <item x="76"/>
        <item x="35"/>
        <item x="112"/>
        <item x="111"/>
        <item x="338"/>
        <item x="479"/>
        <item x="521"/>
        <item x="196"/>
        <item x="491"/>
        <item x="204"/>
        <item x="282"/>
        <item x="514"/>
        <item x="80"/>
        <item x="545"/>
        <item x="604"/>
        <item x="387"/>
        <item x="326"/>
        <item x="162"/>
        <item t="default"/>
      </items>
    </pivotField>
    <pivotField compact="0" showAll="0">
      <items count="21">
        <item x="8"/>
        <item x="2"/>
        <item x="0"/>
        <item x="7"/>
        <item x="9"/>
        <item x="11"/>
        <item x="14"/>
        <item x="4"/>
        <item x="17"/>
        <item x="12"/>
        <item x="5"/>
        <item x="3"/>
        <item x="10"/>
        <item x="1"/>
        <item x="18"/>
        <item x="19"/>
        <item x="6"/>
        <item x="16"/>
        <item x="13"/>
        <item x="15"/>
        <item t="default"/>
      </items>
    </pivotField>
    <pivotField compact="0" showAll="0">
      <items count="7">
        <item x="5"/>
        <item x="1"/>
        <item x="2"/>
        <item x="3"/>
        <item x="0"/>
        <item x="4"/>
        <item t="default"/>
      </items>
    </pivotField>
    <pivotField compact="0" showAll="0">
      <items count="7">
        <item x="2"/>
        <item x="3"/>
        <item x="0"/>
        <item x="5"/>
        <item x="1"/>
        <item x="4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49">
        <item x="25"/>
        <item x="23"/>
        <item x="36"/>
        <item x="32"/>
        <item x="38"/>
        <item x="5"/>
        <item x="3"/>
        <item x="42"/>
        <item x="18"/>
        <item x="28"/>
        <item x="4"/>
        <item x="27"/>
        <item x="33"/>
        <item x="13"/>
        <item x="24"/>
        <item x="10"/>
        <item x="20"/>
        <item x="31"/>
        <item x="0"/>
        <item x="9"/>
        <item x="21"/>
        <item x="11"/>
        <item x="7"/>
        <item x="6"/>
        <item x="16"/>
        <item x="8"/>
        <item x="12"/>
        <item x="2"/>
        <item x="26"/>
        <item x="43"/>
        <item x="15"/>
        <item x="1"/>
        <item x="30"/>
        <item x="37"/>
        <item x="29"/>
        <item x="34"/>
        <item x="44"/>
        <item x="22"/>
        <item x="39"/>
        <item x="40"/>
        <item x="14"/>
        <item x="46"/>
        <item x="45"/>
        <item x="17"/>
        <item x="47"/>
        <item x="41"/>
        <item x="35"/>
        <item x="19"/>
        <item t="default"/>
      </items>
    </pivotField>
    <pivotField compact="0" showAll="0">
      <items count="11">
        <item x="9"/>
        <item x="5"/>
        <item x="4"/>
        <item x="1"/>
        <item x="6"/>
        <item x="0"/>
        <item x="8"/>
        <item x="3"/>
        <item x="7"/>
        <item x="2"/>
        <item t="default"/>
      </items>
    </pivotField>
    <pivotField compact="0" numFmtId="182" showAll="0">
      <items count="638">
        <item x="548"/>
        <item x="57"/>
        <item x="202"/>
        <item x="297"/>
        <item x="486"/>
        <item x="398"/>
        <item x="259"/>
        <item x="52"/>
        <item x="525"/>
        <item x="360"/>
        <item x="497"/>
        <item x="110"/>
        <item x="495"/>
        <item x="379"/>
        <item x="267"/>
        <item x="201"/>
        <item x="36"/>
        <item x="198"/>
        <item x="484"/>
        <item x="409"/>
        <item x="269"/>
        <item x="490"/>
        <item x="536"/>
        <item x="101"/>
        <item x="575"/>
        <item x="583"/>
        <item x="620"/>
        <item x="291"/>
        <item x="39"/>
        <item x="515"/>
        <item x="359"/>
        <item x="429"/>
        <item x="69"/>
        <item x="80"/>
        <item x="157"/>
        <item x="49"/>
        <item x="517"/>
        <item x="331"/>
        <item x="199"/>
        <item x="464"/>
        <item x="344"/>
        <item x="382"/>
        <item x="420"/>
        <item x="6"/>
        <item x="164"/>
        <item x="230"/>
        <item x="483"/>
        <item x="313"/>
        <item x="143"/>
        <item x="630"/>
        <item x="262"/>
        <item x="292"/>
        <item x="263"/>
        <item x="188"/>
        <item x="34"/>
        <item x="576"/>
        <item x="98"/>
        <item x="601"/>
        <item x="330"/>
        <item x="451"/>
        <item x="26"/>
        <item x="341"/>
        <item x="533"/>
        <item x="499"/>
        <item x="414"/>
        <item x="595"/>
        <item x="122"/>
        <item x="345"/>
        <item x="56"/>
        <item x="154"/>
        <item x="433"/>
        <item x="624"/>
        <item x="443"/>
        <item x="238"/>
        <item x="58"/>
        <item x="121"/>
        <item x="541"/>
        <item x="68"/>
        <item x="485"/>
        <item x="539"/>
        <item x="526"/>
        <item x="273"/>
        <item x="192"/>
        <item x="295"/>
        <item x="14"/>
        <item x="79"/>
        <item x="247"/>
        <item x="504"/>
        <item x="19"/>
        <item x="578"/>
        <item x="415"/>
        <item x="453"/>
        <item x="78"/>
        <item x="35"/>
        <item x="127"/>
        <item x="318"/>
        <item x="327"/>
        <item x="75"/>
        <item x="60"/>
        <item x="555"/>
        <item x="489"/>
        <item x="225"/>
        <item x="614"/>
        <item x="542"/>
        <item x="530"/>
        <item x="329"/>
        <item x="100"/>
        <item x="322"/>
        <item x="362"/>
        <item x="194"/>
        <item x="337"/>
        <item x="368"/>
        <item x="596"/>
        <item x="522"/>
        <item x="424"/>
        <item x="279"/>
        <item x="299"/>
        <item x="441"/>
        <item x="214"/>
        <item x="336"/>
        <item x="145"/>
        <item x="250"/>
        <item x="119"/>
        <item x="218"/>
        <item x="231"/>
        <item x="619"/>
        <item x="264"/>
        <item x="139"/>
        <item x="298"/>
        <item x="622"/>
        <item x="240"/>
        <item x="377"/>
        <item x="394"/>
        <item x="602"/>
        <item x="251"/>
        <item x="102"/>
        <item x="554"/>
        <item x="384"/>
        <item x="160"/>
        <item x="217"/>
        <item x="315"/>
        <item x="211"/>
        <item x="468"/>
        <item x="249"/>
        <item x="63"/>
        <item x="397"/>
        <item x="149"/>
        <item x="459"/>
        <item x="162"/>
        <item x="538"/>
        <item x="507"/>
        <item x="597"/>
        <item x="386"/>
        <item x="147"/>
        <item x="608"/>
        <item x="252"/>
        <item x="514"/>
        <item x="547"/>
        <item x="163"/>
        <item x="317"/>
        <item x="77"/>
        <item x="456"/>
        <item x="207"/>
        <item x="30"/>
        <item x="446"/>
        <item x="466"/>
        <item x="235"/>
        <item x="475"/>
        <item x="215"/>
        <item x="462"/>
        <item x="366"/>
        <item x="256"/>
        <item x="17"/>
        <item x="316"/>
        <item x="135"/>
        <item x="635"/>
        <item x="421"/>
        <item x="95"/>
        <item x="228"/>
        <item x="105"/>
        <item x="274"/>
        <item x="113"/>
        <item x="544"/>
        <item x="305"/>
        <item x="457"/>
        <item x="567"/>
        <item x="328"/>
        <item x="244"/>
        <item x="106"/>
        <item x="44"/>
        <item x="350"/>
        <item x="150"/>
        <item x="148"/>
        <item x="616"/>
        <item x="227"/>
        <item x="4"/>
        <item x="178"/>
        <item x="623"/>
        <item x="426"/>
        <item x="3"/>
        <item x="129"/>
        <item x="255"/>
        <item x="503"/>
        <item x="410"/>
        <item x="557"/>
        <item x="91"/>
        <item x="42"/>
        <item x="449"/>
        <item x="471"/>
        <item x="493"/>
        <item x="599"/>
        <item x="62"/>
        <item x="482"/>
        <item x="221"/>
        <item x="210"/>
        <item x="61"/>
        <item x="540"/>
        <item x="131"/>
        <item x="506"/>
        <item x="10"/>
        <item x="85"/>
        <item x="187"/>
        <item x="592"/>
        <item x="213"/>
        <item x="627"/>
        <item x="41"/>
        <item x="342"/>
        <item x="419"/>
        <item x="427"/>
        <item x="137"/>
        <item x="197"/>
        <item x="400"/>
        <item x="365"/>
        <item x="621"/>
        <item x="219"/>
        <item x="123"/>
        <item x="392"/>
        <item x="67"/>
        <item x="521"/>
        <item x="0"/>
        <item x="613"/>
        <item x="173"/>
        <item x="287"/>
        <item x="552"/>
        <item x="204"/>
        <item x="146"/>
        <item x="436"/>
        <item x="442"/>
        <item x="354"/>
        <item x="480"/>
        <item x="610"/>
        <item x="361"/>
        <item x="93"/>
        <item x="412"/>
        <item x="153"/>
        <item x="343"/>
        <item x="174"/>
        <item x="632"/>
        <item x="474"/>
        <item x="461"/>
        <item x="28"/>
        <item x="332"/>
        <item x="519"/>
        <item x="27"/>
        <item x="282"/>
        <item x="239"/>
        <item x="463"/>
        <item x="584"/>
        <item x="390"/>
        <item x="22"/>
        <item x="284"/>
        <item x="478"/>
        <item x="588"/>
        <item x="18"/>
        <item x="498"/>
        <item x="155"/>
        <item x="559"/>
        <item x="432"/>
        <item x="25"/>
        <item x="607"/>
        <item x="612"/>
        <item x="334"/>
        <item x="367"/>
        <item x="266"/>
        <item x="109"/>
        <item x="549"/>
        <item x="465"/>
        <item x="326"/>
        <item x="356"/>
        <item x="43"/>
        <item x="545"/>
        <item x="159"/>
        <item x="54"/>
        <item x="288"/>
        <item x="389"/>
        <item x="277"/>
        <item x="312"/>
        <item x="611"/>
        <item x="296"/>
        <item x="560"/>
        <item x="529"/>
        <item x="535"/>
        <item x="9"/>
        <item x="268"/>
        <item x="65"/>
        <item x="349"/>
        <item x="180"/>
        <item x="473"/>
        <item x="120"/>
        <item x="303"/>
        <item x="222"/>
        <item x="33"/>
        <item x="487"/>
        <item x="581"/>
        <item x="55"/>
        <item x="523"/>
        <item x="294"/>
        <item x="258"/>
        <item x="417"/>
        <item x="285"/>
        <item x="562"/>
        <item x="609"/>
        <item x="82"/>
        <item x="243"/>
        <item x="524"/>
        <item x="107"/>
        <item x="629"/>
        <item x="125"/>
        <item x="369"/>
        <item x="531"/>
        <item x="358"/>
        <item x="401"/>
        <item x="5"/>
        <item x="556"/>
        <item x="598"/>
        <item x="439"/>
        <item x="189"/>
        <item x="177"/>
        <item x="168"/>
        <item x="290"/>
        <item x="94"/>
        <item x="423"/>
        <item x="375"/>
        <item x="152"/>
        <item x="96"/>
        <item x="108"/>
        <item x="378"/>
        <item x="335"/>
        <item x="527"/>
        <item x="568"/>
        <item x="437"/>
        <item x="618"/>
        <item x="229"/>
        <item x="444"/>
        <item x="425"/>
        <item x="582"/>
        <item x="128"/>
        <item x="195"/>
        <item x="276"/>
        <item x="571"/>
        <item x="553"/>
        <item x="48"/>
        <item x="347"/>
        <item x="406"/>
        <item x="200"/>
        <item x="352"/>
        <item x="223"/>
        <item x="254"/>
        <item x="15"/>
        <item x="141"/>
        <item x="142"/>
        <item x="452"/>
        <item x="182"/>
        <item x="309"/>
        <item x="579"/>
        <item x="205"/>
        <item x="590"/>
        <item x="283"/>
        <item x="138"/>
        <item x="151"/>
        <item x="450"/>
        <item x="563"/>
        <item x="11"/>
        <item x="99"/>
        <item x="272"/>
        <item x="66"/>
        <item x="51"/>
        <item x="593"/>
        <item x="564"/>
        <item x="310"/>
        <item x="133"/>
        <item x="357"/>
        <item x="301"/>
        <item x="558"/>
        <item x="438"/>
        <item x="633"/>
        <item x="496"/>
        <item x="260"/>
        <item x="166"/>
        <item x="372"/>
        <item x="134"/>
        <item x="234"/>
        <item x="124"/>
        <item x="97"/>
        <item x="185"/>
        <item x="388"/>
        <item x="190"/>
        <item x="72"/>
        <item x="300"/>
        <item x="477"/>
        <item x="383"/>
        <item x="431"/>
        <item x="338"/>
        <item x="24"/>
        <item x="40"/>
        <item x="585"/>
        <item x="165"/>
        <item x="440"/>
        <item x="631"/>
        <item x="246"/>
        <item x="23"/>
        <item x="45"/>
        <item x="257"/>
        <item x="236"/>
        <item x="407"/>
        <item x="193"/>
        <item x="156"/>
        <item x="206"/>
        <item x="224"/>
        <item x="469"/>
        <item x="511"/>
        <item x="532"/>
        <item x="71"/>
        <item x="74"/>
        <item x="339"/>
        <item x="111"/>
        <item x="509"/>
        <item x="574"/>
        <item x="550"/>
        <item x="381"/>
        <item x="117"/>
        <item x="87"/>
        <item x="628"/>
        <item x="126"/>
        <item x="591"/>
        <item x="314"/>
        <item x="304"/>
        <item x="353"/>
        <item x="566"/>
        <item x="513"/>
        <item x="600"/>
        <item x="408"/>
        <item x="594"/>
        <item x="183"/>
        <item x="351"/>
        <item x="580"/>
        <item x="411"/>
        <item x="237"/>
        <item x="374"/>
        <item x="470"/>
        <item x="293"/>
        <item x="265"/>
        <item x="53"/>
        <item x="232"/>
        <item x="270"/>
        <item x="114"/>
        <item x="586"/>
        <item x="158"/>
        <item x="454"/>
        <item x="447"/>
        <item x="92"/>
        <item x="209"/>
        <item x="226"/>
        <item x="617"/>
        <item x="376"/>
        <item x="512"/>
        <item x="434"/>
        <item x="445"/>
        <item x="320"/>
        <item x="203"/>
        <item x="422"/>
        <item x="615"/>
        <item x="587"/>
        <item x="242"/>
        <item x="233"/>
        <item x="278"/>
        <item x="76"/>
        <item x="115"/>
        <item x="589"/>
        <item x="136"/>
        <item x="29"/>
        <item x="418"/>
        <item x="90"/>
        <item x="528"/>
        <item x="380"/>
        <item x="8"/>
        <item x="458"/>
        <item x="561"/>
        <item x="306"/>
        <item x="501"/>
        <item x="333"/>
        <item x="116"/>
        <item x="572"/>
        <item x="565"/>
        <item x="500"/>
        <item x="573"/>
        <item x="625"/>
        <item x="81"/>
        <item x="488"/>
        <item x="626"/>
        <item x="363"/>
        <item x="175"/>
        <item x="516"/>
        <item x="543"/>
        <item x="1"/>
        <item x="393"/>
        <item x="73"/>
        <item x="510"/>
        <item x="181"/>
        <item x="70"/>
        <item x="577"/>
        <item x="508"/>
        <item x="494"/>
        <item x="371"/>
        <item x="184"/>
        <item x="355"/>
        <item x="186"/>
        <item x="241"/>
        <item x="280"/>
        <item x="112"/>
        <item x="405"/>
        <item x="634"/>
        <item x="546"/>
        <item x="428"/>
        <item x="286"/>
        <item x="196"/>
        <item x="161"/>
        <item x="170"/>
        <item x="395"/>
        <item x="191"/>
        <item x="59"/>
        <item x="534"/>
        <item x="321"/>
        <item x="212"/>
        <item x="551"/>
        <item x="47"/>
        <item x="416"/>
        <item x="37"/>
        <item x="140"/>
        <item x="144"/>
        <item x="104"/>
        <item x="570"/>
        <item x="103"/>
        <item x="481"/>
        <item x="50"/>
        <item x="518"/>
        <item x="208"/>
        <item x="636"/>
        <item x="275"/>
        <item x="12"/>
        <item x="404"/>
        <item x="479"/>
        <item x="467"/>
        <item x="311"/>
        <item x="319"/>
        <item x="179"/>
        <item x="86"/>
        <item x="21"/>
        <item x="20"/>
        <item x="385"/>
        <item x="289"/>
        <item x="373"/>
        <item x="413"/>
        <item x="308"/>
        <item x="16"/>
        <item x="430"/>
        <item x="220"/>
        <item x="387"/>
        <item x="46"/>
        <item x="391"/>
        <item x="537"/>
        <item x="455"/>
        <item x="167"/>
        <item x="472"/>
        <item x="606"/>
        <item x="448"/>
        <item x="399"/>
        <item x="248"/>
        <item x="118"/>
        <item x="216"/>
        <item x="569"/>
        <item x="2"/>
        <item x="307"/>
        <item x="130"/>
        <item x="64"/>
        <item x="132"/>
        <item x="38"/>
        <item x="603"/>
        <item x="32"/>
        <item x="89"/>
        <item x="253"/>
        <item x="340"/>
        <item x="323"/>
        <item x="271"/>
        <item x="83"/>
        <item x="502"/>
        <item x="505"/>
        <item x="492"/>
        <item x="435"/>
        <item x="172"/>
        <item x="348"/>
        <item x="7"/>
        <item x="324"/>
        <item x="281"/>
        <item x="346"/>
        <item x="171"/>
        <item x="176"/>
        <item x="604"/>
        <item x="370"/>
        <item x="261"/>
        <item x="88"/>
        <item x="169"/>
        <item x="325"/>
        <item x="13"/>
        <item x="605"/>
        <item x="460"/>
        <item x="31"/>
        <item x="520"/>
        <item x="396"/>
        <item x="403"/>
        <item x="491"/>
        <item x="476"/>
        <item x="245"/>
        <item x="402"/>
        <item x="302"/>
        <item x="84"/>
        <item x="364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1">
        <item x="1"/>
        <item x="18"/>
        <item x="5"/>
        <item x="12"/>
        <item x="15"/>
        <item x="6"/>
        <item x="14"/>
        <item x="9"/>
        <item x="2"/>
        <item x="16"/>
        <item x="19"/>
        <item x="10"/>
        <item x="3"/>
        <item x="4"/>
        <item x="7"/>
        <item x="17"/>
        <item x="13"/>
        <item x="0"/>
        <item x="11"/>
        <item x="8"/>
        <item t="default"/>
      </items>
    </pivotField>
    <pivotField compact="0" showAll="0">
      <items count="7">
        <item x="0"/>
        <item x="1"/>
        <item x="5"/>
        <item x="2"/>
        <item x="3"/>
        <item x="4"/>
        <item t="default"/>
      </items>
    </pivotField>
    <pivotField compact="0" showAll="0">
      <items count="21">
        <item x="10"/>
        <item x="0"/>
        <item x="6"/>
        <item x="4"/>
        <item x="8"/>
        <item x="19"/>
        <item x="9"/>
        <item x="5"/>
        <item x="7"/>
        <item x="1"/>
        <item x="11"/>
        <item x="12"/>
        <item x="18"/>
        <item x="2"/>
        <item x="15"/>
        <item x="14"/>
        <item x="16"/>
        <item x="17"/>
        <item x="3"/>
        <item x="13"/>
        <item t="default"/>
      </items>
    </pivotField>
    <pivotField compact="0" showAll="0">
      <items count="179">
        <item x="119"/>
        <item x="20"/>
        <item x="16"/>
        <item x="55"/>
        <item x="43"/>
        <item x="6"/>
        <item x="13"/>
        <item x="70"/>
        <item x="45"/>
        <item x="15"/>
        <item x="76"/>
        <item x="103"/>
        <item x="10"/>
        <item x="17"/>
        <item x="39"/>
        <item x="52"/>
        <item x="19"/>
        <item x="18"/>
        <item x="129"/>
        <item x="59"/>
        <item x="63"/>
        <item x="40"/>
        <item x="37"/>
        <item x="4"/>
        <item x="99"/>
        <item x="91"/>
        <item x="77"/>
        <item x="0"/>
        <item x="31"/>
        <item x="12"/>
        <item x="101"/>
        <item x="85"/>
        <item x="1"/>
        <item x="105"/>
        <item x="54"/>
        <item x="94"/>
        <item x="7"/>
        <item x="34"/>
        <item x="132"/>
        <item x="114"/>
        <item x="151"/>
        <item x="86"/>
        <item x="64"/>
        <item x="2"/>
        <item x="123"/>
        <item x="90"/>
        <item x="137"/>
        <item x="41"/>
        <item x="62"/>
        <item x="24"/>
        <item x="57"/>
        <item x="36"/>
        <item x="104"/>
        <item x="30"/>
        <item x="23"/>
        <item x="29"/>
        <item x="26"/>
        <item x="136"/>
        <item x="28"/>
        <item x="128"/>
        <item x="35"/>
        <item x="87"/>
        <item x="48"/>
        <item x="110"/>
        <item x="9"/>
        <item x="78"/>
        <item x="11"/>
        <item x="33"/>
        <item x="8"/>
        <item x="56"/>
        <item x="148"/>
        <item x="61"/>
        <item x="58"/>
        <item x="22"/>
        <item x="50"/>
        <item x="154"/>
        <item x="68"/>
        <item x="98"/>
        <item x="51"/>
        <item x="108"/>
        <item x="106"/>
        <item x="96"/>
        <item x="146"/>
        <item x="113"/>
        <item x="21"/>
        <item x="159"/>
        <item x="72"/>
        <item x="158"/>
        <item x="38"/>
        <item x="88"/>
        <item x="95"/>
        <item x="173"/>
        <item x="32"/>
        <item x="53"/>
        <item x="46"/>
        <item x="175"/>
        <item x="49"/>
        <item x="79"/>
        <item x="130"/>
        <item x="75"/>
        <item x="5"/>
        <item x="170"/>
        <item x="160"/>
        <item x="121"/>
        <item x="93"/>
        <item x="143"/>
        <item x="100"/>
        <item x="140"/>
        <item x="176"/>
        <item x="171"/>
        <item x="161"/>
        <item x="139"/>
        <item x="73"/>
        <item x="60"/>
        <item x="102"/>
        <item x="172"/>
        <item x="118"/>
        <item x="3"/>
        <item x="166"/>
        <item x="145"/>
        <item x="82"/>
        <item x="42"/>
        <item x="112"/>
        <item x="135"/>
        <item x="84"/>
        <item x="83"/>
        <item x="111"/>
        <item x="14"/>
        <item x="47"/>
        <item x="142"/>
        <item x="147"/>
        <item x="177"/>
        <item x="66"/>
        <item x="44"/>
        <item x="156"/>
        <item x="71"/>
        <item x="27"/>
        <item x="169"/>
        <item x="81"/>
        <item x="125"/>
        <item x="126"/>
        <item x="65"/>
        <item x="162"/>
        <item x="150"/>
        <item x="138"/>
        <item x="115"/>
        <item x="92"/>
        <item x="120"/>
        <item x="153"/>
        <item x="144"/>
        <item x="97"/>
        <item x="74"/>
        <item x="167"/>
        <item x="168"/>
        <item x="152"/>
        <item x="69"/>
        <item x="155"/>
        <item x="163"/>
        <item x="67"/>
        <item x="164"/>
        <item x="107"/>
        <item x="89"/>
        <item x="141"/>
        <item x="165"/>
        <item x="80"/>
        <item x="25"/>
        <item x="174"/>
        <item x="133"/>
        <item x="131"/>
        <item x="117"/>
        <item x="127"/>
        <item x="157"/>
        <item x="109"/>
        <item x="134"/>
        <item x="124"/>
        <item x="149"/>
        <item x="116"/>
        <item x="122"/>
        <item t="default"/>
      </items>
    </pivotField>
    <pivotField compact="0" showAll="0">
      <items count="179">
        <item x="119"/>
        <item x="20"/>
        <item x="16"/>
        <item x="55"/>
        <item x="43"/>
        <item x="6"/>
        <item x="13"/>
        <item x="70"/>
        <item x="45"/>
        <item x="15"/>
        <item x="76"/>
        <item x="103"/>
        <item x="10"/>
        <item x="17"/>
        <item x="39"/>
        <item x="52"/>
        <item x="19"/>
        <item x="18"/>
        <item x="129"/>
        <item x="59"/>
        <item x="63"/>
        <item x="40"/>
        <item x="37"/>
        <item x="4"/>
        <item x="99"/>
        <item x="91"/>
        <item x="77"/>
        <item x="0"/>
        <item x="31"/>
        <item x="12"/>
        <item x="101"/>
        <item x="85"/>
        <item x="1"/>
        <item x="105"/>
        <item x="54"/>
        <item x="94"/>
        <item x="7"/>
        <item x="34"/>
        <item x="132"/>
        <item x="114"/>
        <item x="151"/>
        <item x="86"/>
        <item x="64"/>
        <item x="2"/>
        <item x="123"/>
        <item x="90"/>
        <item x="137"/>
        <item x="41"/>
        <item x="62"/>
        <item x="24"/>
        <item x="57"/>
        <item x="36"/>
        <item x="104"/>
        <item x="30"/>
        <item x="23"/>
        <item x="29"/>
        <item x="26"/>
        <item x="136"/>
        <item x="28"/>
        <item x="128"/>
        <item x="35"/>
        <item x="87"/>
        <item x="48"/>
        <item x="110"/>
        <item x="9"/>
        <item x="78"/>
        <item x="11"/>
        <item x="33"/>
        <item x="8"/>
        <item x="56"/>
        <item x="148"/>
        <item x="61"/>
        <item x="58"/>
        <item x="22"/>
        <item x="50"/>
        <item x="154"/>
        <item x="68"/>
        <item x="98"/>
        <item x="51"/>
        <item x="108"/>
        <item x="106"/>
        <item x="96"/>
        <item x="146"/>
        <item x="113"/>
        <item x="21"/>
        <item x="159"/>
        <item x="72"/>
        <item x="158"/>
        <item x="38"/>
        <item x="88"/>
        <item x="95"/>
        <item x="173"/>
        <item x="32"/>
        <item x="53"/>
        <item x="46"/>
        <item x="175"/>
        <item x="49"/>
        <item x="79"/>
        <item x="130"/>
        <item x="75"/>
        <item x="5"/>
        <item x="170"/>
        <item x="160"/>
        <item x="121"/>
        <item x="93"/>
        <item x="143"/>
        <item x="100"/>
        <item x="140"/>
        <item x="176"/>
        <item x="171"/>
        <item x="161"/>
        <item x="139"/>
        <item x="73"/>
        <item x="60"/>
        <item x="102"/>
        <item x="172"/>
        <item x="118"/>
        <item x="3"/>
        <item x="166"/>
        <item x="145"/>
        <item x="82"/>
        <item x="42"/>
        <item x="112"/>
        <item x="135"/>
        <item x="84"/>
        <item x="83"/>
        <item x="111"/>
        <item x="14"/>
        <item x="47"/>
        <item x="142"/>
        <item x="147"/>
        <item x="177"/>
        <item x="66"/>
        <item x="44"/>
        <item x="156"/>
        <item x="71"/>
        <item x="27"/>
        <item x="169"/>
        <item x="81"/>
        <item x="125"/>
        <item x="126"/>
        <item x="65"/>
        <item x="162"/>
        <item x="150"/>
        <item x="138"/>
        <item x="115"/>
        <item x="92"/>
        <item x="120"/>
        <item x="153"/>
        <item x="144"/>
        <item x="97"/>
        <item x="74"/>
        <item x="167"/>
        <item x="168"/>
        <item x="152"/>
        <item x="69"/>
        <item x="155"/>
        <item x="163"/>
        <item x="67"/>
        <item x="164"/>
        <item x="107"/>
        <item x="89"/>
        <item x="141"/>
        <item x="165"/>
        <item x="80"/>
        <item x="25"/>
        <item x="174"/>
        <item x="133"/>
        <item x="131"/>
        <item x="117"/>
        <item x="127"/>
        <item x="157"/>
        <item x="109"/>
        <item x="134"/>
        <item x="124"/>
        <item x="149"/>
        <item x="116"/>
        <item x="122"/>
        <item t="default"/>
      </items>
    </pivotField>
    <pivotField axis="axisRow" compact="0" multipleItemSelectionAllowed="1" showAll="0">
      <items count="3">
        <item x="0"/>
        <item x="1"/>
        <item t="default"/>
      </items>
    </pivotField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Count of CustomerID" fld="1" subtotal="count" baseField="0" baseItem="0"/>
  </dataFields>
  <formats count="3">
    <format dxfId="8">
      <pivotArea type="all" dataOnly="0" outline="0" fieldPosition="0"/>
    </format>
    <format dxfId="9">
      <pivotArea type="all" dataOnly="0" outline="0" fieldPosition="0"/>
    </format>
    <format dxfId="10">
      <pivotArea field="17" type="button" dataOnly="0" labelOnly="1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I10:J14" firstHeaderRow="1" firstDataRow="1" firstDataCol="1"/>
  <pivotFields count="18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dataField="1" compact="0" showAll="0">
      <items count="954">
        <item x="185"/>
        <item x="774"/>
        <item x="717"/>
        <item x="69"/>
        <item x="272"/>
        <item x="274"/>
        <item x="245"/>
        <item x="443"/>
        <item x="931"/>
        <item x="93"/>
        <item x="768"/>
        <item x="593"/>
        <item x="747"/>
        <item x="778"/>
        <item x="689"/>
        <item x="97"/>
        <item x="517"/>
        <item x="802"/>
        <item x="390"/>
        <item x="727"/>
        <item x="28"/>
        <item x="913"/>
        <item x="43"/>
        <item x="81"/>
        <item x="328"/>
        <item x="120"/>
        <item x="138"/>
        <item x="128"/>
        <item x="314"/>
        <item x="538"/>
        <item x="556"/>
        <item x="450"/>
        <item x="705"/>
        <item x="96"/>
        <item x="545"/>
        <item x="98"/>
        <item x="629"/>
        <item x="351"/>
        <item x="326"/>
        <item x="162"/>
        <item x="899"/>
        <item x="65"/>
        <item x="592"/>
        <item x="712"/>
        <item x="498"/>
        <item x="213"/>
        <item x="426"/>
        <item x="794"/>
        <item x="707"/>
        <item x="446"/>
        <item x="925"/>
        <item x="926"/>
        <item x="944"/>
        <item x="471"/>
        <item x="688"/>
        <item x="84"/>
        <item x="181"/>
        <item x="719"/>
        <item x="951"/>
        <item x="413"/>
        <item x="189"/>
        <item x="276"/>
        <item x="78"/>
        <item x="268"/>
        <item x="559"/>
        <item x="258"/>
        <item x="108"/>
        <item x="285"/>
        <item x="901"/>
        <item x="832"/>
        <item x="76"/>
        <item x="670"/>
        <item x="456"/>
        <item x="796"/>
        <item x="118"/>
        <item x="324"/>
        <item x="853"/>
        <item x="130"/>
        <item x="560"/>
        <item x="492"/>
        <item x="787"/>
        <item x="844"/>
        <item x="478"/>
        <item x="578"/>
        <item x="405"/>
        <item x="380"/>
        <item x="694"/>
        <item x="754"/>
        <item x="516"/>
        <item x="939"/>
        <item x="146"/>
        <item x="575"/>
        <item x="698"/>
        <item x="170"/>
        <item x="424"/>
        <item x="748"/>
        <item x="567"/>
        <item x="210"/>
        <item x="240"/>
        <item x="840"/>
        <item x="523"/>
        <item x="388"/>
        <item x="109"/>
        <item x="16"/>
        <item x="949"/>
        <item x="387"/>
        <item x="525"/>
        <item x="340"/>
        <item x="200"/>
        <item x="196"/>
        <item x="4"/>
        <item x="935"/>
        <item x="356"/>
        <item x="227"/>
        <item x="828"/>
        <item x="667"/>
        <item x="815"/>
        <item x="92"/>
        <item x="631"/>
        <item x="363"/>
        <item x="36"/>
        <item x="386"/>
        <item x="465"/>
        <item x="238"/>
        <item x="156"/>
        <item x="347"/>
        <item x="656"/>
        <item x="206"/>
        <item x="597"/>
        <item x="225"/>
        <item x="55"/>
        <item x="454"/>
        <item x="263"/>
        <item x="857"/>
        <item x="740"/>
        <item x="759"/>
        <item x="725"/>
        <item x="644"/>
        <item x="791"/>
        <item x="371"/>
        <item x="172"/>
        <item x="848"/>
        <item x="950"/>
        <item x="352"/>
        <item x="479"/>
        <item x="364"/>
        <item x="127"/>
        <item x="577"/>
        <item x="709"/>
        <item x="668"/>
        <item x="942"/>
        <item x="484"/>
        <item x="765"/>
        <item x="115"/>
        <item x="847"/>
        <item x="813"/>
        <item x="30"/>
        <item x="841"/>
        <item x="234"/>
        <item x="528"/>
        <item x="338"/>
        <item x="482"/>
        <item x="327"/>
        <item x="300"/>
        <item x="642"/>
        <item x="752"/>
        <item x="12"/>
        <item x="460"/>
        <item x="260"/>
        <item x="564"/>
        <item x="431"/>
        <item x="863"/>
        <item x="321"/>
        <item x="382"/>
        <item x="312"/>
        <item x="201"/>
        <item x="132"/>
        <item x="469"/>
        <item x="208"/>
        <item x="800"/>
        <item x="718"/>
        <item x="215"/>
        <item x="696"/>
        <item x="323"/>
        <item x="114"/>
        <item x="404"/>
        <item x="858"/>
        <item x="568"/>
        <item x="922"/>
        <item x="558"/>
        <item x="495"/>
        <item x="376"/>
        <item x="842"/>
        <item x="875"/>
        <item x="94"/>
        <item x="296"/>
        <item x="771"/>
        <item x="625"/>
        <item x="205"/>
        <item x="14"/>
        <item x="546"/>
        <item x="871"/>
        <item x="587"/>
        <item x="207"/>
        <item x="838"/>
        <item x="372"/>
        <item x="672"/>
        <item x="87"/>
        <item x="825"/>
        <item x="10"/>
        <item x="928"/>
        <item x="239"/>
        <item x="919"/>
        <item x="309"/>
        <item x="398"/>
        <item x="83"/>
        <item x="551"/>
        <item x="769"/>
        <item x="645"/>
        <item x="606"/>
        <item x="924"/>
        <item x="249"/>
        <item x="737"/>
        <item x="381"/>
        <item x="952"/>
        <item x="457"/>
        <item x="681"/>
        <item x="892"/>
        <item x="887"/>
        <item x="757"/>
        <item x="640"/>
        <item x="691"/>
        <item x="711"/>
        <item x="886"/>
        <item x="940"/>
        <item x="665"/>
        <item x="71"/>
        <item x="407"/>
        <item x="500"/>
        <item x="601"/>
        <item x="334"/>
        <item x="409"/>
        <item x="522"/>
        <item x="339"/>
        <item x="246"/>
        <item x="214"/>
        <item x="307"/>
        <item x="927"/>
        <item x="742"/>
        <item x="49"/>
        <item x="855"/>
        <item x="808"/>
        <item x="332"/>
        <item x="870"/>
        <item x="412"/>
        <item x="816"/>
        <item x="47"/>
        <item x="264"/>
        <item x="384"/>
        <item x="547"/>
        <item x="171"/>
        <item x="821"/>
        <item x="244"/>
        <item x="64"/>
        <item x="849"/>
        <item x="889"/>
        <item x="609"/>
        <item x="228"/>
        <item x="795"/>
        <item x="112"/>
        <item x="607"/>
        <item x="619"/>
        <item x="253"/>
        <item x="177"/>
        <item x="487"/>
        <item x="402"/>
        <item x="11"/>
        <item x="470"/>
        <item x="589"/>
        <item x="330"/>
        <item x="252"/>
        <item x="91"/>
        <item x="535"/>
        <item x="148"/>
        <item x="695"/>
        <item x="756"/>
        <item x="60"/>
        <item x="721"/>
        <item x="860"/>
        <item x="882"/>
        <item x="557"/>
        <item x="852"/>
        <item x="139"/>
        <item x="9"/>
        <item x="845"/>
        <item x="502"/>
        <item x="475"/>
        <item x="884"/>
        <item x="554"/>
        <item x="491"/>
        <item x="814"/>
        <item x="620"/>
        <item x="715"/>
        <item x="289"/>
        <item x="270"/>
        <item x="442"/>
        <item x="496"/>
        <item x="155"/>
        <item x="410"/>
        <item x="914"/>
        <item x="447"/>
        <item x="279"/>
        <item x="202"/>
        <item x="134"/>
        <item x="835"/>
        <item x="684"/>
        <item x="893"/>
        <item x="322"/>
        <item x="801"/>
        <item x="77"/>
        <item x="588"/>
        <item x="150"/>
        <item x="211"/>
        <item x="617"/>
        <item x="739"/>
        <item x="286"/>
        <item x="758"/>
        <item x="362"/>
        <item x="288"/>
        <item x="88"/>
        <item x="173"/>
        <item x="604"/>
        <item x="897"/>
        <item x="106"/>
        <item x="67"/>
        <item x="27"/>
        <item x="59"/>
        <item x="103"/>
        <item x="79"/>
        <item x="477"/>
        <item x="896"/>
        <item x="910"/>
        <item x="537"/>
        <item x="216"/>
        <item x="231"/>
        <item x="283"/>
        <item x="639"/>
        <item x="298"/>
        <item x="843"/>
        <item x="236"/>
        <item x="0"/>
        <item x="598"/>
        <item x="819"/>
        <item x="175"/>
        <item x="912"/>
        <item x="616"/>
        <item x="197"/>
        <item x="829"/>
        <item x="532"/>
        <item x="223"/>
        <item x="337"/>
        <item x="636"/>
        <item x="767"/>
        <item x="846"/>
        <item x="277"/>
        <item x="527"/>
        <item x="743"/>
        <item x="377"/>
        <item x="142"/>
        <item x="48"/>
        <item x="349"/>
        <item x="628"/>
        <item x="799"/>
        <item x="817"/>
        <item x="248"/>
        <item x="237"/>
        <item x="657"/>
        <item x="507"/>
        <item x="777"/>
        <item x="149"/>
        <item x="864"/>
        <item x="526"/>
        <item x="503"/>
        <item x="788"/>
        <item x="166"/>
        <item x="342"/>
        <item x="458"/>
        <item x="686"/>
        <item x="550"/>
        <item x="504"/>
        <item x="66"/>
        <item x="451"/>
        <item x="869"/>
        <item x="163"/>
        <item x="414"/>
        <item x="366"/>
        <item x="581"/>
        <item x="513"/>
        <item x="15"/>
        <item x="265"/>
        <item x="195"/>
        <item x="494"/>
        <item x="658"/>
        <item x="626"/>
        <item x="728"/>
        <item x="281"/>
        <item x="141"/>
        <item x="603"/>
        <item x="56"/>
        <item x="38"/>
        <item x="432"/>
        <item x="18"/>
        <item x="389"/>
        <item x="455"/>
        <item x="736"/>
        <item x="902"/>
        <item x="703"/>
        <item x="552"/>
        <item x="654"/>
        <item x="851"/>
        <item x="39"/>
        <item x="582"/>
        <item x="894"/>
        <item x="101"/>
        <item x="80"/>
        <item x="40"/>
        <item x="911"/>
        <item x="63"/>
        <item x="144"/>
        <item x="420"/>
        <item x="308"/>
        <item x="476"/>
        <item x="292"/>
        <item x="116"/>
        <item x="906"/>
        <item x="29"/>
        <item x="553"/>
        <item x="510"/>
        <item x="807"/>
        <item x="862"/>
        <item x="58"/>
        <item x="203"/>
        <item x="947"/>
        <item x="541"/>
        <item x="610"/>
        <item x="290"/>
        <item x="611"/>
        <item x="627"/>
        <item x="393"/>
        <item x="766"/>
        <item x="222"/>
        <item x="608"/>
        <item x="776"/>
        <item x="798"/>
        <item x="827"/>
        <item x="346"/>
        <item x="729"/>
        <item x="325"/>
        <item x="744"/>
        <item x="194"/>
        <item x="137"/>
        <item x="392"/>
        <item x="145"/>
        <item x="233"/>
        <item x="662"/>
        <item x="343"/>
        <item x="251"/>
        <item x="615"/>
        <item x="693"/>
        <item x="562"/>
        <item x="569"/>
        <item x="861"/>
        <item x="369"/>
        <item x="176"/>
        <item x="600"/>
        <item x="441"/>
        <item x="595"/>
        <item x="880"/>
        <item x="241"/>
        <item x="612"/>
        <item x="878"/>
        <item x="786"/>
        <item x="42"/>
        <item x="73"/>
        <item x="898"/>
        <item x="105"/>
        <item x="511"/>
        <item x="399"/>
        <item x="221"/>
        <item x="224"/>
        <item x="566"/>
        <item x="122"/>
        <item x="809"/>
        <item x="885"/>
        <item x="217"/>
        <item x="179"/>
        <item x="269"/>
        <item x="33"/>
        <item x="212"/>
        <item x="599"/>
        <item x="488"/>
        <item x="8"/>
        <item x="20"/>
        <item x="2"/>
        <item x="669"/>
        <item x="68"/>
        <item x="704"/>
        <item x="941"/>
        <item x="86"/>
        <item x="854"/>
        <item x="391"/>
        <item x="722"/>
        <item x="678"/>
        <item x="643"/>
        <item x="164"/>
        <item x="461"/>
        <item x="530"/>
        <item x="614"/>
        <item x="375"/>
        <item x="169"/>
        <item x="262"/>
        <item x="423"/>
        <item x="618"/>
        <item x="254"/>
        <item x="519"/>
        <item x="437"/>
        <item x="243"/>
        <item x="613"/>
        <item x="480"/>
        <item x="945"/>
        <item x="291"/>
        <item x="21"/>
        <item x="74"/>
        <item x="866"/>
        <item x="671"/>
        <item x="536"/>
        <item x="489"/>
        <item x="674"/>
        <item x="548"/>
        <item x="257"/>
        <item x="508"/>
        <item x="903"/>
        <item x="730"/>
        <item x="275"/>
        <item x="755"/>
        <item x="580"/>
        <item x="733"/>
        <item x="837"/>
        <item x="157"/>
        <item x="174"/>
        <item x="602"/>
        <item x="5"/>
        <item x="440"/>
        <item x="154"/>
        <item x="938"/>
        <item x="305"/>
        <item x="302"/>
        <item x="428"/>
        <item x="918"/>
        <item x="720"/>
        <item x="946"/>
        <item x="429"/>
        <item x="345"/>
        <item x="724"/>
        <item x="521"/>
        <item x="586"/>
        <item x="699"/>
        <item x="850"/>
        <item x="397"/>
        <item x="294"/>
        <item x="357"/>
        <item x="143"/>
        <item x="204"/>
        <item x="659"/>
        <item x="335"/>
        <item x="895"/>
        <item x="370"/>
        <item x="782"/>
        <item x="574"/>
        <item x="193"/>
        <item x="900"/>
        <item x="400"/>
        <item x="909"/>
        <item x="303"/>
        <item x="741"/>
        <item x="242"/>
        <item x="333"/>
        <item x="803"/>
        <item x="165"/>
        <item x="378"/>
        <item x="417"/>
        <item x="188"/>
        <item x="772"/>
        <item x="723"/>
        <item x="34"/>
        <item x="82"/>
        <item x="278"/>
        <item x="287"/>
        <item x="464"/>
        <item x="355"/>
        <item x="531"/>
        <item x="126"/>
        <item x="396"/>
        <item x="113"/>
        <item x="812"/>
        <item x="697"/>
        <item x="883"/>
        <item x="872"/>
        <item x="501"/>
        <item x="638"/>
        <item x="168"/>
        <item x="474"/>
        <item x="124"/>
        <item x="666"/>
        <item x="52"/>
        <item x="637"/>
        <item x="820"/>
        <item x="833"/>
        <item x="633"/>
        <item x="408"/>
        <item x="515"/>
        <item x="267"/>
        <item x="499"/>
        <item x="731"/>
        <item x="373"/>
        <item x="888"/>
        <item x="746"/>
        <item x="6"/>
        <item x="187"/>
        <item x="51"/>
        <item x="72"/>
        <item x="385"/>
        <item x="687"/>
        <item x="493"/>
        <item x="350"/>
        <item x="453"/>
        <item x="462"/>
        <item x="90"/>
        <item x="133"/>
        <item x="167"/>
        <item x="876"/>
        <item x="653"/>
        <item x="635"/>
        <item x="348"/>
        <item x="512"/>
        <item x="539"/>
        <item x="713"/>
        <item x="915"/>
        <item x="810"/>
        <item x="905"/>
        <item x="284"/>
        <item x="585"/>
        <item x="923"/>
        <item x="714"/>
        <item x="159"/>
        <item x="877"/>
        <item x="226"/>
        <item x="583"/>
        <item x="570"/>
        <item x="422"/>
        <item x="738"/>
        <item x="702"/>
        <item x="879"/>
        <item x="726"/>
        <item x="673"/>
        <item x="259"/>
        <item x="783"/>
        <item x="436"/>
        <item x="250"/>
        <item x="61"/>
        <item x="873"/>
        <item x="509"/>
        <item x="178"/>
        <item x="62"/>
        <item x="753"/>
        <item x="403"/>
        <item x="770"/>
        <item x="773"/>
        <item x="830"/>
        <item x="641"/>
        <item x="439"/>
        <item x="485"/>
        <item x="505"/>
        <item x="358"/>
        <item x="555"/>
        <item x="916"/>
        <item x="514"/>
        <item x="444"/>
        <item x="655"/>
        <item x="180"/>
        <item x="591"/>
        <item x="805"/>
        <item x="131"/>
        <item x="660"/>
        <item x="341"/>
        <item x="320"/>
        <item x="811"/>
        <item x="936"/>
        <item x="136"/>
        <item x="379"/>
        <item x="590"/>
        <item x="99"/>
        <item x="621"/>
        <item x="433"/>
        <item x="32"/>
        <item x="734"/>
        <item x="354"/>
        <item x="140"/>
        <item x="917"/>
        <item x="605"/>
        <item x="651"/>
        <item x="158"/>
        <item x="184"/>
        <item x="543"/>
        <item x="44"/>
        <item x="937"/>
        <item x="230"/>
        <item x="506"/>
        <item x="797"/>
        <item x="37"/>
        <item x="630"/>
        <item x="804"/>
        <item x="418"/>
        <item x="679"/>
        <item x="110"/>
        <item x="904"/>
        <item x="623"/>
        <item x="650"/>
        <item x="415"/>
        <item x="411"/>
        <item x="921"/>
        <item x="749"/>
        <item x="190"/>
        <item x="463"/>
        <item x="472"/>
        <item x="622"/>
        <item x="416"/>
        <item x="329"/>
        <item x="310"/>
        <item x="745"/>
        <item x="874"/>
        <item x="383"/>
        <item x="785"/>
        <item x="344"/>
        <item x="183"/>
        <item x="520"/>
        <item x="445"/>
        <item x="826"/>
        <item x="35"/>
        <item x="218"/>
        <item x="23"/>
        <item x="359"/>
        <item x="652"/>
        <item x="690"/>
        <item x="692"/>
        <item x="735"/>
        <item x="395"/>
        <item x="789"/>
        <item x="315"/>
        <item x="394"/>
        <item x="1"/>
        <item x="856"/>
        <item x="271"/>
        <item x="317"/>
        <item x="425"/>
        <item x="675"/>
        <item x="89"/>
        <item x="25"/>
        <item x="881"/>
        <item x="293"/>
        <item x="427"/>
        <item x="419"/>
        <item x="299"/>
        <item x="306"/>
        <item x="256"/>
        <item x="123"/>
        <item x="663"/>
        <item x="50"/>
        <item x="751"/>
        <item x="22"/>
        <item x="891"/>
        <item x="229"/>
        <item x="934"/>
        <item x="579"/>
        <item x="700"/>
        <item x="421"/>
        <item x="648"/>
        <item x="70"/>
        <item x="449"/>
        <item x="182"/>
        <item x="571"/>
        <item x="209"/>
        <item x="784"/>
        <item x="129"/>
        <item x="822"/>
        <item x="839"/>
        <item x="331"/>
        <item x="435"/>
        <item x="824"/>
        <item x="677"/>
        <item x="466"/>
        <item x="865"/>
        <item x="540"/>
        <item x="859"/>
        <item x="198"/>
        <item x="779"/>
        <item x="682"/>
        <item x="732"/>
        <item x="716"/>
        <item x="125"/>
        <item x="920"/>
        <item x="524"/>
        <item x="54"/>
        <item x="468"/>
        <item x="361"/>
        <item x="792"/>
        <item x="561"/>
        <item x="220"/>
        <item x="764"/>
        <item x="624"/>
        <item x="261"/>
        <item x="374"/>
        <item x="634"/>
        <item x="452"/>
        <item x="818"/>
        <item x="304"/>
        <item x="147"/>
        <item x="490"/>
        <item x="297"/>
        <item x="459"/>
        <item x="781"/>
        <item x="7"/>
        <item x="649"/>
        <item x="3"/>
        <item x="632"/>
        <item x="948"/>
        <item x="319"/>
        <item x="107"/>
        <item x="135"/>
        <item x="533"/>
        <item x="646"/>
        <item x="13"/>
        <item x="336"/>
        <item x="836"/>
        <item x="100"/>
        <item x="573"/>
        <item x="806"/>
        <item x="282"/>
        <item x="761"/>
        <item x="780"/>
        <item x="497"/>
        <item x="273"/>
        <item x="706"/>
        <item x="26"/>
        <item x="75"/>
        <item x="119"/>
        <item x="301"/>
        <item x="762"/>
        <item x="647"/>
        <item x="31"/>
        <item x="311"/>
        <item x="24"/>
        <item x="434"/>
        <item x="438"/>
        <item x="353"/>
        <item x="280"/>
        <item x="295"/>
        <item x="153"/>
        <item x="316"/>
        <item x="192"/>
        <item x="111"/>
        <item x="710"/>
        <item x="572"/>
        <item x="932"/>
        <item x="486"/>
        <item x="529"/>
        <item x="57"/>
        <item x="750"/>
        <item x="360"/>
        <item x="95"/>
        <item x="596"/>
        <item x="867"/>
        <item x="834"/>
        <item x="907"/>
        <item x="823"/>
        <item x="160"/>
        <item x="104"/>
        <item x="313"/>
        <item x="45"/>
        <item x="401"/>
        <item x="549"/>
        <item x="19"/>
        <item x="775"/>
        <item x="199"/>
        <item x="760"/>
        <item x="685"/>
        <item x="235"/>
        <item x="680"/>
        <item x="473"/>
        <item x="266"/>
        <item x="219"/>
        <item x="232"/>
        <item x="186"/>
        <item x="467"/>
        <item x="565"/>
        <item x="117"/>
        <item x="594"/>
        <item x="908"/>
        <item x="318"/>
        <item x="85"/>
        <item x="930"/>
        <item x="483"/>
        <item x="933"/>
        <item x="793"/>
        <item x="191"/>
        <item x="542"/>
        <item x="430"/>
        <item x="151"/>
        <item x="152"/>
        <item x="41"/>
        <item x="247"/>
        <item x="448"/>
        <item x="868"/>
        <item x="676"/>
        <item x="790"/>
        <item x="161"/>
        <item x="544"/>
        <item x="518"/>
        <item x="367"/>
        <item x="943"/>
        <item x="534"/>
        <item x="563"/>
        <item x="890"/>
        <item x="708"/>
        <item x="368"/>
        <item x="46"/>
        <item x="102"/>
        <item x="664"/>
        <item x="701"/>
        <item x="53"/>
        <item x="365"/>
        <item x="661"/>
        <item x="683"/>
        <item x="17"/>
        <item x="255"/>
        <item x="406"/>
        <item x="576"/>
        <item x="584"/>
        <item x="481"/>
        <item x="121"/>
        <item x="831"/>
        <item x="763"/>
        <item x="929"/>
        <item t="default"/>
      </items>
    </pivotField>
    <pivotField compact="0" numFmtId="18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2" showAll="0"/>
    <pivotField axis="axisRow" compact="0" multipleItemSelectionAllowed="1" showAll="0">
      <items count="4">
        <item x="1"/>
        <item x="0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1" subtotal="count" baseField="0" baseItem="0"/>
  </dataFields>
  <formats count="7">
    <format dxfId="11">
      <pivotArea collapsedLevelsAreSubtotals="1" fieldPosition="0"/>
    </format>
    <format dxfId="12">
      <pivotArea collapsedLevelsAreSubtotals="1" fieldPosition="0"/>
    </format>
    <format dxfId="13">
      <pivotArea collapsedLevelsAreSubtotals="1" fieldPosition="0"/>
    </format>
    <format dxfId="14">
      <pivotArea collapsedLevelsAreSubtotals="1" fieldPosition="0"/>
    </format>
    <format dxfId="15">
      <pivotArea type="all" dataOnly="0" outline="0" fieldPosition="0"/>
    </format>
    <format dxfId="16">
      <pivotArea type="all" dataOnly="0" outline="0" fieldPosition="0"/>
    </format>
    <format dxfId="17">
      <pivotArea field="11" type="button" dataOnly="0" labelOnly="1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I20:I21" firstHeaderRow="1" firstDataRow="1" firstDataCol="0" rowPageCount="1" colPageCount="1"/>
  <pivotFields count="18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954">
        <item x="185"/>
        <item x="774"/>
        <item x="717"/>
        <item x="69"/>
        <item x="272"/>
        <item x="274"/>
        <item x="245"/>
        <item x="443"/>
        <item x="931"/>
        <item x="93"/>
        <item x="768"/>
        <item x="593"/>
        <item x="747"/>
        <item x="778"/>
        <item x="689"/>
        <item x="97"/>
        <item x="517"/>
        <item x="802"/>
        <item x="390"/>
        <item x="727"/>
        <item x="28"/>
        <item x="913"/>
        <item x="43"/>
        <item x="81"/>
        <item x="328"/>
        <item x="120"/>
        <item x="138"/>
        <item x="128"/>
        <item x="314"/>
        <item x="538"/>
        <item x="556"/>
        <item x="450"/>
        <item x="705"/>
        <item x="96"/>
        <item x="545"/>
        <item x="98"/>
        <item x="629"/>
        <item x="351"/>
        <item x="326"/>
        <item x="162"/>
        <item x="899"/>
        <item x="65"/>
        <item x="592"/>
        <item x="712"/>
        <item x="498"/>
        <item x="213"/>
        <item x="426"/>
        <item x="794"/>
        <item x="707"/>
        <item x="446"/>
        <item x="925"/>
        <item x="926"/>
        <item x="944"/>
        <item x="471"/>
        <item x="688"/>
        <item x="84"/>
        <item x="181"/>
        <item x="719"/>
        <item x="951"/>
        <item x="413"/>
        <item x="189"/>
        <item x="276"/>
        <item x="78"/>
        <item x="268"/>
        <item x="559"/>
        <item x="258"/>
        <item x="108"/>
        <item x="285"/>
        <item x="901"/>
        <item x="832"/>
        <item x="76"/>
        <item x="670"/>
        <item x="456"/>
        <item x="796"/>
        <item x="118"/>
        <item x="324"/>
        <item x="853"/>
        <item x="130"/>
        <item x="560"/>
        <item x="492"/>
        <item x="787"/>
        <item x="844"/>
        <item x="478"/>
        <item x="578"/>
        <item x="405"/>
        <item x="380"/>
        <item x="694"/>
        <item x="754"/>
        <item x="516"/>
        <item x="939"/>
        <item x="146"/>
        <item x="575"/>
        <item x="698"/>
        <item x="170"/>
        <item x="424"/>
        <item x="748"/>
        <item x="567"/>
        <item x="210"/>
        <item x="240"/>
        <item x="840"/>
        <item x="523"/>
        <item x="388"/>
        <item x="109"/>
        <item x="16"/>
        <item x="949"/>
        <item x="387"/>
        <item x="525"/>
        <item x="340"/>
        <item x="200"/>
        <item x="196"/>
        <item x="4"/>
        <item x="935"/>
        <item x="356"/>
        <item x="227"/>
        <item x="828"/>
        <item x="667"/>
        <item x="815"/>
        <item x="92"/>
        <item x="631"/>
        <item x="363"/>
        <item x="36"/>
        <item x="386"/>
        <item x="465"/>
        <item x="238"/>
        <item x="156"/>
        <item x="347"/>
        <item x="656"/>
        <item x="206"/>
        <item x="597"/>
        <item x="225"/>
        <item x="55"/>
        <item x="454"/>
        <item x="263"/>
        <item x="857"/>
        <item x="740"/>
        <item x="759"/>
        <item x="725"/>
        <item x="644"/>
        <item x="791"/>
        <item x="371"/>
        <item x="172"/>
        <item x="848"/>
        <item x="950"/>
        <item x="352"/>
        <item x="479"/>
        <item x="364"/>
        <item x="127"/>
        <item x="577"/>
        <item x="709"/>
        <item x="668"/>
        <item x="942"/>
        <item x="484"/>
        <item x="765"/>
        <item x="115"/>
        <item x="847"/>
        <item x="813"/>
        <item x="30"/>
        <item x="841"/>
        <item x="234"/>
        <item x="528"/>
        <item x="338"/>
        <item x="482"/>
        <item x="327"/>
        <item x="300"/>
        <item x="642"/>
        <item x="752"/>
        <item x="12"/>
        <item x="460"/>
        <item x="260"/>
        <item x="564"/>
        <item x="431"/>
        <item x="863"/>
        <item x="321"/>
        <item x="382"/>
        <item x="312"/>
        <item x="201"/>
        <item x="132"/>
        <item x="469"/>
        <item x="208"/>
        <item x="800"/>
        <item x="718"/>
        <item x="215"/>
        <item x="696"/>
        <item x="323"/>
        <item x="114"/>
        <item x="404"/>
        <item x="858"/>
        <item x="568"/>
        <item x="922"/>
        <item x="558"/>
        <item x="495"/>
        <item x="376"/>
        <item x="842"/>
        <item x="875"/>
        <item x="94"/>
        <item x="296"/>
        <item x="771"/>
        <item x="625"/>
        <item x="205"/>
        <item x="14"/>
        <item x="546"/>
        <item x="871"/>
        <item x="587"/>
        <item x="207"/>
        <item x="838"/>
        <item x="372"/>
        <item x="672"/>
        <item x="87"/>
        <item x="825"/>
        <item x="10"/>
        <item x="928"/>
        <item x="239"/>
        <item x="919"/>
        <item x="309"/>
        <item x="398"/>
        <item x="83"/>
        <item x="551"/>
        <item x="769"/>
        <item x="645"/>
        <item x="606"/>
        <item x="924"/>
        <item x="249"/>
        <item x="737"/>
        <item x="381"/>
        <item x="952"/>
        <item x="457"/>
        <item x="681"/>
        <item x="892"/>
        <item x="887"/>
        <item x="757"/>
        <item x="640"/>
        <item x="691"/>
        <item x="711"/>
        <item x="886"/>
        <item x="940"/>
        <item x="665"/>
        <item x="71"/>
        <item x="407"/>
        <item x="500"/>
        <item x="601"/>
        <item x="334"/>
        <item x="409"/>
        <item x="522"/>
        <item x="339"/>
        <item x="246"/>
        <item x="214"/>
        <item x="307"/>
        <item x="927"/>
        <item x="742"/>
        <item x="49"/>
        <item x="855"/>
        <item x="808"/>
        <item x="332"/>
        <item x="870"/>
        <item x="412"/>
        <item x="816"/>
        <item x="47"/>
        <item x="264"/>
        <item x="384"/>
        <item x="547"/>
        <item x="171"/>
        <item x="821"/>
        <item x="244"/>
        <item x="64"/>
        <item x="849"/>
        <item x="889"/>
        <item x="609"/>
        <item x="228"/>
        <item x="795"/>
        <item x="112"/>
        <item x="607"/>
        <item x="619"/>
        <item x="253"/>
        <item x="177"/>
        <item x="487"/>
        <item x="402"/>
        <item x="11"/>
        <item x="470"/>
        <item x="589"/>
        <item x="330"/>
        <item x="252"/>
        <item x="91"/>
        <item x="535"/>
        <item x="148"/>
        <item x="695"/>
        <item x="756"/>
        <item x="60"/>
        <item x="721"/>
        <item x="860"/>
        <item x="882"/>
        <item x="557"/>
        <item x="852"/>
        <item x="139"/>
        <item x="9"/>
        <item x="845"/>
        <item x="502"/>
        <item x="475"/>
        <item x="884"/>
        <item x="554"/>
        <item x="491"/>
        <item x="814"/>
        <item x="620"/>
        <item x="715"/>
        <item x="289"/>
        <item x="270"/>
        <item x="442"/>
        <item x="496"/>
        <item x="155"/>
        <item x="410"/>
        <item x="914"/>
        <item x="447"/>
        <item x="279"/>
        <item x="202"/>
        <item x="134"/>
        <item x="835"/>
        <item x="684"/>
        <item x="893"/>
        <item x="322"/>
        <item x="801"/>
        <item x="77"/>
        <item x="588"/>
        <item x="150"/>
        <item x="211"/>
        <item x="617"/>
        <item x="739"/>
        <item x="286"/>
        <item x="758"/>
        <item x="362"/>
        <item x="288"/>
        <item x="88"/>
        <item x="173"/>
        <item x="604"/>
        <item x="897"/>
        <item x="106"/>
        <item x="67"/>
        <item x="27"/>
        <item x="59"/>
        <item x="103"/>
        <item x="79"/>
        <item x="477"/>
        <item x="896"/>
        <item x="910"/>
        <item x="537"/>
        <item x="216"/>
        <item x="231"/>
        <item x="283"/>
        <item x="639"/>
        <item x="298"/>
        <item x="843"/>
        <item x="236"/>
        <item x="0"/>
        <item x="598"/>
        <item x="819"/>
        <item x="175"/>
        <item x="912"/>
        <item x="616"/>
        <item x="197"/>
        <item x="829"/>
        <item x="532"/>
        <item x="223"/>
        <item x="337"/>
        <item x="636"/>
        <item x="767"/>
        <item x="846"/>
        <item x="277"/>
        <item x="527"/>
        <item x="743"/>
        <item x="377"/>
        <item x="142"/>
        <item x="48"/>
        <item x="349"/>
        <item x="628"/>
        <item x="799"/>
        <item x="817"/>
        <item x="248"/>
        <item x="237"/>
        <item x="657"/>
        <item x="507"/>
        <item x="777"/>
        <item x="149"/>
        <item x="864"/>
        <item x="526"/>
        <item x="503"/>
        <item x="788"/>
        <item x="166"/>
        <item x="342"/>
        <item x="458"/>
        <item x="686"/>
        <item x="550"/>
        <item x="504"/>
        <item x="66"/>
        <item x="451"/>
        <item x="869"/>
        <item x="163"/>
        <item x="414"/>
        <item x="366"/>
        <item x="581"/>
        <item x="513"/>
        <item x="15"/>
        <item x="265"/>
        <item x="195"/>
        <item x="494"/>
        <item x="658"/>
        <item x="626"/>
        <item x="728"/>
        <item x="281"/>
        <item x="141"/>
        <item x="603"/>
        <item x="56"/>
        <item x="38"/>
        <item x="432"/>
        <item x="18"/>
        <item x="389"/>
        <item x="455"/>
        <item x="736"/>
        <item x="902"/>
        <item x="703"/>
        <item x="552"/>
        <item x="654"/>
        <item x="851"/>
        <item x="39"/>
        <item x="582"/>
        <item x="894"/>
        <item x="101"/>
        <item x="80"/>
        <item x="40"/>
        <item x="911"/>
        <item x="63"/>
        <item x="144"/>
        <item x="420"/>
        <item x="308"/>
        <item x="476"/>
        <item x="292"/>
        <item x="116"/>
        <item x="906"/>
        <item x="29"/>
        <item x="553"/>
        <item x="510"/>
        <item x="807"/>
        <item x="862"/>
        <item x="58"/>
        <item x="203"/>
        <item x="947"/>
        <item x="541"/>
        <item x="610"/>
        <item x="290"/>
        <item x="611"/>
        <item x="627"/>
        <item x="393"/>
        <item x="766"/>
        <item x="222"/>
        <item x="608"/>
        <item x="776"/>
        <item x="798"/>
        <item x="827"/>
        <item x="346"/>
        <item x="729"/>
        <item x="325"/>
        <item x="744"/>
        <item x="194"/>
        <item x="137"/>
        <item x="392"/>
        <item x="145"/>
        <item x="233"/>
        <item x="662"/>
        <item x="343"/>
        <item x="251"/>
        <item x="615"/>
        <item x="693"/>
        <item x="562"/>
        <item x="569"/>
        <item x="861"/>
        <item x="369"/>
        <item x="176"/>
        <item x="600"/>
        <item x="441"/>
        <item x="595"/>
        <item x="880"/>
        <item x="241"/>
        <item x="612"/>
        <item x="878"/>
        <item x="786"/>
        <item x="42"/>
        <item x="73"/>
        <item x="898"/>
        <item x="105"/>
        <item x="511"/>
        <item x="399"/>
        <item x="221"/>
        <item x="224"/>
        <item x="566"/>
        <item x="122"/>
        <item x="809"/>
        <item x="885"/>
        <item x="217"/>
        <item x="179"/>
        <item x="269"/>
        <item x="33"/>
        <item x="212"/>
        <item x="599"/>
        <item x="488"/>
        <item x="8"/>
        <item x="20"/>
        <item x="2"/>
        <item x="669"/>
        <item x="68"/>
        <item x="704"/>
        <item x="941"/>
        <item x="86"/>
        <item x="854"/>
        <item x="391"/>
        <item x="722"/>
        <item x="678"/>
        <item x="643"/>
        <item x="164"/>
        <item x="461"/>
        <item x="530"/>
        <item x="614"/>
        <item x="375"/>
        <item x="169"/>
        <item x="262"/>
        <item x="423"/>
        <item x="618"/>
        <item x="254"/>
        <item x="519"/>
        <item x="437"/>
        <item x="243"/>
        <item x="613"/>
        <item x="480"/>
        <item x="945"/>
        <item x="291"/>
        <item x="21"/>
        <item x="74"/>
        <item x="866"/>
        <item x="671"/>
        <item x="536"/>
        <item x="489"/>
        <item x="674"/>
        <item x="548"/>
        <item x="257"/>
        <item x="508"/>
        <item x="903"/>
        <item x="730"/>
        <item x="275"/>
        <item x="755"/>
        <item x="580"/>
        <item x="733"/>
        <item x="837"/>
        <item x="157"/>
        <item x="174"/>
        <item x="602"/>
        <item x="5"/>
        <item x="440"/>
        <item x="154"/>
        <item x="938"/>
        <item x="305"/>
        <item x="302"/>
        <item x="428"/>
        <item x="918"/>
        <item x="720"/>
        <item x="946"/>
        <item x="429"/>
        <item x="345"/>
        <item x="724"/>
        <item x="521"/>
        <item x="586"/>
        <item x="699"/>
        <item x="850"/>
        <item x="397"/>
        <item x="294"/>
        <item x="357"/>
        <item x="143"/>
        <item x="204"/>
        <item x="659"/>
        <item x="335"/>
        <item x="895"/>
        <item x="370"/>
        <item x="782"/>
        <item x="574"/>
        <item x="193"/>
        <item x="900"/>
        <item x="400"/>
        <item x="909"/>
        <item x="303"/>
        <item x="741"/>
        <item x="242"/>
        <item x="333"/>
        <item x="803"/>
        <item x="165"/>
        <item x="378"/>
        <item x="417"/>
        <item x="188"/>
        <item x="772"/>
        <item x="723"/>
        <item x="34"/>
        <item x="82"/>
        <item x="278"/>
        <item x="287"/>
        <item x="464"/>
        <item x="355"/>
        <item x="531"/>
        <item x="126"/>
        <item x="396"/>
        <item x="113"/>
        <item x="812"/>
        <item x="697"/>
        <item x="883"/>
        <item x="872"/>
        <item x="501"/>
        <item x="638"/>
        <item x="168"/>
        <item x="474"/>
        <item x="124"/>
        <item x="666"/>
        <item x="52"/>
        <item x="637"/>
        <item x="820"/>
        <item x="833"/>
        <item x="633"/>
        <item x="408"/>
        <item x="515"/>
        <item x="267"/>
        <item x="499"/>
        <item x="731"/>
        <item x="373"/>
        <item x="888"/>
        <item x="746"/>
        <item x="6"/>
        <item x="187"/>
        <item x="51"/>
        <item x="72"/>
        <item x="385"/>
        <item x="687"/>
        <item x="493"/>
        <item x="350"/>
        <item x="453"/>
        <item x="462"/>
        <item x="90"/>
        <item x="133"/>
        <item x="167"/>
        <item x="876"/>
        <item x="653"/>
        <item x="635"/>
        <item x="348"/>
        <item x="512"/>
        <item x="539"/>
        <item x="713"/>
        <item x="915"/>
        <item x="810"/>
        <item x="905"/>
        <item x="284"/>
        <item x="585"/>
        <item x="923"/>
        <item x="714"/>
        <item x="159"/>
        <item x="877"/>
        <item x="226"/>
        <item x="583"/>
        <item x="570"/>
        <item x="422"/>
        <item x="738"/>
        <item x="702"/>
        <item x="879"/>
        <item x="726"/>
        <item x="673"/>
        <item x="259"/>
        <item x="783"/>
        <item x="436"/>
        <item x="250"/>
        <item x="61"/>
        <item x="873"/>
        <item x="509"/>
        <item x="178"/>
        <item x="62"/>
        <item x="753"/>
        <item x="403"/>
        <item x="770"/>
        <item x="773"/>
        <item x="830"/>
        <item x="641"/>
        <item x="439"/>
        <item x="485"/>
        <item x="505"/>
        <item x="358"/>
        <item x="555"/>
        <item x="916"/>
        <item x="514"/>
        <item x="444"/>
        <item x="655"/>
        <item x="180"/>
        <item x="591"/>
        <item x="805"/>
        <item x="131"/>
        <item x="660"/>
        <item x="341"/>
        <item x="320"/>
        <item x="811"/>
        <item x="936"/>
        <item x="136"/>
        <item x="379"/>
        <item x="590"/>
        <item x="99"/>
        <item x="621"/>
        <item x="433"/>
        <item x="32"/>
        <item x="734"/>
        <item x="354"/>
        <item x="140"/>
        <item x="917"/>
        <item x="605"/>
        <item x="651"/>
        <item x="158"/>
        <item x="184"/>
        <item x="543"/>
        <item x="44"/>
        <item x="937"/>
        <item x="230"/>
        <item x="506"/>
        <item x="797"/>
        <item x="37"/>
        <item x="630"/>
        <item x="804"/>
        <item x="418"/>
        <item x="679"/>
        <item x="110"/>
        <item x="904"/>
        <item x="623"/>
        <item x="650"/>
        <item x="415"/>
        <item x="411"/>
        <item x="921"/>
        <item x="749"/>
        <item x="190"/>
        <item x="463"/>
        <item x="472"/>
        <item x="622"/>
        <item x="416"/>
        <item x="329"/>
        <item x="310"/>
        <item x="745"/>
        <item x="874"/>
        <item x="383"/>
        <item x="785"/>
        <item x="344"/>
        <item x="183"/>
        <item x="520"/>
        <item x="445"/>
        <item x="826"/>
        <item x="35"/>
        <item x="218"/>
        <item x="23"/>
        <item x="359"/>
        <item x="652"/>
        <item x="690"/>
        <item x="692"/>
        <item x="735"/>
        <item x="395"/>
        <item x="789"/>
        <item x="315"/>
        <item x="394"/>
        <item x="1"/>
        <item x="856"/>
        <item x="271"/>
        <item x="317"/>
        <item x="425"/>
        <item x="675"/>
        <item x="89"/>
        <item x="25"/>
        <item x="881"/>
        <item x="293"/>
        <item x="427"/>
        <item x="419"/>
        <item x="299"/>
        <item x="306"/>
        <item x="256"/>
        <item x="123"/>
        <item x="663"/>
        <item x="50"/>
        <item x="751"/>
        <item x="22"/>
        <item x="891"/>
        <item x="229"/>
        <item x="934"/>
        <item x="579"/>
        <item x="700"/>
        <item x="421"/>
        <item x="648"/>
        <item x="70"/>
        <item x="449"/>
        <item x="182"/>
        <item x="571"/>
        <item x="209"/>
        <item x="784"/>
        <item x="129"/>
        <item x="822"/>
        <item x="839"/>
        <item x="331"/>
        <item x="435"/>
        <item x="824"/>
        <item x="677"/>
        <item x="466"/>
        <item x="865"/>
        <item x="540"/>
        <item x="859"/>
        <item x="198"/>
        <item x="779"/>
        <item x="682"/>
        <item x="732"/>
        <item x="716"/>
        <item x="125"/>
        <item x="920"/>
        <item x="524"/>
        <item x="54"/>
        <item x="468"/>
        <item x="361"/>
        <item x="792"/>
        <item x="561"/>
        <item x="220"/>
        <item x="764"/>
        <item x="624"/>
        <item x="261"/>
        <item x="374"/>
        <item x="634"/>
        <item x="452"/>
        <item x="818"/>
        <item x="304"/>
        <item x="147"/>
        <item x="490"/>
        <item x="297"/>
        <item x="459"/>
        <item x="781"/>
        <item x="7"/>
        <item x="649"/>
        <item x="3"/>
        <item x="632"/>
        <item x="948"/>
        <item x="319"/>
        <item x="107"/>
        <item x="135"/>
        <item x="533"/>
        <item x="646"/>
        <item x="13"/>
        <item x="336"/>
        <item x="836"/>
        <item x="100"/>
        <item x="573"/>
        <item x="806"/>
        <item x="282"/>
        <item x="761"/>
        <item x="780"/>
        <item x="497"/>
        <item x="273"/>
        <item x="706"/>
        <item x="26"/>
        <item x="75"/>
        <item x="119"/>
        <item x="301"/>
        <item x="762"/>
        <item x="647"/>
        <item x="31"/>
        <item x="311"/>
        <item x="24"/>
        <item x="434"/>
        <item x="438"/>
        <item x="353"/>
        <item x="280"/>
        <item x="295"/>
        <item x="153"/>
        <item x="316"/>
        <item x="192"/>
        <item x="111"/>
        <item x="710"/>
        <item x="572"/>
        <item x="932"/>
        <item x="486"/>
        <item x="529"/>
        <item x="57"/>
        <item x="750"/>
        <item x="360"/>
        <item x="95"/>
        <item x="596"/>
        <item x="867"/>
        <item x="834"/>
        <item x="907"/>
        <item x="823"/>
        <item x="160"/>
        <item x="104"/>
        <item x="313"/>
        <item x="45"/>
        <item x="401"/>
        <item x="549"/>
        <item x="19"/>
        <item x="775"/>
        <item x="199"/>
        <item x="760"/>
        <item x="685"/>
        <item x="235"/>
        <item x="680"/>
        <item x="473"/>
        <item x="266"/>
        <item x="219"/>
        <item x="232"/>
        <item x="186"/>
        <item x="467"/>
        <item x="565"/>
        <item x="117"/>
        <item x="594"/>
        <item x="908"/>
        <item x="318"/>
        <item x="85"/>
        <item x="930"/>
        <item x="483"/>
        <item x="933"/>
        <item x="793"/>
        <item x="191"/>
        <item x="542"/>
        <item x="430"/>
        <item x="151"/>
        <item x="152"/>
        <item x="41"/>
        <item x="247"/>
        <item x="448"/>
        <item x="868"/>
        <item x="676"/>
        <item x="790"/>
        <item x="161"/>
        <item x="544"/>
        <item x="518"/>
        <item x="367"/>
        <item x="943"/>
        <item x="534"/>
        <item x="563"/>
        <item x="890"/>
        <item x="708"/>
        <item x="368"/>
        <item x="46"/>
        <item x="102"/>
        <item x="664"/>
        <item x="701"/>
        <item x="53"/>
        <item x="365"/>
        <item x="661"/>
        <item x="683"/>
        <item x="17"/>
        <item x="255"/>
        <item x="406"/>
        <item x="576"/>
        <item x="584"/>
        <item x="481"/>
        <item x="121"/>
        <item x="831"/>
        <item x="763"/>
        <item x="929"/>
        <item t="default"/>
      </items>
    </pivotField>
    <pivotField compact="0" numFmtId="182" showAll="0">
      <items count="607">
        <item x="208"/>
        <item x="457"/>
        <item x="489"/>
        <item x="518"/>
        <item x="311"/>
        <item x="331"/>
        <item x="136"/>
        <item x="374"/>
        <item x="502"/>
        <item x="499"/>
        <item x="66"/>
        <item x="511"/>
        <item x="287"/>
        <item x="303"/>
        <item x="180"/>
        <item x="170"/>
        <item x="487"/>
        <item x="369"/>
        <item x="202"/>
        <item x="420"/>
        <item x="294"/>
        <item x="352"/>
        <item x="453"/>
        <item x="231"/>
        <item x="220"/>
        <item x="51"/>
        <item x="515"/>
        <item x="206"/>
        <item x="481"/>
        <item x="567"/>
        <item x="386"/>
        <item x="516"/>
        <item x="513"/>
        <item x="495"/>
        <item x="4"/>
        <item x="393"/>
        <item x="235"/>
        <item x="454"/>
        <item x="342"/>
        <item x="580"/>
        <item x="90"/>
        <item x="262"/>
        <item x="16"/>
        <item x="423"/>
        <item x="261"/>
        <item x="116"/>
        <item x="544"/>
        <item x="299"/>
        <item x="337"/>
        <item x="425"/>
        <item x="582"/>
        <item x="253"/>
        <item x="226"/>
        <item x="175"/>
        <item x="118"/>
        <item x="10"/>
        <item x="328"/>
        <item x="510"/>
        <item x="503"/>
        <item x="488"/>
        <item x="276"/>
        <item x="252"/>
        <item x="298"/>
        <item x="538"/>
        <item x="483"/>
        <item x="265"/>
        <item x="58"/>
        <item x="505"/>
        <item x="240"/>
        <item x="494"/>
        <item x="402"/>
        <item x="33"/>
        <item x="529"/>
        <item x="152"/>
        <item x="601"/>
        <item x="288"/>
        <item x="278"/>
        <item x="245"/>
        <item x="185"/>
        <item x="218"/>
        <item x="575"/>
        <item x="48"/>
        <item x="9"/>
        <item x="568"/>
        <item x="289"/>
        <item x="531"/>
        <item x="587"/>
        <item x="581"/>
        <item x="597"/>
        <item x="586"/>
        <item x="139"/>
        <item x="103"/>
        <item x="172"/>
        <item x="381"/>
        <item x="15"/>
        <item x="375"/>
        <item x="452"/>
        <item x="443"/>
        <item x="600"/>
        <item x="416"/>
        <item x="596"/>
        <item x="504"/>
        <item x="543"/>
        <item x="1"/>
        <item x="163"/>
        <item x="301"/>
        <item x="279"/>
        <item x="343"/>
        <item x="439"/>
        <item x="188"/>
        <item x="59"/>
        <item x="492"/>
        <item x="246"/>
        <item x="404"/>
        <item x="308"/>
        <item x="92"/>
        <item x="284"/>
        <item x="36"/>
        <item x="86"/>
        <item x="225"/>
        <item x="548"/>
        <item x="138"/>
        <item x="501"/>
        <item x="429"/>
        <item x="296"/>
        <item x="365"/>
        <item x="166"/>
        <item x="62"/>
        <item x="91"/>
        <item x="592"/>
        <item x="229"/>
        <item x="40"/>
        <item x="17"/>
        <item x="293"/>
        <item x="590"/>
        <item x="5"/>
        <item x="158"/>
        <item x="356"/>
        <item x="140"/>
        <item x="304"/>
        <item x="11"/>
        <item x="222"/>
        <item x="203"/>
        <item x="41"/>
        <item x="239"/>
        <item x="446"/>
        <item x="88"/>
        <item x="382"/>
        <item x="117"/>
        <item x="536"/>
        <item x="519"/>
        <item x="161"/>
        <item x="69"/>
        <item x="553"/>
        <item x="45"/>
        <item x="70"/>
        <item x="157"/>
        <item x="490"/>
        <item x="340"/>
        <item x="71"/>
        <item x="28"/>
        <item x="57"/>
        <item x="312"/>
        <item x="236"/>
        <item x="271"/>
        <item x="603"/>
        <item x="405"/>
        <item x="550"/>
        <item x="300"/>
        <item x="149"/>
        <item x="277"/>
        <item x="281"/>
        <item x="498"/>
        <item x="73"/>
        <item x="555"/>
        <item x="589"/>
        <item x="585"/>
        <item x="411"/>
        <item x="215"/>
        <item x="468"/>
        <item x="373"/>
        <item x="258"/>
        <item x="74"/>
        <item x="562"/>
        <item x="357"/>
        <item x="400"/>
        <item x="559"/>
        <item x="154"/>
        <item x="3"/>
        <item x="82"/>
        <item x="360"/>
        <item x="211"/>
        <item x="268"/>
        <item x="389"/>
        <item x="259"/>
        <item x="569"/>
        <item x="153"/>
        <item x="238"/>
        <item x="267"/>
        <item x="329"/>
        <item x="169"/>
        <item x="190"/>
        <item x="89"/>
        <item x="470"/>
        <item x="290"/>
        <item x="232"/>
        <item x="573"/>
        <item x="546"/>
        <item x="85"/>
        <item x="198"/>
        <item x="65"/>
        <item x="21"/>
        <item x="38"/>
        <item x="395"/>
        <item x="448"/>
        <item x="441"/>
        <item x="165"/>
        <item x="75"/>
        <item x="77"/>
        <item x="372"/>
        <item x="273"/>
        <item x="350"/>
        <item x="428"/>
        <item x="96"/>
        <item x="598"/>
        <item x="145"/>
        <item x="7"/>
        <item x="467"/>
        <item x="392"/>
        <item x="549"/>
        <item x="473"/>
        <item x="390"/>
        <item x="507"/>
        <item x="512"/>
        <item x="438"/>
        <item x="224"/>
        <item x="200"/>
        <item x="255"/>
        <item x="472"/>
        <item x="486"/>
        <item x="52"/>
        <item x="242"/>
        <item x="383"/>
        <item x="131"/>
        <item x="605"/>
        <item x="272"/>
        <item x="283"/>
        <item x="133"/>
        <item x="377"/>
        <item x="480"/>
        <item x="354"/>
        <item x="26"/>
        <item x="184"/>
        <item x="509"/>
        <item x="199"/>
        <item x="363"/>
        <item x="181"/>
        <item x="527"/>
        <item x="219"/>
        <item x="346"/>
        <item x="542"/>
        <item x="201"/>
        <item x="537"/>
        <item x="455"/>
        <item x="243"/>
        <item x="275"/>
        <item x="125"/>
        <item x="47"/>
        <item x="122"/>
        <item x="130"/>
        <item x="286"/>
        <item x="305"/>
        <item x="25"/>
        <item x="430"/>
        <item x="12"/>
        <item x="466"/>
        <item x="137"/>
        <item x="317"/>
        <item x="460"/>
        <item x="358"/>
        <item x="270"/>
        <item x="43"/>
        <item x="81"/>
        <item x="318"/>
        <item x="496"/>
        <item x="32"/>
        <item x="274"/>
        <item x="353"/>
        <item x="189"/>
        <item x="53"/>
        <item x="144"/>
        <item x="171"/>
        <item x="285"/>
        <item x="260"/>
        <item x="574"/>
        <item x="102"/>
        <item x="419"/>
        <item x="119"/>
        <item x="595"/>
        <item x="160"/>
        <item x="107"/>
        <item x="127"/>
        <item x="384"/>
        <item x="19"/>
        <item x="426"/>
        <item x="249"/>
        <item x="156"/>
        <item x="407"/>
        <item x="164"/>
        <item x="348"/>
        <item x="506"/>
        <item x="306"/>
        <item x="250"/>
        <item x="401"/>
        <item x="179"/>
        <item x="143"/>
        <item x="413"/>
        <item x="95"/>
        <item x="557"/>
        <item x="8"/>
        <item x="192"/>
        <item x="61"/>
        <item x="124"/>
        <item x="336"/>
        <item x="323"/>
        <item x="522"/>
        <item x="361"/>
        <item x="440"/>
        <item x="214"/>
        <item x="399"/>
        <item x="31"/>
        <item x="493"/>
        <item x="212"/>
        <item x="367"/>
        <item x="197"/>
        <item x="314"/>
        <item x="291"/>
        <item x="227"/>
        <item x="320"/>
        <item x="64"/>
        <item x="403"/>
        <item x="22"/>
        <item x="431"/>
        <item x="349"/>
        <item x="23"/>
        <item x="560"/>
        <item x="561"/>
        <item x="584"/>
        <item x="525"/>
        <item x="333"/>
        <item x="98"/>
        <item x="251"/>
        <item x="414"/>
        <item x="114"/>
        <item x="54"/>
        <item x="135"/>
        <item x="42"/>
        <item x="39"/>
        <item x="178"/>
        <item x="427"/>
        <item x="442"/>
        <item x="193"/>
        <item x="24"/>
        <item x="142"/>
        <item x="126"/>
        <item x="221"/>
        <item x="572"/>
        <item x="551"/>
        <item x="417"/>
        <item x="397"/>
        <item x="128"/>
        <item x="547"/>
        <item x="422"/>
        <item x="571"/>
        <item x="121"/>
        <item x="295"/>
        <item x="55"/>
        <item x="396"/>
        <item x="105"/>
        <item x="84"/>
        <item x="99"/>
        <item x="445"/>
        <item x="444"/>
        <item x="484"/>
        <item x="366"/>
        <item x="159"/>
        <item x="433"/>
        <item x="579"/>
        <item x="72"/>
        <item x="173"/>
        <item x="462"/>
        <item x="476"/>
        <item x="588"/>
        <item x="415"/>
        <item x="194"/>
        <item x="2"/>
        <item x="359"/>
        <item x="566"/>
        <item x="524"/>
        <item x="469"/>
        <item x="334"/>
        <item x="87"/>
        <item x="94"/>
        <item x="526"/>
        <item x="474"/>
        <item x="263"/>
        <item x="0"/>
        <item x="335"/>
        <item x="475"/>
        <item x="593"/>
        <item x="412"/>
        <item x="554"/>
        <item x="424"/>
        <item x="351"/>
        <item x="141"/>
        <item x="68"/>
        <item x="78"/>
        <item x="594"/>
        <item x="421"/>
        <item x="101"/>
        <item x="108"/>
        <item x="29"/>
        <item x="385"/>
        <item x="256"/>
        <item x="523"/>
        <item x="155"/>
        <item x="269"/>
        <item x="213"/>
        <item x="327"/>
        <item x="93"/>
        <item x="264"/>
        <item x="564"/>
        <item x="478"/>
        <item x="394"/>
        <item x="182"/>
        <item x="355"/>
        <item x="378"/>
        <item x="241"/>
        <item x="344"/>
        <item x="49"/>
        <item x="6"/>
        <item x="362"/>
        <item x="230"/>
        <item x="477"/>
        <item x="14"/>
        <item x="148"/>
        <item x="347"/>
        <item x="471"/>
        <item x="435"/>
        <item x="292"/>
        <item x="280"/>
        <item x="530"/>
        <item x="371"/>
        <item x="176"/>
        <item x="339"/>
        <item x="83"/>
        <item x="408"/>
        <item x="432"/>
        <item x="67"/>
        <item x="456"/>
        <item x="63"/>
        <item x="195"/>
        <item x="319"/>
        <item x="210"/>
        <item x="380"/>
        <item x="207"/>
        <item x="123"/>
        <item x="266"/>
        <item x="100"/>
        <item x="602"/>
        <item x="316"/>
        <item x="528"/>
        <item x="508"/>
        <item x="129"/>
        <item x="458"/>
        <item x="497"/>
        <item x="302"/>
        <item x="20"/>
        <item x="248"/>
        <item x="104"/>
        <item x="583"/>
        <item x="482"/>
        <item x="552"/>
        <item x="244"/>
        <item x="151"/>
        <item x="321"/>
        <item x="532"/>
        <item x="449"/>
        <item x="436"/>
        <item x="233"/>
        <item x="50"/>
        <item x="578"/>
        <item x="56"/>
        <item x="115"/>
        <item x="217"/>
        <item x="216"/>
        <item x="599"/>
        <item x="464"/>
        <item x="388"/>
        <item x="13"/>
        <item x="134"/>
        <item x="539"/>
        <item x="409"/>
        <item x="18"/>
        <item x="110"/>
        <item x="315"/>
        <item x="535"/>
        <item x="309"/>
        <item x="325"/>
        <item x="330"/>
        <item x="591"/>
        <item x="109"/>
        <item x="461"/>
        <item x="376"/>
        <item x="410"/>
        <item x="418"/>
        <item x="364"/>
        <item x="517"/>
        <item x="167"/>
        <item x="46"/>
        <item x="370"/>
        <item x="345"/>
        <item x="533"/>
        <item x="540"/>
        <item x="79"/>
        <item x="146"/>
        <item x="447"/>
        <item x="228"/>
        <item x="97"/>
        <item x="379"/>
        <item x="434"/>
        <item x="450"/>
        <item x="534"/>
        <item x="463"/>
        <item x="437"/>
        <item x="132"/>
        <item x="406"/>
        <item x="563"/>
        <item x="191"/>
        <item x="485"/>
        <item x="187"/>
        <item x="34"/>
        <item x="150"/>
        <item x="465"/>
        <item x="368"/>
        <item x="565"/>
        <item x="183"/>
        <item x="254"/>
        <item x="37"/>
        <item x="257"/>
        <item x="177"/>
        <item x="237"/>
        <item x="459"/>
        <item x="307"/>
        <item x="577"/>
        <item x="205"/>
        <item x="174"/>
        <item x="223"/>
        <item x="520"/>
        <item x="147"/>
        <item x="297"/>
        <item x="332"/>
        <item x="541"/>
        <item x="186"/>
        <item x="60"/>
        <item x="570"/>
        <item x="500"/>
        <item x="234"/>
        <item x="30"/>
        <item x="556"/>
        <item x="558"/>
        <item x="313"/>
        <item x="322"/>
        <item x="168"/>
        <item x="324"/>
        <item x="209"/>
        <item x="341"/>
        <item x="391"/>
        <item x="44"/>
        <item x="120"/>
        <item x="310"/>
        <item x="113"/>
        <item x="451"/>
        <item x="398"/>
        <item x="27"/>
        <item x="247"/>
        <item x="576"/>
        <item x="106"/>
        <item x="76"/>
        <item x="35"/>
        <item x="112"/>
        <item x="111"/>
        <item x="338"/>
        <item x="479"/>
        <item x="521"/>
        <item x="196"/>
        <item x="491"/>
        <item x="204"/>
        <item x="282"/>
        <item x="514"/>
        <item x="80"/>
        <item x="545"/>
        <item x="604"/>
        <item x="387"/>
        <item x="326"/>
        <item x="162"/>
        <item t="default"/>
      </items>
    </pivotField>
    <pivotField compact="0" showAll="0">
      <items count="21">
        <item x="8"/>
        <item x="2"/>
        <item x="0"/>
        <item x="7"/>
        <item x="9"/>
        <item x="11"/>
        <item x="14"/>
        <item x="4"/>
        <item x="17"/>
        <item x="12"/>
        <item x="5"/>
        <item x="3"/>
        <item x="10"/>
        <item x="1"/>
        <item x="18"/>
        <item x="19"/>
        <item x="6"/>
        <item x="16"/>
        <item x="13"/>
        <item x="15"/>
        <item t="default"/>
      </items>
    </pivotField>
    <pivotField dataField="1" compact="0" showAll="0">
      <items count="7">
        <item x="5"/>
        <item x="1"/>
        <item x="2"/>
        <item x="3"/>
        <item x="0"/>
        <item x="4"/>
        <item t="default"/>
      </items>
    </pivotField>
    <pivotField compact="0" showAll="0">
      <items count="7">
        <item x="2"/>
        <item x="3"/>
        <item x="0"/>
        <item x="5"/>
        <item x="1"/>
        <item x="4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49">
        <item x="25"/>
        <item x="23"/>
        <item x="36"/>
        <item x="32"/>
        <item x="38"/>
        <item x="5"/>
        <item x="3"/>
        <item x="42"/>
        <item x="18"/>
        <item x="28"/>
        <item x="4"/>
        <item x="27"/>
        <item x="33"/>
        <item x="13"/>
        <item x="24"/>
        <item x="10"/>
        <item x="20"/>
        <item x="31"/>
        <item x="0"/>
        <item x="9"/>
        <item x="21"/>
        <item x="11"/>
        <item x="7"/>
        <item x="6"/>
        <item x="16"/>
        <item x="8"/>
        <item x="12"/>
        <item x="2"/>
        <item x="26"/>
        <item x="43"/>
        <item x="15"/>
        <item x="1"/>
        <item x="30"/>
        <item x="37"/>
        <item x="29"/>
        <item x="34"/>
        <item x="44"/>
        <item x="22"/>
        <item x="39"/>
        <item x="40"/>
        <item x="14"/>
        <item x="46"/>
        <item x="45"/>
        <item x="17"/>
        <item x="47"/>
        <item x="41"/>
        <item x="35"/>
        <item x="19"/>
        <item t="default"/>
      </items>
    </pivotField>
    <pivotField compact="0" showAll="0">
      <items count="11">
        <item x="9"/>
        <item x="5"/>
        <item x="4"/>
        <item x="1"/>
        <item x="6"/>
        <item x="0"/>
        <item x="8"/>
        <item x="3"/>
        <item x="7"/>
        <item x="2"/>
        <item t="default"/>
      </items>
    </pivotField>
    <pivotField compact="0" numFmtId="182" showAll="0">
      <items count="638">
        <item x="548"/>
        <item x="57"/>
        <item x="202"/>
        <item x="297"/>
        <item x="486"/>
        <item x="398"/>
        <item x="259"/>
        <item x="52"/>
        <item x="525"/>
        <item x="360"/>
        <item x="497"/>
        <item x="110"/>
        <item x="495"/>
        <item x="379"/>
        <item x="267"/>
        <item x="201"/>
        <item x="36"/>
        <item x="198"/>
        <item x="484"/>
        <item x="409"/>
        <item x="269"/>
        <item x="490"/>
        <item x="536"/>
        <item x="101"/>
        <item x="575"/>
        <item x="583"/>
        <item x="620"/>
        <item x="291"/>
        <item x="39"/>
        <item x="515"/>
        <item x="359"/>
        <item x="429"/>
        <item x="69"/>
        <item x="80"/>
        <item x="157"/>
        <item x="49"/>
        <item x="517"/>
        <item x="331"/>
        <item x="199"/>
        <item x="464"/>
        <item x="344"/>
        <item x="382"/>
        <item x="420"/>
        <item x="6"/>
        <item x="164"/>
        <item x="230"/>
        <item x="483"/>
        <item x="313"/>
        <item x="143"/>
        <item x="630"/>
        <item x="262"/>
        <item x="292"/>
        <item x="263"/>
        <item x="188"/>
        <item x="34"/>
        <item x="576"/>
        <item x="98"/>
        <item x="601"/>
        <item x="330"/>
        <item x="451"/>
        <item x="26"/>
        <item x="341"/>
        <item x="533"/>
        <item x="499"/>
        <item x="414"/>
        <item x="595"/>
        <item x="122"/>
        <item x="345"/>
        <item x="56"/>
        <item x="154"/>
        <item x="433"/>
        <item x="624"/>
        <item x="443"/>
        <item x="238"/>
        <item x="58"/>
        <item x="121"/>
        <item x="541"/>
        <item x="68"/>
        <item x="485"/>
        <item x="539"/>
        <item x="526"/>
        <item x="273"/>
        <item x="192"/>
        <item x="295"/>
        <item x="14"/>
        <item x="79"/>
        <item x="247"/>
        <item x="504"/>
        <item x="19"/>
        <item x="578"/>
        <item x="415"/>
        <item x="453"/>
        <item x="78"/>
        <item x="35"/>
        <item x="127"/>
        <item x="318"/>
        <item x="327"/>
        <item x="75"/>
        <item x="60"/>
        <item x="555"/>
        <item x="489"/>
        <item x="225"/>
        <item x="614"/>
        <item x="542"/>
        <item x="530"/>
        <item x="329"/>
        <item x="100"/>
        <item x="322"/>
        <item x="362"/>
        <item x="194"/>
        <item x="337"/>
        <item x="368"/>
        <item x="596"/>
        <item x="522"/>
        <item x="424"/>
        <item x="279"/>
        <item x="299"/>
        <item x="441"/>
        <item x="214"/>
        <item x="336"/>
        <item x="145"/>
        <item x="250"/>
        <item x="119"/>
        <item x="218"/>
        <item x="231"/>
        <item x="619"/>
        <item x="264"/>
        <item x="139"/>
        <item x="298"/>
        <item x="622"/>
        <item x="240"/>
        <item x="377"/>
        <item x="394"/>
        <item x="602"/>
        <item x="251"/>
        <item x="102"/>
        <item x="554"/>
        <item x="384"/>
        <item x="160"/>
        <item x="217"/>
        <item x="315"/>
        <item x="211"/>
        <item x="468"/>
        <item x="249"/>
        <item x="63"/>
        <item x="397"/>
        <item x="149"/>
        <item x="459"/>
        <item x="162"/>
        <item x="538"/>
        <item x="507"/>
        <item x="597"/>
        <item x="386"/>
        <item x="147"/>
        <item x="608"/>
        <item x="252"/>
        <item x="514"/>
        <item x="547"/>
        <item x="163"/>
        <item x="317"/>
        <item x="77"/>
        <item x="456"/>
        <item x="207"/>
        <item x="30"/>
        <item x="446"/>
        <item x="466"/>
        <item x="235"/>
        <item x="475"/>
        <item x="215"/>
        <item x="462"/>
        <item x="366"/>
        <item x="256"/>
        <item x="17"/>
        <item x="316"/>
        <item x="135"/>
        <item x="635"/>
        <item x="421"/>
        <item x="95"/>
        <item x="228"/>
        <item x="105"/>
        <item x="274"/>
        <item x="113"/>
        <item x="544"/>
        <item x="305"/>
        <item x="457"/>
        <item x="567"/>
        <item x="328"/>
        <item x="244"/>
        <item x="106"/>
        <item x="44"/>
        <item x="350"/>
        <item x="150"/>
        <item x="148"/>
        <item x="616"/>
        <item x="227"/>
        <item x="4"/>
        <item x="178"/>
        <item x="623"/>
        <item x="426"/>
        <item x="3"/>
        <item x="129"/>
        <item x="255"/>
        <item x="503"/>
        <item x="410"/>
        <item x="557"/>
        <item x="91"/>
        <item x="42"/>
        <item x="449"/>
        <item x="471"/>
        <item x="493"/>
        <item x="599"/>
        <item x="62"/>
        <item x="482"/>
        <item x="221"/>
        <item x="210"/>
        <item x="61"/>
        <item x="540"/>
        <item x="131"/>
        <item x="506"/>
        <item x="10"/>
        <item x="85"/>
        <item x="187"/>
        <item x="592"/>
        <item x="213"/>
        <item x="627"/>
        <item x="41"/>
        <item x="342"/>
        <item x="419"/>
        <item x="427"/>
        <item x="137"/>
        <item x="197"/>
        <item x="400"/>
        <item x="365"/>
        <item x="621"/>
        <item x="219"/>
        <item x="123"/>
        <item x="392"/>
        <item x="67"/>
        <item x="521"/>
        <item x="0"/>
        <item x="613"/>
        <item x="173"/>
        <item x="287"/>
        <item x="552"/>
        <item x="204"/>
        <item x="146"/>
        <item x="436"/>
        <item x="442"/>
        <item x="354"/>
        <item x="480"/>
        <item x="610"/>
        <item x="361"/>
        <item x="93"/>
        <item x="412"/>
        <item x="153"/>
        <item x="343"/>
        <item x="174"/>
        <item x="632"/>
        <item x="474"/>
        <item x="461"/>
        <item x="28"/>
        <item x="332"/>
        <item x="519"/>
        <item x="27"/>
        <item x="282"/>
        <item x="239"/>
        <item x="463"/>
        <item x="584"/>
        <item x="390"/>
        <item x="22"/>
        <item x="284"/>
        <item x="478"/>
        <item x="588"/>
        <item x="18"/>
        <item x="498"/>
        <item x="155"/>
        <item x="559"/>
        <item x="432"/>
        <item x="25"/>
        <item x="607"/>
        <item x="612"/>
        <item x="334"/>
        <item x="367"/>
        <item x="266"/>
        <item x="109"/>
        <item x="549"/>
        <item x="465"/>
        <item x="326"/>
        <item x="356"/>
        <item x="43"/>
        <item x="545"/>
        <item x="159"/>
        <item x="54"/>
        <item x="288"/>
        <item x="389"/>
        <item x="277"/>
        <item x="312"/>
        <item x="611"/>
        <item x="296"/>
        <item x="560"/>
        <item x="529"/>
        <item x="535"/>
        <item x="9"/>
        <item x="268"/>
        <item x="65"/>
        <item x="349"/>
        <item x="180"/>
        <item x="473"/>
        <item x="120"/>
        <item x="303"/>
        <item x="222"/>
        <item x="33"/>
        <item x="487"/>
        <item x="581"/>
        <item x="55"/>
        <item x="523"/>
        <item x="294"/>
        <item x="258"/>
        <item x="417"/>
        <item x="285"/>
        <item x="562"/>
        <item x="609"/>
        <item x="82"/>
        <item x="243"/>
        <item x="524"/>
        <item x="107"/>
        <item x="629"/>
        <item x="125"/>
        <item x="369"/>
        <item x="531"/>
        <item x="358"/>
        <item x="401"/>
        <item x="5"/>
        <item x="556"/>
        <item x="598"/>
        <item x="439"/>
        <item x="189"/>
        <item x="177"/>
        <item x="168"/>
        <item x="290"/>
        <item x="94"/>
        <item x="423"/>
        <item x="375"/>
        <item x="152"/>
        <item x="96"/>
        <item x="108"/>
        <item x="378"/>
        <item x="335"/>
        <item x="527"/>
        <item x="568"/>
        <item x="437"/>
        <item x="618"/>
        <item x="229"/>
        <item x="444"/>
        <item x="425"/>
        <item x="582"/>
        <item x="128"/>
        <item x="195"/>
        <item x="276"/>
        <item x="571"/>
        <item x="553"/>
        <item x="48"/>
        <item x="347"/>
        <item x="406"/>
        <item x="200"/>
        <item x="352"/>
        <item x="223"/>
        <item x="254"/>
        <item x="15"/>
        <item x="141"/>
        <item x="142"/>
        <item x="452"/>
        <item x="182"/>
        <item x="309"/>
        <item x="579"/>
        <item x="205"/>
        <item x="590"/>
        <item x="283"/>
        <item x="138"/>
        <item x="151"/>
        <item x="450"/>
        <item x="563"/>
        <item x="11"/>
        <item x="99"/>
        <item x="272"/>
        <item x="66"/>
        <item x="51"/>
        <item x="593"/>
        <item x="564"/>
        <item x="310"/>
        <item x="133"/>
        <item x="357"/>
        <item x="301"/>
        <item x="558"/>
        <item x="438"/>
        <item x="633"/>
        <item x="496"/>
        <item x="260"/>
        <item x="166"/>
        <item x="372"/>
        <item x="134"/>
        <item x="234"/>
        <item x="124"/>
        <item x="97"/>
        <item x="185"/>
        <item x="388"/>
        <item x="190"/>
        <item x="72"/>
        <item x="300"/>
        <item x="477"/>
        <item x="383"/>
        <item x="431"/>
        <item x="338"/>
        <item x="24"/>
        <item x="40"/>
        <item x="585"/>
        <item x="165"/>
        <item x="440"/>
        <item x="631"/>
        <item x="246"/>
        <item x="23"/>
        <item x="45"/>
        <item x="257"/>
        <item x="236"/>
        <item x="407"/>
        <item x="193"/>
        <item x="156"/>
        <item x="206"/>
        <item x="224"/>
        <item x="469"/>
        <item x="511"/>
        <item x="532"/>
        <item x="71"/>
        <item x="74"/>
        <item x="339"/>
        <item x="111"/>
        <item x="509"/>
        <item x="574"/>
        <item x="550"/>
        <item x="381"/>
        <item x="117"/>
        <item x="87"/>
        <item x="628"/>
        <item x="126"/>
        <item x="591"/>
        <item x="314"/>
        <item x="304"/>
        <item x="353"/>
        <item x="566"/>
        <item x="513"/>
        <item x="600"/>
        <item x="408"/>
        <item x="594"/>
        <item x="183"/>
        <item x="351"/>
        <item x="580"/>
        <item x="411"/>
        <item x="237"/>
        <item x="374"/>
        <item x="470"/>
        <item x="293"/>
        <item x="265"/>
        <item x="53"/>
        <item x="232"/>
        <item x="270"/>
        <item x="114"/>
        <item x="586"/>
        <item x="158"/>
        <item x="454"/>
        <item x="447"/>
        <item x="92"/>
        <item x="209"/>
        <item x="226"/>
        <item x="617"/>
        <item x="376"/>
        <item x="512"/>
        <item x="434"/>
        <item x="445"/>
        <item x="320"/>
        <item x="203"/>
        <item x="422"/>
        <item x="615"/>
        <item x="587"/>
        <item x="242"/>
        <item x="233"/>
        <item x="278"/>
        <item x="76"/>
        <item x="115"/>
        <item x="589"/>
        <item x="136"/>
        <item x="29"/>
        <item x="418"/>
        <item x="90"/>
        <item x="528"/>
        <item x="380"/>
        <item x="8"/>
        <item x="458"/>
        <item x="561"/>
        <item x="306"/>
        <item x="501"/>
        <item x="333"/>
        <item x="116"/>
        <item x="572"/>
        <item x="565"/>
        <item x="500"/>
        <item x="573"/>
        <item x="625"/>
        <item x="81"/>
        <item x="488"/>
        <item x="626"/>
        <item x="363"/>
        <item x="175"/>
        <item x="516"/>
        <item x="543"/>
        <item x="1"/>
        <item x="393"/>
        <item x="73"/>
        <item x="510"/>
        <item x="181"/>
        <item x="70"/>
        <item x="577"/>
        <item x="508"/>
        <item x="494"/>
        <item x="371"/>
        <item x="184"/>
        <item x="355"/>
        <item x="186"/>
        <item x="241"/>
        <item x="280"/>
        <item x="112"/>
        <item x="405"/>
        <item x="634"/>
        <item x="546"/>
        <item x="428"/>
        <item x="286"/>
        <item x="196"/>
        <item x="161"/>
        <item x="170"/>
        <item x="395"/>
        <item x="191"/>
        <item x="59"/>
        <item x="534"/>
        <item x="321"/>
        <item x="212"/>
        <item x="551"/>
        <item x="47"/>
        <item x="416"/>
        <item x="37"/>
        <item x="140"/>
        <item x="144"/>
        <item x="104"/>
        <item x="570"/>
        <item x="103"/>
        <item x="481"/>
        <item x="50"/>
        <item x="518"/>
        <item x="208"/>
        <item x="636"/>
        <item x="275"/>
        <item x="12"/>
        <item x="404"/>
        <item x="479"/>
        <item x="467"/>
        <item x="311"/>
        <item x="319"/>
        <item x="179"/>
        <item x="86"/>
        <item x="21"/>
        <item x="20"/>
        <item x="385"/>
        <item x="289"/>
        <item x="373"/>
        <item x="413"/>
        <item x="308"/>
        <item x="16"/>
        <item x="430"/>
        <item x="220"/>
        <item x="387"/>
        <item x="46"/>
        <item x="391"/>
        <item x="537"/>
        <item x="455"/>
        <item x="167"/>
        <item x="472"/>
        <item x="606"/>
        <item x="448"/>
        <item x="399"/>
        <item x="248"/>
        <item x="118"/>
        <item x="216"/>
        <item x="569"/>
        <item x="2"/>
        <item x="307"/>
        <item x="130"/>
        <item x="64"/>
        <item x="132"/>
        <item x="38"/>
        <item x="603"/>
        <item x="32"/>
        <item x="89"/>
        <item x="253"/>
        <item x="340"/>
        <item x="323"/>
        <item x="271"/>
        <item x="83"/>
        <item x="502"/>
        <item x="505"/>
        <item x="492"/>
        <item x="435"/>
        <item x="172"/>
        <item x="348"/>
        <item x="7"/>
        <item x="324"/>
        <item x="281"/>
        <item x="346"/>
        <item x="171"/>
        <item x="176"/>
        <item x="604"/>
        <item x="370"/>
        <item x="261"/>
        <item x="88"/>
        <item x="169"/>
        <item x="325"/>
        <item x="13"/>
        <item x="605"/>
        <item x="460"/>
        <item x="31"/>
        <item x="520"/>
        <item x="396"/>
        <item x="403"/>
        <item x="491"/>
        <item x="476"/>
        <item x="245"/>
        <item x="402"/>
        <item x="302"/>
        <item x="84"/>
        <item x="364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1">
        <item x="1"/>
        <item x="18"/>
        <item x="5"/>
        <item x="12"/>
        <item x="15"/>
        <item x="6"/>
        <item x="14"/>
        <item x="9"/>
        <item x="2"/>
        <item x="16"/>
        <item x="19"/>
        <item x="10"/>
        <item x="3"/>
        <item x="4"/>
        <item x="7"/>
        <item x="17"/>
        <item x="13"/>
        <item x="0"/>
        <item x="11"/>
        <item x="8"/>
        <item t="default"/>
      </items>
    </pivotField>
    <pivotField axis="axisPage" compact="0" multipleItemSelectionAllowed="1" showAll="0">
      <items count="7">
        <item h="1" x="0"/>
        <item x="1"/>
        <item h="1" x="5"/>
        <item x="2"/>
        <item h="1" x="3"/>
        <item h="1" x="4"/>
        <item t="default"/>
      </items>
    </pivotField>
    <pivotField compact="0" showAll="0">
      <items count="21">
        <item x="10"/>
        <item x="0"/>
        <item x="6"/>
        <item x="4"/>
        <item x="8"/>
        <item x="19"/>
        <item x="9"/>
        <item x="5"/>
        <item x="7"/>
        <item x="1"/>
        <item x="11"/>
        <item x="12"/>
        <item x="18"/>
        <item x="2"/>
        <item x="15"/>
        <item x="14"/>
        <item x="16"/>
        <item x="17"/>
        <item x="3"/>
        <item x="13"/>
        <item t="default"/>
      </items>
    </pivotField>
    <pivotField compact="0" showAll="0">
      <items count="179">
        <item x="119"/>
        <item x="20"/>
        <item x="16"/>
        <item x="55"/>
        <item x="43"/>
        <item x="6"/>
        <item x="13"/>
        <item x="70"/>
        <item x="45"/>
        <item x="15"/>
        <item x="76"/>
        <item x="103"/>
        <item x="10"/>
        <item x="17"/>
        <item x="39"/>
        <item x="52"/>
        <item x="19"/>
        <item x="18"/>
        <item x="129"/>
        <item x="59"/>
        <item x="63"/>
        <item x="40"/>
        <item x="37"/>
        <item x="4"/>
        <item x="99"/>
        <item x="91"/>
        <item x="77"/>
        <item x="0"/>
        <item x="31"/>
        <item x="12"/>
        <item x="101"/>
        <item x="85"/>
        <item x="1"/>
        <item x="105"/>
        <item x="54"/>
        <item x="94"/>
        <item x="7"/>
        <item x="34"/>
        <item x="132"/>
        <item x="114"/>
        <item x="151"/>
        <item x="86"/>
        <item x="64"/>
        <item x="2"/>
        <item x="123"/>
        <item x="90"/>
        <item x="137"/>
        <item x="41"/>
        <item x="62"/>
        <item x="24"/>
        <item x="57"/>
        <item x="36"/>
        <item x="104"/>
        <item x="30"/>
        <item x="23"/>
        <item x="29"/>
        <item x="26"/>
        <item x="136"/>
        <item x="28"/>
        <item x="128"/>
        <item x="35"/>
        <item x="87"/>
        <item x="48"/>
        <item x="110"/>
        <item x="9"/>
        <item x="78"/>
        <item x="11"/>
        <item x="33"/>
        <item x="8"/>
        <item x="56"/>
        <item x="148"/>
        <item x="61"/>
        <item x="58"/>
        <item x="22"/>
        <item x="50"/>
        <item x="154"/>
        <item x="68"/>
        <item x="98"/>
        <item x="51"/>
        <item x="108"/>
        <item x="106"/>
        <item x="96"/>
        <item x="146"/>
        <item x="113"/>
        <item x="21"/>
        <item x="159"/>
        <item x="72"/>
        <item x="158"/>
        <item x="38"/>
        <item x="88"/>
        <item x="95"/>
        <item x="173"/>
        <item x="32"/>
        <item x="53"/>
        <item x="46"/>
        <item x="175"/>
        <item x="49"/>
        <item x="79"/>
        <item x="130"/>
        <item x="75"/>
        <item x="5"/>
        <item x="170"/>
        <item x="160"/>
        <item x="121"/>
        <item x="93"/>
        <item x="143"/>
        <item x="100"/>
        <item x="140"/>
        <item x="176"/>
        <item x="171"/>
        <item x="161"/>
        <item x="139"/>
        <item x="73"/>
        <item x="60"/>
        <item x="102"/>
        <item x="172"/>
        <item x="118"/>
        <item x="3"/>
        <item x="166"/>
        <item x="145"/>
        <item x="82"/>
        <item x="42"/>
        <item x="112"/>
        <item x="135"/>
        <item x="84"/>
        <item x="83"/>
        <item x="111"/>
        <item x="14"/>
        <item x="47"/>
        <item x="142"/>
        <item x="147"/>
        <item x="177"/>
        <item x="66"/>
        <item x="44"/>
        <item x="156"/>
        <item x="71"/>
        <item x="27"/>
        <item x="169"/>
        <item x="81"/>
        <item x="125"/>
        <item x="126"/>
        <item x="65"/>
        <item x="162"/>
        <item x="150"/>
        <item x="138"/>
        <item x="115"/>
        <item x="92"/>
        <item x="120"/>
        <item x="153"/>
        <item x="144"/>
        <item x="97"/>
        <item x="74"/>
        <item x="167"/>
        <item x="168"/>
        <item x="152"/>
        <item x="69"/>
        <item x="155"/>
        <item x="163"/>
        <item x="67"/>
        <item x="164"/>
        <item x="107"/>
        <item x="89"/>
        <item x="141"/>
        <item x="165"/>
        <item x="80"/>
        <item x="25"/>
        <item x="174"/>
        <item x="133"/>
        <item x="131"/>
        <item x="117"/>
        <item x="127"/>
        <item x="157"/>
        <item x="109"/>
        <item x="134"/>
        <item x="124"/>
        <item x="149"/>
        <item x="116"/>
        <item x="122"/>
        <item t="default"/>
      </items>
    </pivotField>
    <pivotField compact="0" showAll="0">
      <items count="179">
        <item x="119"/>
        <item x="20"/>
        <item x="16"/>
        <item x="55"/>
        <item x="43"/>
        <item x="6"/>
        <item x="13"/>
        <item x="70"/>
        <item x="45"/>
        <item x="15"/>
        <item x="76"/>
        <item x="103"/>
        <item x="10"/>
        <item x="17"/>
        <item x="39"/>
        <item x="52"/>
        <item x="19"/>
        <item x="18"/>
        <item x="129"/>
        <item x="59"/>
        <item x="63"/>
        <item x="40"/>
        <item x="37"/>
        <item x="4"/>
        <item x="99"/>
        <item x="91"/>
        <item x="77"/>
        <item x="0"/>
        <item x="31"/>
        <item x="12"/>
        <item x="101"/>
        <item x="85"/>
        <item x="1"/>
        <item x="105"/>
        <item x="54"/>
        <item x="94"/>
        <item x="7"/>
        <item x="34"/>
        <item x="132"/>
        <item x="114"/>
        <item x="151"/>
        <item x="86"/>
        <item x="64"/>
        <item x="2"/>
        <item x="123"/>
        <item x="90"/>
        <item x="137"/>
        <item x="41"/>
        <item x="62"/>
        <item x="24"/>
        <item x="57"/>
        <item x="36"/>
        <item x="104"/>
        <item x="30"/>
        <item x="23"/>
        <item x="29"/>
        <item x="26"/>
        <item x="136"/>
        <item x="28"/>
        <item x="128"/>
        <item x="35"/>
        <item x="87"/>
        <item x="48"/>
        <item x="110"/>
        <item x="9"/>
        <item x="78"/>
        <item x="11"/>
        <item x="33"/>
        <item x="8"/>
        <item x="56"/>
        <item x="148"/>
        <item x="61"/>
        <item x="58"/>
        <item x="22"/>
        <item x="50"/>
        <item x="154"/>
        <item x="68"/>
        <item x="98"/>
        <item x="51"/>
        <item x="108"/>
        <item x="106"/>
        <item x="96"/>
        <item x="146"/>
        <item x="113"/>
        <item x="21"/>
        <item x="159"/>
        <item x="72"/>
        <item x="158"/>
        <item x="38"/>
        <item x="88"/>
        <item x="95"/>
        <item x="173"/>
        <item x="32"/>
        <item x="53"/>
        <item x="46"/>
        <item x="175"/>
        <item x="49"/>
        <item x="79"/>
        <item x="130"/>
        <item x="75"/>
        <item x="5"/>
        <item x="170"/>
        <item x="160"/>
        <item x="121"/>
        <item x="93"/>
        <item x="143"/>
        <item x="100"/>
        <item x="140"/>
        <item x="176"/>
        <item x="171"/>
        <item x="161"/>
        <item x="139"/>
        <item x="73"/>
        <item x="60"/>
        <item x="102"/>
        <item x="172"/>
        <item x="118"/>
        <item x="3"/>
        <item x="166"/>
        <item x="145"/>
        <item x="82"/>
        <item x="42"/>
        <item x="112"/>
        <item x="135"/>
        <item x="84"/>
        <item x="83"/>
        <item x="111"/>
        <item x="14"/>
        <item x="47"/>
        <item x="142"/>
        <item x="147"/>
        <item x="177"/>
        <item x="66"/>
        <item x="44"/>
        <item x="156"/>
        <item x="71"/>
        <item x="27"/>
        <item x="169"/>
        <item x="81"/>
        <item x="125"/>
        <item x="126"/>
        <item x="65"/>
        <item x="162"/>
        <item x="150"/>
        <item x="138"/>
        <item x="115"/>
        <item x="92"/>
        <item x="120"/>
        <item x="153"/>
        <item x="144"/>
        <item x="97"/>
        <item x="74"/>
        <item x="167"/>
        <item x="168"/>
        <item x="152"/>
        <item x="69"/>
        <item x="155"/>
        <item x="163"/>
        <item x="67"/>
        <item x="164"/>
        <item x="107"/>
        <item x="89"/>
        <item x="141"/>
        <item x="165"/>
        <item x="80"/>
        <item x="25"/>
        <item x="174"/>
        <item x="133"/>
        <item x="131"/>
        <item x="117"/>
        <item x="127"/>
        <item x="157"/>
        <item x="109"/>
        <item x="134"/>
        <item x="124"/>
        <item x="149"/>
        <item x="116"/>
        <item x="122"/>
        <item t="default"/>
      </items>
    </pivotField>
    <pivotField compact="0" showAll="0">
      <items count="3">
        <item x="0"/>
        <item x="1"/>
        <item t="default"/>
      </items>
    </pivotField>
  </pivotFields>
  <pageFields count="1">
    <pageField fld="13"/>
  </pageFields>
  <dataFields count="1">
    <dataField name="Average of Quantity" fld="4" subtotal="average" baseField="0" baseItem="0"/>
  </dataFields>
  <formats count="10">
    <format dxfId="18">
      <pivotArea collapsedLevelsAreSubtotals="1" fieldPosition="0"/>
    </format>
    <format dxfId="19">
      <pivotArea collapsedLevelsAreSubtotals="1" fieldPosition="0"/>
    </format>
    <format dxfId="20">
      <pivotArea collapsedLevelsAreSubtotals="1" fieldPosition="0"/>
    </format>
    <format dxfId="21">
      <pivotArea collapsedLevelsAreSubtotals="1" fieldPosition="0"/>
    </format>
    <format dxfId="22">
      <pivotArea collapsedLevelsAreSubtotals="1" fieldPosition="0"/>
    </format>
    <format dxfId="23">
      <pivotArea collapsedLevelsAreSubtotals="1" fieldPosition="0"/>
    </format>
    <format dxfId="24">
      <pivotArea type="all" dataOnly="0" outline="0" fieldPosition="0"/>
    </format>
    <format dxfId="25">
      <pivotArea type="all" dataOnly="0" outline="0" fieldPosition="0"/>
    </format>
    <format dxfId="26">
      <pivotArea field="13" type="button" dataOnly="0" labelOnly="1" outline="0" fieldPosition="0"/>
    </format>
    <format dxfId="27">
      <pivotArea dataOnly="0" labelOnly="1" outline="0" fieldPosition="0">
        <references count="1">
          <reference field="13" count="0"/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T1001" totalsRowShown="0">
  <autoFilter xmlns:etc="http://www.wps.cn/officeDocument/2017/etCustomData" ref="A1:T1001" etc:filterBottomFollowUsedRange="0"/>
  <tableColumns count="20">
    <tableColumn id="1" name="OrderID"/>
    <tableColumn id="2" name="CustomerID"/>
    <tableColumn id="3" name="OrderDate" dataDxfId="28"/>
    <tableColumn id="4" name="ProductID"/>
    <tableColumn id="5" name="Quantity"/>
    <tableColumn id="6" name="Discount"/>
    <tableColumn id="7" name="PaymentMethod"/>
    <tableColumn id="8" name="Status"/>
    <tableColumn id="9" name="Age"/>
    <tableColumn id="10" name="City"/>
    <tableColumn id="11" name="SignupDate" dataDxfId="29"/>
    <tableColumn id="12" name="CustomerSegment"/>
    <tableColumn id="13" name="ProductName"/>
    <tableColumn id="14" name="Category"/>
    <tableColumn id="15" name="UnitPrice"/>
    <tableColumn id="16" name="Sales"/>
    <tableColumn id="17" name="OrderValue"/>
    <tableColumn id="18" name="Customer Status" dataDxfId="30">
      <calculatedColumnFormula>IF(YEAR(C2)&gt;=2025,"Active Customer","Inactive Customer")</calculatedColumnFormula>
    </tableColumn>
    <tableColumn id="19" name="Amount" dataDxfId="31">
      <calculatedColumnFormula>SUM(E2*O2)</calculatedColumnFormula>
    </tableColumn>
    <tableColumn id="20" name="Discount Statis" dataDxfId="32">
      <calculatedColumnFormula>IF(F2&lt;=5,"Low",IF(F2&lt;=10,"Average",IF(F2&gt;10,"High")))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3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/>
  <cols>
    <col min="1" max="1" width="8.57142857142857" customWidth="1"/>
    <col min="2" max="2" width="12.2857142857143" customWidth="1"/>
    <col min="3" max="3" width="11.1428571428571" customWidth="1"/>
    <col min="4" max="4" width="10.2857142857143" customWidth="1"/>
    <col min="5" max="6" width="9.28571428571429" customWidth="1"/>
    <col min="7" max="7" width="17.4285714285714" customWidth="1"/>
    <col min="8" max="8" width="11.5714285714286" customWidth="1"/>
    <col min="9" max="9" width="5" customWidth="1"/>
    <col min="10" max="10" width="9.57142857142857" customWidth="1"/>
    <col min="11" max="11" width="11.8571428571429" customWidth="1"/>
    <col min="12" max="12" width="19" customWidth="1"/>
    <col min="13" max="13" width="21.7142857142857" customWidth="1"/>
    <col min="14" max="14" width="13" customWidth="1"/>
    <col min="15" max="15" width="9.85714285714286" customWidth="1"/>
    <col min="16" max="16" width="6.14285714285714" customWidth="1"/>
    <col min="17" max="17" width="12.1428571428571" customWidth="1"/>
    <col min="18" max="18" width="18.5714285714286" customWidth="1"/>
    <col min="20" max="20" width="15.1428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2">
        <v>500001</v>
      </c>
      <c r="B2" s="2">
        <v>103695</v>
      </c>
      <c r="C2" s="8">
        <v>45897</v>
      </c>
      <c r="D2" s="2">
        <v>2003</v>
      </c>
      <c r="E2" s="2">
        <v>4</v>
      </c>
      <c r="F2" s="2">
        <v>10</v>
      </c>
      <c r="G2" s="2" t="s">
        <v>20</v>
      </c>
      <c r="H2" s="2" t="s">
        <v>21</v>
      </c>
      <c r="I2" s="2">
        <v>36</v>
      </c>
      <c r="J2" s="2" t="s">
        <v>22</v>
      </c>
      <c r="K2" s="8">
        <v>45356</v>
      </c>
      <c r="L2" s="2" t="s">
        <v>23</v>
      </c>
      <c r="M2" s="2" t="s">
        <v>24</v>
      </c>
      <c r="N2" s="2" t="s">
        <v>25</v>
      </c>
      <c r="O2" s="2">
        <v>9</v>
      </c>
      <c r="P2" s="2">
        <v>32</v>
      </c>
      <c r="Q2" s="2">
        <v>32</v>
      </c>
      <c r="R2" s="9" t="s">
        <v>26</v>
      </c>
      <c r="S2" s="9">
        <f t="shared" ref="S2:S65" si="0">SUM(E2*O2)</f>
        <v>36</v>
      </c>
      <c r="T2" s="10" t="str">
        <f t="shared" ref="T2:T65" si="1">IF(F2&lt;=5,"Low",IF(F2&lt;=10,"Average",IF(F2&gt;10,"High")))</f>
        <v>Average</v>
      </c>
    </row>
    <row r="3" spans="1:20">
      <c r="A3" s="2">
        <v>500002</v>
      </c>
      <c r="B3" s="2">
        <v>107935</v>
      </c>
      <c r="C3" s="8">
        <v>45443</v>
      </c>
      <c r="D3" s="2">
        <v>2014</v>
      </c>
      <c r="E3" s="2">
        <v>1</v>
      </c>
      <c r="F3" s="2">
        <v>10</v>
      </c>
      <c r="G3" s="2" t="s">
        <v>27</v>
      </c>
      <c r="H3" s="2" t="s">
        <v>21</v>
      </c>
      <c r="I3" s="2">
        <v>49</v>
      </c>
      <c r="J3" s="2" t="s">
        <v>28</v>
      </c>
      <c r="K3" s="8">
        <v>45812</v>
      </c>
      <c r="L3" s="2" t="s">
        <v>23</v>
      </c>
      <c r="M3" s="2" t="s">
        <v>29</v>
      </c>
      <c r="N3" s="2" t="s">
        <v>25</v>
      </c>
      <c r="O3" s="2">
        <v>42</v>
      </c>
      <c r="P3" s="2">
        <v>38</v>
      </c>
      <c r="Q3" s="2">
        <v>38</v>
      </c>
      <c r="R3" s="9" t="s">
        <v>30</v>
      </c>
      <c r="S3" s="9">
        <f t="shared" si="0"/>
        <v>42</v>
      </c>
      <c r="T3" s="10" t="str">
        <f t="shared" si="1"/>
        <v>Average</v>
      </c>
    </row>
    <row r="4" spans="1:20">
      <c r="A4" s="2">
        <v>500003</v>
      </c>
      <c r="B4" s="2">
        <v>105141</v>
      </c>
      <c r="C4" s="8">
        <v>45879</v>
      </c>
      <c r="D4" s="2">
        <v>2002</v>
      </c>
      <c r="E4" s="2">
        <v>1</v>
      </c>
      <c r="F4" s="2">
        <v>20</v>
      </c>
      <c r="G4" s="2" t="s">
        <v>31</v>
      </c>
      <c r="H4" s="2" t="s">
        <v>21</v>
      </c>
      <c r="I4" s="2">
        <v>36</v>
      </c>
      <c r="J4" s="2" t="s">
        <v>32</v>
      </c>
      <c r="K4" s="8">
        <v>45949</v>
      </c>
      <c r="L4" s="2" t="s">
        <v>23</v>
      </c>
      <c r="M4" s="2" t="s">
        <v>33</v>
      </c>
      <c r="N4" s="2" t="s">
        <v>34</v>
      </c>
      <c r="O4" s="2">
        <v>62</v>
      </c>
      <c r="P4" s="2">
        <v>50</v>
      </c>
      <c r="Q4" s="2">
        <v>50</v>
      </c>
      <c r="R4" s="9" t="s">
        <v>26</v>
      </c>
      <c r="S4" s="9">
        <f t="shared" si="0"/>
        <v>62</v>
      </c>
      <c r="T4" s="10" t="str">
        <f t="shared" si="1"/>
        <v>High</v>
      </c>
    </row>
    <row r="5" spans="1:20">
      <c r="A5" s="2">
        <v>500004</v>
      </c>
      <c r="B5" s="2">
        <v>108780</v>
      </c>
      <c r="C5" s="8">
        <v>45576</v>
      </c>
      <c r="D5" s="2">
        <v>2012</v>
      </c>
      <c r="E5" s="2">
        <v>1</v>
      </c>
      <c r="F5" s="2">
        <v>10</v>
      </c>
      <c r="G5" s="2" t="s">
        <v>20</v>
      </c>
      <c r="H5" s="2" t="s">
        <v>21</v>
      </c>
      <c r="I5" s="2">
        <v>45</v>
      </c>
      <c r="J5" s="2" t="s">
        <v>35</v>
      </c>
      <c r="K5" s="8">
        <v>45267</v>
      </c>
      <c r="L5" s="2" t="s">
        <v>23</v>
      </c>
      <c r="M5" s="2" t="s">
        <v>36</v>
      </c>
      <c r="N5" s="2" t="s">
        <v>37</v>
      </c>
      <c r="O5" s="2">
        <v>180</v>
      </c>
      <c r="P5" s="2">
        <v>162</v>
      </c>
      <c r="Q5" s="2">
        <v>162</v>
      </c>
      <c r="R5" s="9" t="s">
        <v>30</v>
      </c>
      <c r="S5" s="9">
        <f t="shared" si="0"/>
        <v>180</v>
      </c>
      <c r="T5" s="10" t="str">
        <f t="shared" si="1"/>
        <v>Average</v>
      </c>
    </row>
    <row r="6" spans="1:20">
      <c r="A6" s="2">
        <v>500005</v>
      </c>
      <c r="B6" s="2">
        <v>101187</v>
      </c>
      <c r="C6" s="8">
        <v>45341</v>
      </c>
      <c r="D6" s="2">
        <v>2008</v>
      </c>
      <c r="E6" s="2">
        <v>2</v>
      </c>
      <c r="F6" s="2">
        <v>0</v>
      </c>
      <c r="G6" s="2" t="s">
        <v>20</v>
      </c>
      <c r="H6" s="2" t="s">
        <v>21</v>
      </c>
      <c r="I6" s="2">
        <v>24</v>
      </c>
      <c r="J6" s="2" t="s">
        <v>38</v>
      </c>
      <c r="K6" s="8">
        <v>45262</v>
      </c>
      <c r="L6" s="2" t="s">
        <v>23</v>
      </c>
      <c r="M6" s="2" t="s">
        <v>39</v>
      </c>
      <c r="N6" s="2" t="s">
        <v>25</v>
      </c>
      <c r="O6" s="2">
        <v>14</v>
      </c>
      <c r="P6" s="2">
        <v>28</v>
      </c>
      <c r="Q6" s="2">
        <v>28</v>
      </c>
      <c r="R6" s="9" t="s">
        <v>30</v>
      </c>
      <c r="S6" s="9">
        <f t="shared" si="0"/>
        <v>28</v>
      </c>
      <c r="T6" s="10" t="str">
        <f t="shared" si="1"/>
        <v>Low</v>
      </c>
    </row>
    <row r="7" spans="1:20">
      <c r="A7" s="2">
        <v>500006</v>
      </c>
      <c r="B7" s="2">
        <v>105545</v>
      </c>
      <c r="C7" s="8">
        <v>45489</v>
      </c>
      <c r="D7" s="2">
        <v>2011</v>
      </c>
      <c r="E7" s="2">
        <v>4</v>
      </c>
      <c r="F7" s="2">
        <v>0</v>
      </c>
      <c r="G7" s="2" t="s">
        <v>20</v>
      </c>
      <c r="H7" s="2" t="s">
        <v>40</v>
      </c>
      <c r="I7" s="2">
        <v>28</v>
      </c>
      <c r="J7" s="2" t="s">
        <v>32</v>
      </c>
      <c r="K7" s="8">
        <v>45511</v>
      </c>
      <c r="L7" s="2" t="s">
        <v>41</v>
      </c>
      <c r="M7" s="2" t="s">
        <v>42</v>
      </c>
      <c r="N7" s="2" t="s">
        <v>37</v>
      </c>
      <c r="O7" s="2">
        <v>32</v>
      </c>
      <c r="P7" s="2">
        <v>128</v>
      </c>
      <c r="Q7" s="2">
        <v>128</v>
      </c>
      <c r="R7" s="9" t="s">
        <v>30</v>
      </c>
      <c r="S7" s="9">
        <f t="shared" si="0"/>
        <v>128</v>
      </c>
      <c r="T7" s="10" t="str">
        <f t="shared" si="1"/>
        <v>Low</v>
      </c>
    </row>
    <row r="8" spans="1:20">
      <c r="A8" s="2">
        <v>500007</v>
      </c>
      <c r="B8" s="2">
        <v>106418</v>
      </c>
      <c r="C8" s="8">
        <v>45945</v>
      </c>
      <c r="D8" s="2">
        <v>2017</v>
      </c>
      <c r="E8" s="2">
        <v>1</v>
      </c>
      <c r="F8" s="2">
        <v>5</v>
      </c>
      <c r="G8" s="2" t="s">
        <v>27</v>
      </c>
      <c r="H8" s="2" t="s">
        <v>21</v>
      </c>
      <c r="I8" s="2">
        <v>23</v>
      </c>
      <c r="J8" s="2" t="s">
        <v>43</v>
      </c>
      <c r="K8" s="8">
        <v>44994</v>
      </c>
      <c r="L8" s="2" t="s">
        <v>41</v>
      </c>
      <c r="M8" s="2" t="s">
        <v>44</v>
      </c>
      <c r="N8" s="2" t="s">
        <v>25</v>
      </c>
      <c r="O8" s="2">
        <v>11</v>
      </c>
      <c r="P8" s="2">
        <v>10</v>
      </c>
      <c r="Q8" s="2">
        <v>10</v>
      </c>
      <c r="R8" s="9" t="s">
        <v>26</v>
      </c>
      <c r="S8" s="9">
        <f t="shared" si="0"/>
        <v>11</v>
      </c>
      <c r="T8" s="10" t="str">
        <f t="shared" si="1"/>
        <v>Low</v>
      </c>
    </row>
    <row r="9" spans="1:20">
      <c r="A9" s="2">
        <v>500008</v>
      </c>
      <c r="B9" s="2">
        <v>108755</v>
      </c>
      <c r="C9" s="8">
        <v>45629</v>
      </c>
      <c r="D9" s="2">
        <v>2014</v>
      </c>
      <c r="E9" s="2">
        <v>1</v>
      </c>
      <c r="F9" s="2">
        <v>0</v>
      </c>
      <c r="G9" s="2" t="s">
        <v>20</v>
      </c>
      <c r="H9" s="2" t="s">
        <v>21</v>
      </c>
      <c r="I9" s="2">
        <v>41</v>
      </c>
      <c r="J9" s="2" t="s">
        <v>45</v>
      </c>
      <c r="K9" s="8">
        <v>45981</v>
      </c>
      <c r="L9" s="2" t="s">
        <v>23</v>
      </c>
      <c r="M9" s="2" t="s">
        <v>29</v>
      </c>
      <c r="N9" s="2" t="s">
        <v>25</v>
      </c>
      <c r="O9" s="2">
        <v>42</v>
      </c>
      <c r="P9" s="2">
        <v>42</v>
      </c>
      <c r="Q9" s="2">
        <v>42</v>
      </c>
      <c r="R9" s="9" t="s">
        <v>30</v>
      </c>
      <c r="S9" s="9">
        <f t="shared" si="0"/>
        <v>42</v>
      </c>
      <c r="T9" s="10" t="str">
        <f t="shared" si="1"/>
        <v>Low</v>
      </c>
    </row>
    <row r="10" spans="1:20">
      <c r="A10" s="2">
        <v>500009</v>
      </c>
      <c r="B10" s="2">
        <v>105133</v>
      </c>
      <c r="C10" s="8">
        <v>45762</v>
      </c>
      <c r="D10" s="2">
        <v>2004</v>
      </c>
      <c r="E10" s="2">
        <v>1</v>
      </c>
      <c r="F10" s="2">
        <v>10</v>
      </c>
      <c r="G10" s="2" t="s">
        <v>20</v>
      </c>
      <c r="H10" s="2" t="s">
        <v>21</v>
      </c>
      <c r="I10" s="2">
        <v>40</v>
      </c>
      <c r="J10" s="2" t="s">
        <v>43</v>
      </c>
      <c r="K10" s="8">
        <v>45781</v>
      </c>
      <c r="L10" s="2" t="s">
        <v>41</v>
      </c>
      <c r="M10" s="2" t="s">
        <v>46</v>
      </c>
      <c r="N10" s="2" t="s">
        <v>34</v>
      </c>
      <c r="O10" s="2">
        <v>35</v>
      </c>
      <c r="P10" s="2">
        <v>32</v>
      </c>
      <c r="Q10" s="2">
        <v>32</v>
      </c>
      <c r="R10" s="9" t="s">
        <v>26</v>
      </c>
      <c r="S10" s="9">
        <f t="shared" si="0"/>
        <v>35</v>
      </c>
      <c r="T10" s="10" t="str">
        <f t="shared" si="1"/>
        <v>Average</v>
      </c>
    </row>
    <row r="11" spans="1:20">
      <c r="A11" s="2">
        <v>500010</v>
      </c>
      <c r="B11" s="2">
        <v>103111</v>
      </c>
      <c r="C11" s="8">
        <v>45410</v>
      </c>
      <c r="D11" s="2">
        <v>2014</v>
      </c>
      <c r="E11" s="2">
        <v>2</v>
      </c>
      <c r="F11" s="2">
        <v>5</v>
      </c>
      <c r="G11" s="2" t="s">
        <v>20</v>
      </c>
      <c r="H11" s="2" t="s">
        <v>47</v>
      </c>
      <c r="I11" s="2">
        <v>43</v>
      </c>
      <c r="J11" s="2" t="s">
        <v>45</v>
      </c>
      <c r="K11" s="8">
        <v>45463</v>
      </c>
      <c r="L11" s="2" t="s">
        <v>41</v>
      </c>
      <c r="M11" s="2" t="s">
        <v>29</v>
      </c>
      <c r="N11" s="2" t="s">
        <v>25</v>
      </c>
      <c r="O11" s="2">
        <v>42</v>
      </c>
      <c r="P11" s="2">
        <v>80</v>
      </c>
      <c r="Q11" s="2">
        <v>80</v>
      </c>
      <c r="R11" s="9" t="s">
        <v>30</v>
      </c>
      <c r="S11" s="9">
        <f t="shared" si="0"/>
        <v>84</v>
      </c>
      <c r="T11" s="10" t="str">
        <f t="shared" si="1"/>
        <v>Low</v>
      </c>
    </row>
    <row r="12" spans="1:20">
      <c r="A12" s="2">
        <v>500011</v>
      </c>
      <c r="B12" s="2">
        <v>102192</v>
      </c>
      <c r="C12" s="8">
        <v>45372</v>
      </c>
      <c r="D12" s="2">
        <v>2004</v>
      </c>
      <c r="E12" s="2">
        <v>3</v>
      </c>
      <c r="F12" s="2">
        <v>30</v>
      </c>
      <c r="G12" s="2" t="s">
        <v>20</v>
      </c>
      <c r="H12" s="2" t="s">
        <v>21</v>
      </c>
      <c r="I12" s="2">
        <v>37</v>
      </c>
      <c r="J12" s="2" t="s">
        <v>32</v>
      </c>
      <c r="K12" s="8">
        <v>45262</v>
      </c>
      <c r="L12" s="2" t="s">
        <v>41</v>
      </c>
      <c r="M12" s="2" t="s">
        <v>46</v>
      </c>
      <c r="N12" s="2" t="s">
        <v>34</v>
      </c>
      <c r="O12" s="2">
        <v>35</v>
      </c>
      <c r="P12" s="2">
        <v>74</v>
      </c>
      <c r="Q12" s="2">
        <v>74</v>
      </c>
      <c r="R12" s="9" t="s">
        <v>30</v>
      </c>
      <c r="S12" s="9">
        <f t="shared" si="0"/>
        <v>105</v>
      </c>
      <c r="T12" s="10" t="str">
        <f t="shared" si="1"/>
        <v>High</v>
      </c>
    </row>
    <row r="13" spans="1:20">
      <c r="A13" s="2">
        <v>500012</v>
      </c>
      <c r="B13" s="2">
        <v>102921</v>
      </c>
      <c r="C13" s="8">
        <v>45498</v>
      </c>
      <c r="D13" s="2">
        <v>2001</v>
      </c>
      <c r="E13" s="2">
        <v>1</v>
      </c>
      <c r="F13" s="2">
        <v>5</v>
      </c>
      <c r="G13" s="2" t="s">
        <v>27</v>
      </c>
      <c r="H13" s="2" t="s">
        <v>21</v>
      </c>
      <c r="I13" s="2">
        <v>33</v>
      </c>
      <c r="J13" s="2" t="s">
        <v>48</v>
      </c>
      <c r="K13" s="8">
        <v>45310</v>
      </c>
      <c r="L13" s="2" t="s">
        <v>49</v>
      </c>
      <c r="M13" s="2" t="s">
        <v>50</v>
      </c>
      <c r="N13" s="2" t="s">
        <v>34</v>
      </c>
      <c r="O13" s="2">
        <v>18</v>
      </c>
      <c r="P13" s="2">
        <v>17</v>
      </c>
      <c r="Q13" s="2">
        <v>17</v>
      </c>
      <c r="R13" s="9" t="s">
        <v>30</v>
      </c>
      <c r="S13" s="9">
        <f t="shared" si="0"/>
        <v>18</v>
      </c>
      <c r="T13" s="10" t="str">
        <f t="shared" si="1"/>
        <v>Low</v>
      </c>
    </row>
    <row r="14" spans="1:20">
      <c r="A14" s="2">
        <v>500013</v>
      </c>
      <c r="B14" s="2">
        <v>101803</v>
      </c>
      <c r="C14" s="8">
        <v>45700</v>
      </c>
      <c r="D14" s="2">
        <v>2005</v>
      </c>
      <c r="E14" s="2">
        <v>3</v>
      </c>
      <c r="F14" s="2">
        <v>10</v>
      </c>
      <c r="G14" s="2" t="s">
        <v>31</v>
      </c>
      <c r="H14" s="2" t="s">
        <v>21</v>
      </c>
      <c r="I14" s="2">
        <v>39</v>
      </c>
      <c r="J14" s="2" t="s">
        <v>43</v>
      </c>
      <c r="K14" s="8">
        <v>45596</v>
      </c>
      <c r="L14" s="2" t="s">
        <v>23</v>
      </c>
      <c r="M14" s="2" t="s">
        <v>51</v>
      </c>
      <c r="N14" s="2" t="s">
        <v>25</v>
      </c>
      <c r="O14" s="2">
        <v>28</v>
      </c>
      <c r="P14" s="2">
        <v>76</v>
      </c>
      <c r="Q14" s="2">
        <v>76</v>
      </c>
      <c r="R14" s="9" t="s">
        <v>26</v>
      </c>
      <c r="S14" s="9">
        <f t="shared" si="0"/>
        <v>84</v>
      </c>
      <c r="T14" s="10" t="str">
        <f t="shared" si="1"/>
        <v>Average</v>
      </c>
    </row>
    <row r="15" spans="1:20">
      <c r="A15" s="2">
        <v>500014</v>
      </c>
      <c r="B15" s="2">
        <v>108853</v>
      </c>
      <c r="C15" s="8">
        <v>46023</v>
      </c>
      <c r="D15" s="2">
        <v>2001</v>
      </c>
      <c r="E15" s="2">
        <v>2</v>
      </c>
      <c r="F15" s="2">
        <v>5</v>
      </c>
      <c r="G15" s="2" t="s">
        <v>31</v>
      </c>
      <c r="H15" s="2" t="s">
        <v>21</v>
      </c>
      <c r="I15" s="2">
        <v>44</v>
      </c>
      <c r="J15" s="2" t="s">
        <v>32</v>
      </c>
      <c r="K15" s="8">
        <v>45883</v>
      </c>
      <c r="L15" s="2" t="s">
        <v>41</v>
      </c>
      <c r="M15" s="2" t="s">
        <v>50</v>
      </c>
      <c r="N15" s="2" t="s">
        <v>34</v>
      </c>
      <c r="O15" s="2">
        <v>18</v>
      </c>
      <c r="P15" s="2">
        <v>34</v>
      </c>
      <c r="Q15" s="2">
        <v>34</v>
      </c>
      <c r="R15" s="9" t="s">
        <v>26</v>
      </c>
      <c r="S15" s="9">
        <f t="shared" si="0"/>
        <v>36</v>
      </c>
      <c r="T15" s="10" t="str">
        <f t="shared" si="1"/>
        <v>Low</v>
      </c>
    </row>
    <row r="16" spans="1:20">
      <c r="A16" s="2">
        <v>500015</v>
      </c>
      <c r="B16" s="2">
        <v>102106</v>
      </c>
      <c r="C16" s="8">
        <v>45951</v>
      </c>
      <c r="D16" s="2">
        <v>2017</v>
      </c>
      <c r="E16" s="2">
        <v>1</v>
      </c>
      <c r="F16" s="2">
        <v>0</v>
      </c>
      <c r="G16" s="2" t="s">
        <v>27</v>
      </c>
      <c r="H16" s="2" t="s">
        <v>21</v>
      </c>
      <c r="I16" s="2">
        <v>31</v>
      </c>
      <c r="J16" s="2" t="s">
        <v>32</v>
      </c>
      <c r="K16" s="8">
        <v>46001</v>
      </c>
      <c r="L16" s="2" t="s">
        <v>23</v>
      </c>
      <c r="M16" s="2" t="s">
        <v>44</v>
      </c>
      <c r="N16" s="2" t="s">
        <v>25</v>
      </c>
      <c r="O16" s="2">
        <v>11</v>
      </c>
      <c r="P16" s="2">
        <v>11</v>
      </c>
      <c r="Q16" s="2">
        <v>11</v>
      </c>
      <c r="R16" s="9" t="s">
        <v>26</v>
      </c>
      <c r="S16" s="9">
        <f t="shared" si="0"/>
        <v>11</v>
      </c>
      <c r="T16" s="10" t="str">
        <f t="shared" si="1"/>
        <v>Low</v>
      </c>
    </row>
    <row r="17" spans="1:20">
      <c r="A17" s="2">
        <v>500016</v>
      </c>
      <c r="B17" s="2">
        <v>104175</v>
      </c>
      <c r="C17" s="8">
        <v>45430</v>
      </c>
      <c r="D17" s="2">
        <v>2002</v>
      </c>
      <c r="E17" s="2">
        <v>3</v>
      </c>
      <c r="F17" s="2">
        <v>0</v>
      </c>
      <c r="G17" s="2" t="s">
        <v>20</v>
      </c>
      <c r="H17" s="2" t="s">
        <v>21</v>
      </c>
      <c r="I17" s="2">
        <v>37</v>
      </c>
      <c r="J17" s="2" t="s">
        <v>52</v>
      </c>
      <c r="K17" s="8">
        <v>45066</v>
      </c>
      <c r="L17" s="2" t="s">
        <v>41</v>
      </c>
      <c r="M17" s="2" t="s">
        <v>33</v>
      </c>
      <c r="N17" s="2" t="s">
        <v>34</v>
      </c>
      <c r="O17" s="2">
        <v>62</v>
      </c>
      <c r="P17" s="2">
        <v>186</v>
      </c>
      <c r="Q17" s="2">
        <v>186</v>
      </c>
      <c r="R17" s="9" t="s">
        <v>30</v>
      </c>
      <c r="S17" s="9">
        <f t="shared" si="0"/>
        <v>186</v>
      </c>
      <c r="T17" s="10" t="str">
        <f t="shared" si="1"/>
        <v>Low</v>
      </c>
    </row>
    <row r="18" spans="1:20">
      <c r="A18" s="2">
        <v>500017</v>
      </c>
      <c r="B18" s="2">
        <v>101158</v>
      </c>
      <c r="C18" s="8">
        <v>45353</v>
      </c>
      <c r="D18" s="2">
        <v>2001</v>
      </c>
      <c r="E18" s="2">
        <v>2</v>
      </c>
      <c r="F18" s="2">
        <v>5</v>
      </c>
      <c r="G18" s="2" t="s">
        <v>20</v>
      </c>
      <c r="H18" s="2" t="s">
        <v>21</v>
      </c>
      <c r="I18" s="2">
        <v>58</v>
      </c>
      <c r="J18" s="2" t="s">
        <v>32</v>
      </c>
      <c r="K18" s="8">
        <v>45564</v>
      </c>
      <c r="L18" s="2" t="s">
        <v>49</v>
      </c>
      <c r="M18" s="2" t="s">
        <v>50</v>
      </c>
      <c r="N18" s="2" t="s">
        <v>34</v>
      </c>
      <c r="O18" s="2">
        <v>18</v>
      </c>
      <c r="P18" s="2">
        <v>34</v>
      </c>
      <c r="Q18" s="2">
        <v>34</v>
      </c>
      <c r="R18" s="9" t="s">
        <v>30</v>
      </c>
      <c r="S18" s="9">
        <f t="shared" si="0"/>
        <v>36</v>
      </c>
      <c r="T18" s="10" t="str">
        <f t="shared" si="1"/>
        <v>Low</v>
      </c>
    </row>
    <row r="19" spans="1:20">
      <c r="A19" s="2">
        <v>500018</v>
      </c>
      <c r="B19" s="2">
        <v>109942</v>
      </c>
      <c r="C19" s="8">
        <v>45486</v>
      </c>
      <c r="D19" s="2">
        <v>2013</v>
      </c>
      <c r="E19" s="2">
        <v>2</v>
      </c>
      <c r="F19" s="2">
        <v>0</v>
      </c>
      <c r="G19" s="2" t="s">
        <v>20</v>
      </c>
      <c r="H19" s="2" t="s">
        <v>21</v>
      </c>
      <c r="I19" s="2">
        <v>48</v>
      </c>
      <c r="J19" s="2" t="s">
        <v>52</v>
      </c>
      <c r="K19" s="8">
        <v>45913</v>
      </c>
      <c r="L19" s="2" t="s">
        <v>41</v>
      </c>
      <c r="M19" s="2" t="s">
        <v>53</v>
      </c>
      <c r="N19" s="2" t="s">
        <v>54</v>
      </c>
      <c r="O19" s="2">
        <v>7</v>
      </c>
      <c r="P19" s="2">
        <v>14</v>
      </c>
      <c r="Q19" s="2">
        <v>14</v>
      </c>
      <c r="R19" s="9" t="s">
        <v>30</v>
      </c>
      <c r="S19" s="9">
        <f t="shared" si="0"/>
        <v>14</v>
      </c>
      <c r="T19" s="10" t="str">
        <f t="shared" si="1"/>
        <v>Low</v>
      </c>
    </row>
    <row r="20" spans="1:20">
      <c r="A20" s="2">
        <v>500019</v>
      </c>
      <c r="B20" s="2">
        <v>104270</v>
      </c>
      <c r="C20" s="8">
        <v>46028</v>
      </c>
      <c r="D20" s="2">
        <v>2013</v>
      </c>
      <c r="E20" s="2">
        <v>1</v>
      </c>
      <c r="F20" s="2">
        <v>0</v>
      </c>
      <c r="G20" s="2" t="s">
        <v>31</v>
      </c>
      <c r="H20" s="2" t="s">
        <v>21</v>
      </c>
      <c r="I20" s="2">
        <v>42</v>
      </c>
      <c r="J20" s="2" t="s">
        <v>55</v>
      </c>
      <c r="K20" s="8">
        <v>45219</v>
      </c>
      <c r="L20" s="2" t="s">
        <v>23</v>
      </c>
      <c r="M20" s="2" t="s">
        <v>53</v>
      </c>
      <c r="N20" s="2" t="s">
        <v>54</v>
      </c>
      <c r="O20" s="2">
        <v>7</v>
      </c>
      <c r="P20" s="2">
        <v>7</v>
      </c>
      <c r="Q20" s="2">
        <v>7</v>
      </c>
      <c r="R20" s="9" t="s">
        <v>26</v>
      </c>
      <c r="S20" s="9">
        <f t="shared" si="0"/>
        <v>7</v>
      </c>
      <c r="T20" s="10" t="str">
        <f t="shared" si="1"/>
        <v>Low</v>
      </c>
    </row>
    <row r="21" spans="1:20">
      <c r="A21" s="2">
        <v>500020</v>
      </c>
      <c r="B21" s="2">
        <v>109355</v>
      </c>
      <c r="C21" s="8">
        <v>45737</v>
      </c>
      <c r="D21" s="2">
        <v>2017</v>
      </c>
      <c r="E21" s="2">
        <v>2</v>
      </c>
      <c r="F21" s="2">
        <v>20</v>
      </c>
      <c r="G21" s="2" t="s">
        <v>56</v>
      </c>
      <c r="H21" s="2" t="s">
        <v>21</v>
      </c>
      <c r="I21" s="2">
        <v>37</v>
      </c>
      <c r="J21" s="2" t="s">
        <v>52</v>
      </c>
      <c r="K21" s="8">
        <v>45415</v>
      </c>
      <c r="L21" s="2" t="s">
        <v>41</v>
      </c>
      <c r="M21" s="2" t="s">
        <v>44</v>
      </c>
      <c r="N21" s="2" t="s">
        <v>25</v>
      </c>
      <c r="O21" s="2">
        <v>11</v>
      </c>
      <c r="P21" s="2">
        <v>18</v>
      </c>
      <c r="Q21" s="2">
        <v>18</v>
      </c>
      <c r="R21" s="9" t="s">
        <v>26</v>
      </c>
      <c r="S21" s="9">
        <f t="shared" si="0"/>
        <v>22</v>
      </c>
      <c r="T21" s="10" t="str">
        <f t="shared" si="1"/>
        <v>High</v>
      </c>
    </row>
    <row r="22" spans="1:20">
      <c r="A22" s="2">
        <v>500021</v>
      </c>
      <c r="B22" s="2">
        <v>105138</v>
      </c>
      <c r="C22" s="8">
        <v>45989</v>
      </c>
      <c r="D22" s="2">
        <v>2017</v>
      </c>
      <c r="E22" s="2">
        <v>2</v>
      </c>
      <c r="F22" s="2">
        <v>0</v>
      </c>
      <c r="G22" s="2" t="s">
        <v>20</v>
      </c>
      <c r="H22" s="2" t="s">
        <v>21</v>
      </c>
      <c r="I22" s="2">
        <v>49</v>
      </c>
      <c r="J22" s="2" t="s">
        <v>38</v>
      </c>
      <c r="K22" s="8">
        <v>45073</v>
      </c>
      <c r="L22" s="2" t="s">
        <v>23</v>
      </c>
      <c r="M22" s="2" t="s">
        <v>44</v>
      </c>
      <c r="N22" s="2" t="s">
        <v>25</v>
      </c>
      <c r="O22" s="2">
        <v>11</v>
      </c>
      <c r="P22" s="2">
        <v>22</v>
      </c>
      <c r="Q22" s="2">
        <v>22</v>
      </c>
      <c r="R22" s="9" t="s">
        <v>26</v>
      </c>
      <c r="S22" s="9">
        <f t="shared" si="0"/>
        <v>22</v>
      </c>
      <c r="T22" s="10" t="str">
        <f t="shared" si="1"/>
        <v>Low</v>
      </c>
    </row>
    <row r="23" spans="1:20">
      <c r="A23" s="2">
        <v>500022</v>
      </c>
      <c r="B23" s="2">
        <v>105368</v>
      </c>
      <c r="C23" s="8">
        <v>45611</v>
      </c>
      <c r="D23" s="2">
        <v>2013</v>
      </c>
      <c r="E23" s="2">
        <v>2</v>
      </c>
      <c r="F23" s="2">
        <v>0</v>
      </c>
      <c r="G23" s="2" t="s">
        <v>20</v>
      </c>
      <c r="H23" s="2" t="s">
        <v>21</v>
      </c>
      <c r="I23" s="2">
        <v>45</v>
      </c>
      <c r="J23" s="2" t="s">
        <v>43</v>
      </c>
      <c r="K23" s="8">
        <v>45904</v>
      </c>
      <c r="L23" s="2" t="s">
        <v>23</v>
      </c>
      <c r="M23" s="2" t="s">
        <v>53</v>
      </c>
      <c r="N23" s="2" t="s">
        <v>54</v>
      </c>
      <c r="O23" s="2">
        <v>7</v>
      </c>
      <c r="P23" s="2">
        <v>14</v>
      </c>
      <c r="Q23" s="2">
        <v>14</v>
      </c>
      <c r="R23" s="9" t="s">
        <v>30</v>
      </c>
      <c r="S23" s="9">
        <f t="shared" si="0"/>
        <v>14</v>
      </c>
      <c r="T23" s="10" t="str">
        <f t="shared" si="1"/>
        <v>Low</v>
      </c>
    </row>
    <row r="24" spans="1:20">
      <c r="A24" s="2">
        <v>500023</v>
      </c>
      <c r="B24" s="2">
        <v>108138</v>
      </c>
      <c r="C24" s="8">
        <v>45802</v>
      </c>
      <c r="D24" s="2">
        <v>2006</v>
      </c>
      <c r="E24" s="2">
        <v>1</v>
      </c>
      <c r="F24" s="2">
        <v>20</v>
      </c>
      <c r="G24" s="2" t="s">
        <v>56</v>
      </c>
      <c r="H24" s="2" t="s">
        <v>21</v>
      </c>
      <c r="I24" s="2">
        <v>61</v>
      </c>
      <c r="J24" s="2" t="s">
        <v>32</v>
      </c>
      <c r="K24" s="8">
        <v>45899</v>
      </c>
      <c r="L24" s="2" t="s">
        <v>41</v>
      </c>
      <c r="M24" s="2" t="s">
        <v>57</v>
      </c>
      <c r="N24" s="2" t="s">
        <v>34</v>
      </c>
      <c r="O24" s="2">
        <v>48</v>
      </c>
      <c r="P24" s="2">
        <v>38</v>
      </c>
      <c r="Q24" s="2">
        <v>38</v>
      </c>
      <c r="R24" s="9" t="s">
        <v>26</v>
      </c>
      <c r="S24" s="9">
        <f t="shared" si="0"/>
        <v>48</v>
      </c>
      <c r="T24" s="10" t="str">
        <f t="shared" si="1"/>
        <v>High</v>
      </c>
    </row>
    <row r="25" spans="1:20">
      <c r="A25" s="2">
        <v>500024</v>
      </c>
      <c r="B25" s="2">
        <v>107845</v>
      </c>
      <c r="C25" s="8">
        <v>45805</v>
      </c>
      <c r="D25" s="2">
        <v>2013</v>
      </c>
      <c r="E25" s="2">
        <v>3</v>
      </c>
      <c r="F25" s="2">
        <v>0</v>
      </c>
      <c r="G25" s="2" t="s">
        <v>20</v>
      </c>
      <c r="H25" s="2" t="s">
        <v>21</v>
      </c>
      <c r="I25" s="2">
        <v>26</v>
      </c>
      <c r="J25" s="2" t="s">
        <v>32</v>
      </c>
      <c r="K25" s="8">
        <v>45405</v>
      </c>
      <c r="L25" s="2" t="s">
        <v>23</v>
      </c>
      <c r="M25" s="2" t="s">
        <v>53</v>
      </c>
      <c r="N25" s="2" t="s">
        <v>54</v>
      </c>
      <c r="O25" s="2">
        <v>7</v>
      </c>
      <c r="P25" s="2">
        <v>21</v>
      </c>
      <c r="Q25" s="2">
        <v>21</v>
      </c>
      <c r="R25" s="9" t="s">
        <v>26</v>
      </c>
      <c r="S25" s="9">
        <f t="shared" si="0"/>
        <v>21</v>
      </c>
      <c r="T25" s="10" t="str">
        <f t="shared" si="1"/>
        <v>Low</v>
      </c>
    </row>
    <row r="26" spans="1:20">
      <c r="A26" s="2">
        <v>500025</v>
      </c>
      <c r="B26" s="2">
        <v>109039</v>
      </c>
      <c r="C26" s="8">
        <v>45833</v>
      </c>
      <c r="D26" s="2">
        <v>2013</v>
      </c>
      <c r="E26" s="2">
        <v>1</v>
      </c>
      <c r="F26" s="2">
        <v>15</v>
      </c>
      <c r="G26" s="2" t="s">
        <v>20</v>
      </c>
      <c r="H26" s="2" t="s">
        <v>21</v>
      </c>
      <c r="I26" s="2">
        <v>65</v>
      </c>
      <c r="J26" s="2" t="s">
        <v>55</v>
      </c>
      <c r="K26" s="8">
        <v>45658</v>
      </c>
      <c r="L26" s="2" t="s">
        <v>41</v>
      </c>
      <c r="M26" s="2" t="s">
        <v>53</v>
      </c>
      <c r="N26" s="2" t="s">
        <v>54</v>
      </c>
      <c r="O26" s="2">
        <v>7</v>
      </c>
      <c r="P26" s="2">
        <v>6</v>
      </c>
      <c r="Q26" s="2">
        <v>6</v>
      </c>
      <c r="R26" s="9" t="s">
        <v>26</v>
      </c>
      <c r="S26" s="9">
        <f t="shared" si="0"/>
        <v>7</v>
      </c>
      <c r="T26" s="10" t="str">
        <f t="shared" si="1"/>
        <v>High</v>
      </c>
    </row>
    <row r="27" spans="1:20">
      <c r="A27" s="2">
        <v>500026</v>
      </c>
      <c r="B27" s="2">
        <v>107998</v>
      </c>
      <c r="C27" s="8">
        <v>45698</v>
      </c>
      <c r="D27" s="2">
        <v>2010</v>
      </c>
      <c r="E27" s="2">
        <v>2</v>
      </c>
      <c r="F27" s="2">
        <v>5</v>
      </c>
      <c r="G27" s="2" t="s">
        <v>31</v>
      </c>
      <c r="H27" s="2" t="s">
        <v>21</v>
      </c>
      <c r="I27" s="2">
        <v>34</v>
      </c>
      <c r="J27" s="2" t="s">
        <v>45</v>
      </c>
      <c r="K27" s="8">
        <v>45644</v>
      </c>
      <c r="L27" s="2" t="s">
        <v>41</v>
      </c>
      <c r="M27" s="2" t="s">
        <v>58</v>
      </c>
      <c r="N27" s="2" t="s">
        <v>59</v>
      </c>
      <c r="O27" s="2">
        <v>55</v>
      </c>
      <c r="P27" s="2">
        <v>104</v>
      </c>
      <c r="Q27" s="2">
        <v>104</v>
      </c>
      <c r="R27" s="9" t="s">
        <v>26</v>
      </c>
      <c r="S27" s="9">
        <f t="shared" si="0"/>
        <v>110</v>
      </c>
      <c r="T27" s="10" t="str">
        <f t="shared" si="1"/>
        <v>Low</v>
      </c>
    </row>
    <row r="28" spans="1:20">
      <c r="A28" s="2">
        <v>500027</v>
      </c>
      <c r="B28" s="2">
        <v>108982</v>
      </c>
      <c r="C28" s="8">
        <v>45498</v>
      </c>
      <c r="D28" s="2">
        <v>2006</v>
      </c>
      <c r="E28" s="2">
        <v>2</v>
      </c>
      <c r="F28" s="2">
        <v>10</v>
      </c>
      <c r="G28" s="2" t="s">
        <v>56</v>
      </c>
      <c r="H28" s="2" t="s">
        <v>21</v>
      </c>
      <c r="I28" s="2">
        <v>43</v>
      </c>
      <c r="J28" s="2" t="s">
        <v>32</v>
      </c>
      <c r="K28" s="8">
        <v>45420</v>
      </c>
      <c r="L28" s="2" t="s">
        <v>23</v>
      </c>
      <c r="M28" s="2" t="s">
        <v>57</v>
      </c>
      <c r="N28" s="2" t="s">
        <v>34</v>
      </c>
      <c r="O28" s="2">
        <v>48</v>
      </c>
      <c r="P28" s="2">
        <v>86</v>
      </c>
      <c r="Q28" s="2">
        <v>86</v>
      </c>
      <c r="R28" s="9" t="s">
        <v>30</v>
      </c>
      <c r="S28" s="9">
        <f t="shared" si="0"/>
        <v>96</v>
      </c>
      <c r="T28" s="10" t="str">
        <f t="shared" si="1"/>
        <v>Average</v>
      </c>
    </row>
    <row r="29" spans="1:20">
      <c r="A29" s="2">
        <v>500028</v>
      </c>
      <c r="B29" s="2">
        <v>103563</v>
      </c>
      <c r="C29" s="8">
        <v>45662</v>
      </c>
      <c r="D29" s="2">
        <v>2002</v>
      </c>
      <c r="E29" s="2">
        <v>1</v>
      </c>
      <c r="F29" s="2">
        <v>0</v>
      </c>
      <c r="G29" s="2" t="s">
        <v>20</v>
      </c>
      <c r="H29" s="2" t="s">
        <v>21</v>
      </c>
      <c r="I29" s="2">
        <v>38</v>
      </c>
      <c r="J29" s="2" t="s">
        <v>55</v>
      </c>
      <c r="K29" s="8">
        <v>45027</v>
      </c>
      <c r="L29" s="2" t="s">
        <v>23</v>
      </c>
      <c r="M29" s="2" t="s">
        <v>33</v>
      </c>
      <c r="N29" s="2" t="s">
        <v>34</v>
      </c>
      <c r="O29" s="2">
        <v>62</v>
      </c>
      <c r="P29" s="2">
        <v>62</v>
      </c>
      <c r="Q29" s="2">
        <v>62</v>
      </c>
      <c r="R29" s="9" t="s">
        <v>26</v>
      </c>
      <c r="S29" s="9">
        <f t="shared" si="0"/>
        <v>62</v>
      </c>
      <c r="T29" s="10" t="str">
        <f t="shared" si="1"/>
        <v>Low</v>
      </c>
    </row>
    <row r="30" spans="1:20">
      <c r="A30" s="2">
        <v>500029</v>
      </c>
      <c r="B30" s="2">
        <v>100210</v>
      </c>
      <c r="C30" s="8">
        <v>46171</v>
      </c>
      <c r="D30" s="2">
        <v>2002</v>
      </c>
      <c r="E30" s="2">
        <v>1</v>
      </c>
      <c r="F30" s="2">
        <v>10</v>
      </c>
      <c r="G30" s="2" t="s">
        <v>27</v>
      </c>
      <c r="H30" s="2" t="s">
        <v>21</v>
      </c>
      <c r="I30" s="2">
        <v>55</v>
      </c>
      <c r="J30" s="2" t="s">
        <v>32</v>
      </c>
      <c r="K30" s="8">
        <v>45395</v>
      </c>
      <c r="L30" s="2" t="s">
        <v>23</v>
      </c>
      <c r="M30" s="2" t="s">
        <v>33</v>
      </c>
      <c r="N30" s="2" t="s">
        <v>34</v>
      </c>
      <c r="O30" s="2">
        <v>62</v>
      </c>
      <c r="P30" s="2">
        <v>56</v>
      </c>
      <c r="Q30" s="2">
        <v>56</v>
      </c>
      <c r="R30" s="9" t="s">
        <v>26</v>
      </c>
      <c r="S30" s="9">
        <f t="shared" si="0"/>
        <v>62</v>
      </c>
      <c r="T30" s="10" t="str">
        <f t="shared" si="1"/>
        <v>Average</v>
      </c>
    </row>
    <row r="31" spans="1:20">
      <c r="A31" s="2">
        <v>500030</v>
      </c>
      <c r="B31" s="2">
        <v>104615</v>
      </c>
      <c r="C31" s="8">
        <v>45527</v>
      </c>
      <c r="D31" s="2">
        <v>2019</v>
      </c>
      <c r="E31" s="2">
        <v>2</v>
      </c>
      <c r="F31" s="2">
        <v>5</v>
      </c>
      <c r="G31" s="2" t="s">
        <v>31</v>
      </c>
      <c r="H31" s="2" t="s">
        <v>21</v>
      </c>
      <c r="I31" s="2">
        <v>44</v>
      </c>
      <c r="J31" s="2" t="s">
        <v>32</v>
      </c>
      <c r="K31" s="8">
        <v>45388</v>
      </c>
      <c r="L31" s="2" t="s">
        <v>49</v>
      </c>
      <c r="M31" s="2" t="s">
        <v>60</v>
      </c>
      <c r="N31" s="2" t="s">
        <v>34</v>
      </c>
      <c r="O31" s="2">
        <v>260</v>
      </c>
      <c r="P31" s="2">
        <v>494</v>
      </c>
      <c r="Q31" s="2">
        <v>494</v>
      </c>
      <c r="R31" s="9" t="s">
        <v>30</v>
      </c>
      <c r="S31" s="9">
        <f t="shared" si="0"/>
        <v>520</v>
      </c>
      <c r="T31" s="10" t="str">
        <f t="shared" si="1"/>
        <v>Low</v>
      </c>
    </row>
    <row r="32" spans="1:20">
      <c r="A32" s="2">
        <v>500031</v>
      </c>
      <c r="B32" s="2">
        <v>101683</v>
      </c>
      <c r="C32" s="8">
        <v>45918</v>
      </c>
      <c r="D32" s="2">
        <v>2011</v>
      </c>
      <c r="E32" s="2">
        <v>2</v>
      </c>
      <c r="F32" s="2">
        <v>0</v>
      </c>
      <c r="G32" s="2" t="s">
        <v>20</v>
      </c>
      <c r="H32" s="2" t="s">
        <v>21</v>
      </c>
      <c r="I32" s="2">
        <v>19</v>
      </c>
      <c r="J32" s="2" t="s">
        <v>35</v>
      </c>
      <c r="K32" s="8">
        <v>45774</v>
      </c>
      <c r="L32" s="2" t="s">
        <v>23</v>
      </c>
      <c r="M32" s="2" t="s">
        <v>42</v>
      </c>
      <c r="N32" s="2" t="s">
        <v>37</v>
      </c>
      <c r="O32" s="2">
        <v>32</v>
      </c>
      <c r="P32" s="2">
        <v>64</v>
      </c>
      <c r="Q32" s="2">
        <v>64</v>
      </c>
      <c r="R32" s="9" t="s">
        <v>26</v>
      </c>
      <c r="S32" s="9">
        <f t="shared" si="0"/>
        <v>64</v>
      </c>
      <c r="T32" s="10" t="str">
        <f t="shared" si="1"/>
        <v>Low</v>
      </c>
    </row>
    <row r="33" spans="1:20">
      <c r="A33" s="2">
        <v>500032</v>
      </c>
      <c r="B33" s="2">
        <v>109032</v>
      </c>
      <c r="C33" s="8">
        <v>46133</v>
      </c>
      <c r="D33" s="2">
        <v>2008</v>
      </c>
      <c r="E33" s="2">
        <v>2</v>
      </c>
      <c r="F33" s="2">
        <v>0</v>
      </c>
      <c r="G33" s="2" t="s">
        <v>27</v>
      </c>
      <c r="H33" s="2" t="s">
        <v>21</v>
      </c>
      <c r="I33" s="2">
        <v>32</v>
      </c>
      <c r="J33" s="2" t="s">
        <v>38</v>
      </c>
      <c r="K33" s="8">
        <v>45201</v>
      </c>
      <c r="L33" s="2" t="s">
        <v>23</v>
      </c>
      <c r="M33" s="2" t="s">
        <v>39</v>
      </c>
      <c r="N33" s="2" t="s">
        <v>25</v>
      </c>
      <c r="O33" s="2">
        <v>14</v>
      </c>
      <c r="P33" s="2">
        <v>28</v>
      </c>
      <c r="Q33" s="2">
        <v>28</v>
      </c>
      <c r="R33" s="9" t="s">
        <v>26</v>
      </c>
      <c r="S33" s="9">
        <f t="shared" si="0"/>
        <v>28</v>
      </c>
      <c r="T33" s="10" t="str">
        <f t="shared" si="1"/>
        <v>Low</v>
      </c>
    </row>
    <row r="34" spans="1:20">
      <c r="A34" s="2">
        <v>500033</v>
      </c>
      <c r="B34" s="2">
        <v>107365</v>
      </c>
      <c r="C34" s="8">
        <v>45781</v>
      </c>
      <c r="D34" s="2">
        <v>2007</v>
      </c>
      <c r="E34" s="2">
        <v>3</v>
      </c>
      <c r="F34" s="2">
        <v>5</v>
      </c>
      <c r="G34" s="2" t="s">
        <v>20</v>
      </c>
      <c r="H34" s="2" t="s">
        <v>21</v>
      </c>
      <c r="I34" s="2">
        <v>65</v>
      </c>
      <c r="J34" s="2" t="s">
        <v>28</v>
      </c>
      <c r="K34" s="8">
        <v>46006</v>
      </c>
      <c r="L34" s="2" t="s">
        <v>23</v>
      </c>
      <c r="M34" s="2" t="s">
        <v>61</v>
      </c>
      <c r="N34" s="2" t="s">
        <v>34</v>
      </c>
      <c r="O34" s="2">
        <v>75</v>
      </c>
      <c r="P34" s="2">
        <v>214</v>
      </c>
      <c r="Q34" s="2">
        <v>214</v>
      </c>
      <c r="R34" s="9" t="s">
        <v>26</v>
      </c>
      <c r="S34" s="9">
        <f t="shared" si="0"/>
        <v>225</v>
      </c>
      <c r="T34" s="10" t="str">
        <f t="shared" si="1"/>
        <v>Low</v>
      </c>
    </row>
    <row r="35" spans="1:20">
      <c r="A35" s="2">
        <v>500034</v>
      </c>
      <c r="B35" s="2">
        <v>105082</v>
      </c>
      <c r="C35" s="8">
        <v>45714</v>
      </c>
      <c r="D35" s="2">
        <v>2004</v>
      </c>
      <c r="E35" s="2">
        <v>2</v>
      </c>
      <c r="F35" s="2">
        <v>5</v>
      </c>
      <c r="G35" s="2" t="s">
        <v>20</v>
      </c>
      <c r="H35" s="2" t="s">
        <v>21</v>
      </c>
      <c r="I35" s="2">
        <v>42</v>
      </c>
      <c r="J35" s="2" t="s">
        <v>32</v>
      </c>
      <c r="K35" s="8">
        <v>45963</v>
      </c>
      <c r="L35" s="2" t="s">
        <v>41</v>
      </c>
      <c r="M35" s="2" t="s">
        <v>46</v>
      </c>
      <c r="N35" s="2" t="s">
        <v>34</v>
      </c>
      <c r="O35" s="2">
        <v>35</v>
      </c>
      <c r="P35" s="2">
        <v>66</v>
      </c>
      <c r="Q35" s="2">
        <v>66</v>
      </c>
      <c r="R35" s="9" t="s">
        <v>26</v>
      </c>
      <c r="S35" s="9">
        <f t="shared" si="0"/>
        <v>70</v>
      </c>
      <c r="T35" s="10" t="str">
        <f t="shared" si="1"/>
        <v>Low</v>
      </c>
    </row>
    <row r="36" spans="1:20">
      <c r="A36" s="2">
        <v>500035</v>
      </c>
      <c r="B36" s="2">
        <v>106013</v>
      </c>
      <c r="C36" s="8">
        <v>45396</v>
      </c>
      <c r="D36" s="2">
        <v>2008</v>
      </c>
      <c r="E36" s="2">
        <v>5</v>
      </c>
      <c r="F36" s="2">
        <v>10</v>
      </c>
      <c r="G36" s="2" t="s">
        <v>27</v>
      </c>
      <c r="H36" s="2" t="s">
        <v>21</v>
      </c>
      <c r="I36" s="2">
        <v>49</v>
      </c>
      <c r="J36" s="2" t="s">
        <v>48</v>
      </c>
      <c r="K36" s="8">
        <v>45478</v>
      </c>
      <c r="L36" s="2" t="s">
        <v>23</v>
      </c>
      <c r="M36" s="2" t="s">
        <v>39</v>
      </c>
      <c r="N36" s="2" t="s">
        <v>25</v>
      </c>
      <c r="O36" s="2">
        <v>14</v>
      </c>
      <c r="P36" s="2">
        <v>63</v>
      </c>
      <c r="Q36" s="2">
        <v>63</v>
      </c>
      <c r="R36" s="9" t="s">
        <v>30</v>
      </c>
      <c r="S36" s="9">
        <f t="shared" si="0"/>
        <v>70</v>
      </c>
      <c r="T36" s="10" t="str">
        <f t="shared" si="1"/>
        <v>Average</v>
      </c>
    </row>
    <row r="37" spans="1:20">
      <c r="A37" s="2">
        <v>500037</v>
      </c>
      <c r="B37" s="2">
        <v>107822</v>
      </c>
      <c r="C37" s="8">
        <v>46091</v>
      </c>
      <c r="D37" s="2">
        <v>2013</v>
      </c>
      <c r="E37" s="2">
        <v>1</v>
      </c>
      <c r="F37" s="2">
        <v>0</v>
      </c>
      <c r="G37" s="2" t="s">
        <v>20</v>
      </c>
      <c r="H37" s="2" t="s">
        <v>21</v>
      </c>
      <c r="I37" s="2">
        <v>42</v>
      </c>
      <c r="J37" s="2" t="s">
        <v>32</v>
      </c>
      <c r="K37" s="8">
        <v>45015</v>
      </c>
      <c r="L37" s="2" t="s">
        <v>49</v>
      </c>
      <c r="M37" s="2" t="s">
        <v>53</v>
      </c>
      <c r="N37" s="2" t="s">
        <v>54</v>
      </c>
      <c r="O37" s="2">
        <v>7</v>
      </c>
      <c r="P37" s="2">
        <v>7</v>
      </c>
      <c r="Q37" s="2">
        <v>7</v>
      </c>
      <c r="R37" s="9" t="s">
        <v>26</v>
      </c>
      <c r="S37" s="9">
        <f t="shared" si="0"/>
        <v>7</v>
      </c>
      <c r="T37" s="10" t="str">
        <f t="shared" si="1"/>
        <v>Low</v>
      </c>
    </row>
    <row r="38" spans="1:20">
      <c r="A38" s="2">
        <v>500038</v>
      </c>
      <c r="B38" s="2">
        <v>101279</v>
      </c>
      <c r="C38" s="8">
        <v>46179</v>
      </c>
      <c r="D38" s="2">
        <v>2001</v>
      </c>
      <c r="E38" s="2">
        <v>4</v>
      </c>
      <c r="F38" s="2">
        <v>15</v>
      </c>
      <c r="G38" s="2" t="s">
        <v>20</v>
      </c>
      <c r="H38" s="2" t="s">
        <v>21</v>
      </c>
      <c r="I38" s="2">
        <v>18</v>
      </c>
      <c r="J38" s="2" t="s">
        <v>38</v>
      </c>
      <c r="K38" s="8">
        <v>45081</v>
      </c>
      <c r="L38" s="2" t="s">
        <v>23</v>
      </c>
      <c r="M38" s="2" t="s">
        <v>50</v>
      </c>
      <c r="N38" s="2" t="s">
        <v>34</v>
      </c>
      <c r="O38" s="2">
        <v>18</v>
      </c>
      <c r="P38" s="2">
        <v>61</v>
      </c>
      <c r="Q38" s="2">
        <v>61</v>
      </c>
      <c r="R38" s="9" t="s">
        <v>26</v>
      </c>
      <c r="S38" s="9">
        <f t="shared" si="0"/>
        <v>72</v>
      </c>
      <c r="T38" s="10" t="str">
        <f t="shared" si="1"/>
        <v>High</v>
      </c>
    </row>
    <row r="39" spans="1:20">
      <c r="A39" s="2">
        <v>500039</v>
      </c>
      <c r="B39" s="2">
        <v>107601</v>
      </c>
      <c r="C39" s="8">
        <v>45466</v>
      </c>
      <c r="D39" s="2">
        <v>2013</v>
      </c>
      <c r="E39" s="2">
        <v>5</v>
      </c>
      <c r="F39" s="2">
        <v>5</v>
      </c>
      <c r="G39" s="2" t="s">
        <v>20</v>
      </c>
      <c r="H39" s="2" t="s">
        <v>40</v>
      </c>
      <c r="I39" s="2">
        <v>24</v>
      </c>
      <c r="J39" s="2" t="s">
        <v>38</v>
      </c>
      <c r="K39" s="8">
        <v>44955</v>
      </c>
      <c r="L39" s="2" t="s">
        <v>41</v>
      </c>
      <c r="M39" s="2" t="s">
        <v>53</v>
      </c>
      <c r="N39" s="2" t="s">
        <v>54</v>
      </c>
      <c r="O39" s="2">
        <v>7</v>
      </c>
      <c r="P39" s="2">
        <v>33</v>
      </c>
      <c r="Q39" s="2">
        <v>33</v>
      </c>
      <c r="R39" s="9" t="s">
        <v>30</v>
      </c>
      <c r="S39" s="9">
        <f t="shared" si="0"/>
        <v>35</v>
      </c>
      <c r="T39" s="10" t="str">
        <f t="shared" si="1"/>
        <v>Low</v>
      </c>
    </row>
    <row r="40" spans="1:20">
      <c r="A40" s="2">
        <v>500040</v>
      </c>
      <c r="B40" s="2">
        <v>104265</v>
      </c>
      <c r="C40" s="8">
        <v>46102</v>
      </c>
      <c r="D40" s="2">
        <v>2011</v>
      </c>
      <c r="E40" s="2">
        <v>4</v>
      </c>
      <c r="F40" s="2">
        <v>10</v>
      </c>
      <c r="G40" s="2" t="s">
        <v>20</v>
      </c>
      <c r="H40" s="2" t="s">
        <v>47</v>
      </c>
      <c r="I40" s="2">
        <v>46</v>
      </c>
      <c r="J40" s="2" t="s">
        <v>32</v>
      </c>
      <c r="K40" s="8">
        <v>45868</v>
      </c>
      <c r="L40" s="2" t="s">
        <v>49</v>
      </c>
      <c r="M40" s="2" t="s">
        <v>42</v>
      </c>
      <c r="N40" s="2" t="s">
        <v>37</v>
      </c>
      <c r="O40" s="2">
        <v>32</v>
      </c>
      <c r="P40" s="2">
        <v>115</v>
      </c>
      <c r="Q40" s="2">
        <v>115</v>
      </c>
      <c r="R40" s="9" t="s">
        <v>26</v>
      </c>
      <c r="S40" s="9">
        <f t="shared" si="0"/>
        <v>128</v>
      </c>
      <c r="T40" s="10" t="str">
        <f t="shared" si="1"/>
        <v>Average</v>
      </c>
    </row>
    <row r="41" spans="1:20">
      <c r="A41" s="2">
        <v>500041</v>
      </c>
      <c r="B41" s="2">
        <v>104458</v>
      </c>
      <c r="C41" s="8">
        <v>45612</v>
      </c>
      <c r="D41" s="2">
        <v>2010</v>
      </c>
      <c r="E41" s="2">
        <v>2</v>
      </c>
      <c r="F41" s="2">
        <v>30</v>
      </c>
      <c r="G41" s="2" t="s">
        <v>20</v>
      </c>
      <c r="H41" s="2" t="s">
        <v>21</v>
      </c>
      <c r="I41" s="2">
        <v>19</v>
      </c>
      <c r="J41" s="2" t="s">
        <v>32</v>
      </c>
      <c r="K41" s="8">
        <v>45957</v>
      </c>
      <c r="L41" s="2" t="s">
        <v>23</v>
      </c>
      <c r="M41" s="2" t="s">
        <v>58</v>
      </c>
      <c r="N41" s="2" t="s">
        <v>59</v>
      </c>
      <c r="O41" s="2">
        <v>55</v>
      </c>
      <c r="P41" s="2">
        <v>77</v>
      </c>
      <c r="Q41" s="2">
        <v>77</v>
      </c>
      <c r="R41" s="9" t="s">
        <v>30</v>
      </c>
      <c r="S41" s="9">
        <f t="shared" si="0"/>
        <v>110</v>
      </c>
      <c r="T41" s="10" t="str">
        <f t="shared" si="1"/>
        <v>High</v>
      </c>
    </row>
    <row r="42" spans="1:20">
      <c r="A42" s="2">
        <v>500042</v>
      </c>
      <c r="B42" s="2">
        <v>104499</v>
      </c>
      <c r="C42" s="8">
        <v>45827</v>
      </c>
      <c r="D42" s="2">
        <v>2006</v>
      </c>
      <c r="E42" s="2">
        <v>1</v>
      </c>
      <c r="F42" s="2">
        <v>10</v>
      </c>
      <c r="G42" s="2" t="s">
        <v>20</v>
      </c>
      <c r="H42" s="2" t="s">
        <v>21</v>
      </c>
      <c r="I42" s="2">
        <v>29</v>
      </c>
      <c r="J42" s="2" t="s">
        <v>28</v>
      </c>
      <c r="K42" s="8">
        <v>44974</v>
      </c>
      <c r="L42" s="2" t="s">
        <v>23</v>
      </c>
      <c r="M42" s="2" t="s">
        <v>57</v>
      </c>
      <c r="N42" s="2" t="s">
        <v>34</v>
      </c>
      <c r="O42" s="2">
        <v>48</v>
      </c>
      <c r="P42" s="2">
        <v>43</v>
      </c>
      <c r="Q42" s="2">
        <v>43</v>
      </c>
      <c r="R42" s="9" t="s">
        <v>26</v>
      </c>
      <c r="S42" s="9">
        <f t="shared" si="0"/>
        <v>48</v>
      </c>
      <c r="T42" s="10" t="str">
        <f t="shared" si="1"/>
        <v>Average</v>
      </c>
    </row>
    <row r="43" spans="1:20">
      <c r="A43" s="2">
        <v>500043</v>
      </c>
      <c r="B43" s="2">
        <v>109584</v>
      </c>
      <c r="C43" s="8">
        <v>45485</v>
      </c>
      <c r="D43" s="2">
        <v>2020</v>
      </c>
      <c r="E43" s="2">
        <v>1</v>
      </c>
      <c r="F43" s="2">
        <v>0</v>
      </c>
      <c r="G43" s="2" t="s">
        <v>20</v>
      </c>
      <c r="H43" s="2" t="s">
        <v>21</v>
      </c>
      <c r="I43" s="2">
        <v>18</v>
      </c>
      <c r="J43" s="2" t="s">
        <v>48</v>
      </c>
      <c r="K43" s="8">
        <v>45645</v>
      </c>
      <c r="L43" s="2" t="s">
        <v>23</v>
      </c>
      <c r="M43" s="2" t="s">
        <v>62</v>
      </c>
      <c r="N43" s="2" t="s">
        <v>63</v>
      </c>
      <c r="O43" s="2">
        <v>68</v>
      </c>
      <c r="P43" s="2">
        <v>68</v>
      </c>
      <c r="Q43" s="2">
        <v>68</v>
      </c>
      <c r="R43" s="9" t="s">
        <v>30</v>
      </c>
      <c r="S43" s="9">
        <f t="shared" si="0"/>
        <v>68</v>
      </c>
      <c r="T43" s="10" t="str">
        <f t="shared" si="1"/>
        <v>Low</v>
      </c>
    </row>
    <row r="44" spans="1:20">
      <c r="A44" s="2">
        <v>500044</v>
      </c>
      <c r="B44" s="2">
        <v>104936</v>
      </c>
      <c r="C44" s="8">
        <v>45506</v>
      </c>
      <c r="D44" s="2">
        <v>2005</v>
      </c>
      <c r="E44" s="2">
        <v>1</v>
      </c>
      <c r="F44" s="2">
        <v>0</v>
      </c>
      <c r="G44" s="2" t="s">
        <v>31</v>
      </c>
      <c r="H44" s="2" t="s">
        <v>21</v>
      </c>
      <c r="I44" s="2">
        <v>46</v>
      </c>
      <c r="J44" s="2" t="s">
        <v>45</v>
      </c>
      <c r="K44" s="8">
        <v>45324</v>
      </c>
      <c r="L44" s="2" t="s">
        <v>23</v>
      </c>
      <c r="M44" s="2" t="s">
        <v>51</v>
      </c>
      <c r="N44" s="2" t="s">
        <v>25</v>
      </c>
      <c r="O44" s="2">
        <v>28</v>
      </c>
      <c r="P44" s="2">
        <v>28</v>
      </c>
      <c r="Q44" s="2">
        <v>28</v>
      </c>
      <c r="R44" s="9" t="s">
        <v>30</v>
      </c>
      <c r="S44" s="9">
        <f t="shared" si="0"/>
        <v>28</v>
      </c>
      <c r="T44" s="10" t="str">
        <f t="shared" si="1"/>
        <v>Low</v>
      </c>
    </row>
    <row r="45" spans="1:20">
      <c r="A45" s="2">
        <v>500045</v>
      </c>
      <c r="B45" s="2">
        <v>100241</v>
      </c>
      <c r="C45" s="8">
        <v>45826</v>
      </c>
      <c r="D45" s="2">
        <v>2017</v>
      </c>
      <c r="E45" s="2">
        <v>2</v>
      </c>
      <c r="F45" s="2">
        <v>5</v>
      </c>
      <c r="G45" s="2" t="s">
        <v>20</v>
      </c>
      <c r="H45" s="2" t="s">
        <v>21</v>
      </c>
      <c r="I45" s="2">
        <v>24</v>
      </c>
      <c r="J45" s="2" t="s">
        <v>32</v>
      </c>
      <c r="K45" s="8">
        <v>45280</v>
      </c>
      <c r="L45" s="2" t="s">
        <v>23</v>
      </c>
      <c r="M45" s="2" t="s">
        <v>44</v>
      </c>
      <c r="N45" s="2" t="s">
        <v>25</v>
      </c>
      <c r="O45" s="2">
        <v>11</v>
      </c>
      <c r="P45" s="2">
        <v>21</v>
      </c>
      <c r="Q45" s="2">
        <v>21</v>
      </c>
      <c r="R45" s="9" t="s">
        <v>26</v>
      </c>
      <c r="S45" s="9">
        <f t="shared" si="0"/>
        <v>22</v>
      </c>
      <c r="T45" s="10" t="str">
        <f t="shared" si="1"/>
        <v>Low</v>
      </c>
    </row>
    <row r="46" spans="1:20">
      <c r="A46" s="2">
        <v>500046</v>
      </c>
      <c r="B46" s="2">
        <v>107541</v>
      </c>
      <c r="C46" s="8">
        <v>45710</v>
      </c>
      <c r="D46" s="2">
        <v>2002</v>
      </c>
      <c r="E46" s="2">
        <v>1</v>
      </c>
      <c r="F46" s="2">
        <v>5</v>
      </c>
      <c r="G46" s="2" t="s">
        <v>31</v>
      </c>
      <c r="H46" s="2" t="s">
        <v>21</v>
      </c>
      <c r="I46" s="2">
        <v>49</v>
      </c>
      <c r="J46" s="2" t="s">
        <v>45</v>
      </c>
      <c r="K46" s="8">
        <v>45445</v>
      </c>
      <c r="L46" s="2" t="s">
        <v>23</v>
      </c>
      <c r="M46" s="2" t="s">
        <v>33</v>
      </c>
      <c r="N46" s="2" t="s">
        <v>34</v>
      </c>
      <c r="O46" s="2">
        <v>62</v>
      </c>
      <c r="P46" s="2">
        <v>59</v>
      </c>
      <c r="Q46" s="2">
        <v>59</v>
      </c>
      <c r="R46" s="9" t="s">
        <v>26</v>
      </c>
      <c r="S46" s="9">
        <f t="shared" si="0"/>
        <v>62</v>
      </c>
      <c r="T46" s="10" t="str">
        <f t="shared" si="1"/>
        <v>Low</v>
      </c>
    </row>
    <row r="47" spans="1:20">
      <c r="A47" s="2">
        <v>500047</v>
      </c>
      <c r="B47" s="2">
        <v>109317</v>
      </c>
      <c r="C47" s="8">
        <v>46158</v>
      </c>
      <c r="D47" s="2">
        <v>2003</v>
      </c>
      <c r="E47" s="2">
        <v>3</v>
      </c>
      <c r="F47" s="2">
        <v>0</v>
      </c>
      <c r="G47" s="2" t="s">
        <v>31</v>
      </c>
      <c r="H47" s="2" t="s">
        <v>21</v>
      </c>
      <c r="I47" s="2">
        <v>65</v>
      </c>
      <c r="J47" s="2" t="s">
        <v>48</v>
      </c>
      <c r="K47" s="8">
        <v>45262</v>
      </c>
      <c r="L47" s="2" t="s">
        <v>23</v>
      </c>
      <c r="M47" s="2" t="s">
        <v>24</v>
      </c>
      <c r="N47" s="2" t="s">
        <v>25</v>
      </c>
      <c r="O47" s="2">
        <v>9</v>
      </c>
      <c r="P47" s="2">
        <v>27</v>
      </c>
      <c r="Q47" s="2">
        <v>27</v>
      </c>
      <c r="R47" s="9" t="s">
        <v>26</v>
      </c>
      <c r="S47" s="9">
        <f t="shared" si="0"/>
        <v>27</v>
      </c>
      <c r="T47" s="10" t="str">
        <f t="shared" si="1"/>
        <v>Low</v>
      </c>
    </row>
    <row r="48" spans="1:20">
      <c r="A48" s="2">
        <v>500048</v>
      </c>
      <c r="B48" s="2">
        <v>109778</v>
      </c>
      <c r="C48" s="8">
        <v>45520</v>
      </c>
      <c r="D48" s="2">
        <v>2010</v>
      </c>
      <c r="E48" s="2">
        <v>2</v>
      </c>
      <c r="F48" s="2">
        <v>0</v>
      </c>
      <c r="G48" s="2" t="s">
        <v>56</v>
      </c>
      <c r="H48" s="2" t="s">
        <v>21</v>
      </c>
      <c r="I48" s="2">
        <v>36</v>
      </c>
      <c r="J48" s="2" t="s">
        <v>32</v>
      </c>
      <c r="K48" s="8">
        <v>45243</v>
      </c>
      <c r="L48" s="2" t="s">
        <v>41</v>
      </c>
      <c r="M48" s="2" t="s">
        <v>58</v>
      </c>
      <c r="N48" s="2" t="s">
        <v>59</v>
      </c>
      <c r="O48" s="2">
        <v>55</v>
      </c>
      <c r="P48" s="2">
        <v>110</v>
      </c>
      <c r="Q48" s="2">
        <v>110</v>
      </c>
      <c r="R48" s="9" t="s">
        <v>30</v>
      </c>
      <c r="S48" s="9">
        <f t="shared" si="0"/>
        <v>110</v>
      </c>
      <c r="T48" s="10" t="str">
        <f t="shared" si="1"/>
        <v>Low</v>
      </c>
    </row>
    <row r="49" spans="1:20">
      <c r="A49" s="2">
        <v>500049</v>
      </c>
      <c r="B49" s="2">
        <v>102735</v>
      </c>
      <c r="C49" s="8">
        <v>46050</v>
      </c>
      <c r="D49" s="2">
        <v>2003</v>
      </c>
      <c r="E49" s="2">
        <v>2</v>
      </c>
      <c r="F49" s="2">
        <v>0</v>
      </c>
      <c r="G49" s="2" t="s">
        <v>31</v>
      </c>
      <c r="H49" s="2" t="s">
        <v>21</v>
      </c>
      <c r="I49" s="2">
        <v>39</v>
      </c>
      <c r="J49" s="2" t="s">
        <v>22</v>
      </c>
      <c r="K49" s="8">
        <v>45660</v>
      </c>
      <c r="L49" s="2" t="s">
        <v>49</v>
      </c>
      <c r="M49" s="2" t="s">
        <v>24</v>
      </c>
      <c r="N49" s="2" t="s">
        <v>25</v>
      </c>
      <c r="O49" s="2">
        <v>9</v>
      </c>
      <c r="P49" s="2">
        <v>18</v>
      </c>
      <c r="Q49" s="2">
        <v>18</v>
      </c>
      <c r="R49" s="9" t="s">
        <v>26</v>
      </c>
      <c r="S49" s="9">
        <f t="shared" si="0"/>
        <v>18</v>
      </c>
      <c r="T49" s="10" t="str">
        <f t="shared" si="1"/>
        <v>Low</v>
      </c>
    </row>
    <row r="50" spans="1:20">
      <c r="A50" s="2">
        <v>500050</v>
      </c>
      <c r="B50" s="2">
        <v>103894</v>
      </c>
      <c r="C50" s="8">
        <v>45689</v>
      </c>
      <c r="D50" s="2">
        <v>2017</v>
      </c>
      <c r="E50" s="2">
        <v>1</v>
      </c>
      <c r="F50" s="2">
        <v>5</v>
      </c>
      <c r="G50" s="2" t="s">
        <v>20</v>
      </c>
      <c r="H50" s="2" t="s">
        <v>21</v>
      </c>
      <c r="I50" s="2">
        <v>27</v>
      </c>
      <c r="J50" s="2" t="s">
        <v>32</v>
      </c>
      <c r="K50" s="8">
        <v>45925</v>
      </c>
      <c r="L50" s="2" t="s">
        <v>23</v>
      </c>
      <c r="M50" s="2" t="s">
        <v>44</v>
      </c>
      <c r="N50" s="2" t="s">
        <v>25</v>
      </c>
      <c r="O50" s="2">
        <v>11</v>
      </c>
      <c r="P50" s="2">
        <v>10</v>
      </c>
      <c r="Q50" s="2">
        <v>10</v>
      </c>
      <c r="R50" s="9" t="s">
        <v>26</v>
      </c>
      <c r="S50" s="9">
        <f t="shared" si="0"/>
        <v>11</v>
      </c>
      <c r="T50" s="10" t="str">
        <f t="shared" si="1"/>
        <v>Low</v>
      </c>
    </row>
    <row r="51" spans="1:20">
      <c r="A51" s="2">
        <v>500051</v>
      </c>
      <c r="B51" s="2">
        <v>102673</v>
      </c>
      <c r="C51" s="8">
        <v>45408</v>
      </c>
      <c r="D51" s="2">
        <v>2011</v>
      </c>
      <c r="E51" s="2">
        <v>1</v>
      </c>
      <c r="F51" s="2">
        <v>0</v>
      </c>
      <c r="G51" s="2" t="s">
        <v>20</v>
      </c>
      <c r="H51" s="2" t="s">
        <v>21</v>
      </c>
      <c r="I51" s="2">
        <v>58</v>
      </c>
      <c r="J51" s="2" t="s">
        <v>52</v>
      </c>
      <c r="K51" s="8">
        <v>45864</v>
      </c>
      <c r="L51" s="2" t="s">
        <v>41</v>
      </c>
      <c r="M51" s="2" t="s">
        <v>42</v>
      </c>
      <c r="N51" s="2" t="s">
        <v>37</v>
      </c>
      <c r="O51" s="2">
        <v>32</v>
      </c>
      <c r="P51" s="2">
        <v>32</v>
      </c>
      <c r="Q51" s="2">
        <v>32</v>
      </c>
      <c r="R51" s="9" t="s">
        <v>30</v>
      </c>
      <c r="S51" s="9">
        <f t="shared" si="0"/>
        <v>32</v>
      </c>
      <c r="T51" s="10" t="str">
        <f t="shared" si="1"/>
        <v>Low</v>
      </c>
    </row>
    <row r="52" spans="1:20">
      <c r="A52" s="2">
        <v>500052</v>
      </c>
      <c r="B52" s="2">
        <v>108100</v>
      </c>
      <c r="C52" s="8">
        <v>45498</v>
      </c>
      <c r="D52" s="2">
        <v>2013</v>
      </c>
      <c r="E52" s="2">
        <v>3</v>
      </c>
      <c r="F52" s="2">
        <v>10</v>
      </c>
      <c r="G52" s="2" t="s">
        <v>27</v>
      </c>
      <c r="H52" s="2" t="s">
        <v>21</v>
      </c>
      <c r="I52" s="2">
        <v>52</v>
      </c>
      <c r="J52" s="2" t="s">
        <v>45</v>
      </c>
      <c r="K52" s="8">
        <v>45552</v>
      </c>
      <c r="L52" s="2" t="s">
        <v>49</v>
      </c>
      <c r="M52" s="2" t="s">
        <v>53</v>
      </c>
      <c r="N52" s="2" t="s">
        <v>54</v>
      </c>
      <c r="O52" s="2">
        <v>7</v>
      </c>
      <c r="P52" s="2">
        <v>19</v>
      </c>
      <c r="Q52" s="2">
        <v>19</v>
      </c>
      <c r="R52" s="9" t="s">
        <v>30</v>
      </c>
      <c r="S52" s="9">
        <f t="shared" si="0"/>
        <v>21</v>
      </c>
      <c r="T52" s="10" t="str">
        <f t="shared" si="1"/>
        <v>Average</v>
      </c>
    </row>
    <row r="53" spans="1:20">
      <c r="A53" s="2">
        <v>500053</v>
      </c>
      <c r="B53" s="2">
        <v>106454</v>
      </c>
      <c r="C53" s="8">
        <v>45944</v>
      </c>
      <c r="D53" s="2">
        <v>2013</v>
      </c>
      <c r="E53" s="2">
        <v>1</v>
      </c>
      <c r="F53" s="2">
        <v>0</v>
      </c>
      <c r="G53" s="2" t="s">
        <v>27</v>
      </c>
      <c r="H53" s="2" t="s">
        <v>21</v>
      </c>
      <c r="I53" s="2">
        <v>50</v>
      </c>
      <c r="J53" s="2" t="s">
        <v>32</v>
      </c>
      <c r="K53" s="8">
        <v>44983</v>
      </c>
      <c r="L53" s="2" t="s">
        <v>41</v>
      </c>
      <c r="M53" s="2" t="s">
        <v>53</v>
      </c>
      <c r="N53" s="2" t="s">
        <v>54</v>
      </c>
      <c r="O53" s="2">
        <v>7</v>
      </c>
      <c r="P53" s="2">
        <v>7</v>
      </c>
      <c r="Q53" s="2">
        <v>7</v>
      </c>
      <c r="R53" s="9" t="s">
        <v>26</v>
      </c>
      <c r="S53" s="9">
        <f t="shared" si="0"/>
        <v>7</v>
      </c>
      <c r="T53" s="10" t="str">
        <f t="shared" si="1"/>
        <v>Low</v>
      </c>
    </row>
    <row r="54" spans="1:20">
      <c r="A54" s="2">
        <v>500054</v>
      </c>
      <c r="B54" s="2">
        <v>106300</v>
      </c>
      <c r="C54" s="8">
        <v>46006</v>
      </c>
      <c r="D54" s="2">
        <v>2011</v>
      </c>
      <c r="E54" s="2">
        <v>1</v>
      </c>
      <c r="F54" s="2">
        <v>20</v>
      </c>
      <c r="G54" s="2" t="s">
        <v>27</v>
      </c>
      <c r="H54" s="2" t="s">
        <v>40</v>
      </c>
      <c r="I54" s="2">
        <v>26</v>
      </c>
      <c r="J54" s="2" t="s">
        <v>48</v>
      </c>
      <c r="K54" s="8">
        <v>45876</v>
      </c>
      <c r="L54" s="2" t="s">
        <v>41</v>
      </c>
      <c r="M54" s="2" t="s">
        <v>42</v>
      </c>
      <c r="N54" s="2" t="s">
        <v>37</v>
      </c>
      <c r="O54" s="2">
        <v>32</v>
      </c>
      <c r="P54" s="2">
        <v>26</v>
      </c>
      <c r="Q54" s="2">
        <v>26</v>
      </c>
      <c r="R54" s="9" t="s">
        <v>26</v>
      </c>
      <c r="S54" s="9">
        <f t="shared" si="0"/>
        <v>32</v>
      </c>
      <c r="T54" s="10" t="str">
        <f t="shared" si="1"/>
        <v>High</v>
      </c>
    </row>
    <row r="55" spans="1:20">
      <c r="A55" s="2">
        <v>500055</v>
      </c>
      <c r="B55" s="2">
        <v>109861</v>
      </c>
      <c r="C55" s="8">
        <v>45326</v>
      </c>
      <c r="D55" s="2">
        <v>2011</v>
      </c>
      <c r="E55" s="2">
        <v>2</v>
      </c>
      <c r="F55" s="2">
        <v>15</v>
      </c>
      <c r="G55" s="2" t="s">
        <v>56</v>
      </c>
      <c r="H55" s="2" t="s">
        <v>21</v>
      </c>
      <c r="I55" s="2">
        <v>43</v>
      </c>
      <c r="J55" s="2" t="s">
        <v>32</v>
      </c>
      <c r="K55" s="8">
        <v>45603</v>
      </c>
      <c r="L55" s="2" t="s">
        <v>41</v>
      </c>
      <c r="M55" s="2" t="s">
        <v>42</v>
      </c>
      <c r="N55" s="2" t="s">
        <v>37</v>
      </c>
      <c r="O55" s="2">
        <v>32</v>
      </c>
      <c r="P55" s="2">
        <v>54</v>
      </c>
      <c r="Q55" s="2">
        <v>54</v>
      </c>
      <c r="R55" s="9" t="s">
        <v>30</v>
      </c>
      <c r="S55" s="9">
        <f t="shared" si="0"/>
        <v>64</v>
      </c>
      <c r="T55" s="10" t="str">
        <f t="shared" si="1"/>
        <v>High</v>
      </c>
    </row>
    <row r="56" spans="1:20">
      <c r="A56" s="2">
        <v>500056</v>
      </c>
      <c r="B56" s="2">
        <v>108499</v>
      </c>
      <c r="C56" s="8">
        <v>45646</v>
      </c>
      <c r="D56" s="2">
        <v>2018</v>
      </c>
      <c r="E56" s="2">
        <v>2</v>
      </c>
      <c r="F56" s="2">
        <v>0</v>
      </c>
      <c r="G56" s="2" t="s">
        <v>27</v>
      </c>
      <c r="H56" s="2" t="s">
        <v>21</v>
      </c>
      <c r="I56" s="2">
        <v>46</v>
      </c>
      <c r="J56" s="2" t="s">
        <v>32</v>
      </c>
      <c r="K56" s="8">
        <v>44943</v>
      </c>
      <c r="L56" s="2" t="s">
        <v>41</v>
      </c>
      <c r="M56" s="2" t="s">
        <v>64</v>
      </c>
      <c r="N56" s="2" t="s">
        <v>34</v>
      </c>
      <c r="O56" s="2">
        <v>85</v>
      </c>
      <c r="P56" s="2">
        <v>170</v>
      </c>
      <c r="Q56" s="2">
        <v>170</v>
      </c>
      <c r="R56" s="9" t="s">
        <v>30</v>
      </c>
      <c r="S56" s="9">
        <f t="shared" si="0"/>
        <v>170</v>
      </c>
      <c r="T56" s="10" t="str">
        <f t="shared" si="1"/>
        <v>Low</v>
      </c>
    </row>
    <row r="57" spans="1:20">
      <c r="A57" s="2">
        <v>500057</v>
      </c>
      <c r="B57" s="2">
        <v>101360</v>
      </c>
      <c r="C57" s="8">
        <v>45718</v>
      </c>
      <c r="D57" s="2">
        <v>2011</v>
      </c>
      <c r="E57" s="2">
        <v>1</v>
      </c>
      <c r="F57" s="2">
        <v>0</v>
      </c>
      <c r="G57" s="2" t="s">
        <v>20</v>
      </c>
      <c r="H57" s="2" t="s">
        <v>21</v>
      </c>
      <c r="I57" s="2">
        <v>35</v>
      </c>
      <c r="J57" s="2" t="s">
        <v>43</v>
      </c>
      <c r="K57" s="8">
        <v>45729</v>
      </c>
      <c r="L57" s="2" t="s">
        <v>41</v>
      </c>
      <c r="M57" s="2" t="s">
        <v>42</v>
      </c>
      <c r="N57" s="2" t="s">
        <v>37</v>
      </c>
      <c r="O57" s="2">
        <v>32</v>
      </c>
      <c r="P57" s="2">
        <v>32</v>
      </c>
      <c r="Q57" s="2">
        <v>32</v>
      </c>
      <c r="R57" s="9" t="s">
        <v>26</v>
      </c>
      <c r="S57" s="9">
        <f t="shared" si="0"/>
        <v>32</v>
      </c>
      <c r="T57" s="10" t="str">
        <f t="shared" si="1"/>
        <v>Low</v>
      </c>
    </row>
    <row r="58" spans="1:20">
      <c r="A58" s="2">
        <v>500058</v>
      </c>
      <c r="B58" s="2">
        <v>104257</v>
      </c>
      <c r="C58" s="8">
        <v>45823</v>
      </c>
      <c r="D58" s="2">
        <v>2010</v>
      </c>
      <c r="E58" s="2">
        <v>2</v>
      </c>
      <c r="F58" s="2">
        <v>0</v>
      </c>
      <c r="G58" s="2" t="s">
        <v>20</v>
      </c>
      <c r="H58" s="2" t="s">
        <v>21</v>
      </c>
      <c r="I58" s="2">
        <v>33</v>
      </c>
      <c r="J58" s="2" t="s">
        <v>32</v>
      </c>
      <c r="K58" s="8">
        <v>45448</v>
      </c>
      <c r="L58" s="2" t="s">
        <v>41</v>
      </c>
      <c r="M58" s="2" t="s">
        <v>58</v>
      </c>
      <c r="N58" s="2" t="s">
        <v>59</v>
      </c>
      <c r="O58" s="2">
        <v>55</v>
      </c>
      <c r="P58" s="2">
        <v>110</v>
      </c>
      <c r="Q58" s="2">
        <v>110</v>
      </c>
      <c r="R58" s="9" t="s">
        <v>26</v>
      </c>
      <c r="S58" s="9">
        <f t="shared" si="0"/>
        <v>110</v>
      </c>
      <c r="T58" s="10" t="str">
        <f t="shared" si="1"/>
        <v>Low</v>
      </c>
    </row>
    <row r="59" spans="1:20">
      <c r="A59" s="2">
        <v>500059</v>
      </c>
      <c r="B59" s="2">
        <v>109227</v>
      </c>
      <c r="C59" s="8">
        <v>45854</v>
      </c>
      <c r="D59" s="2">
        <v>2003</v>
      </c>
      <c r="E59" s="2">
        <v>1</v>
      </c>
      <c r="F59" s="2">
        <v>0</v>
      </c>
      <c r="G59" s="2" t="s">
        <v>27</v>
      </c>
      <c r="H59" s="2" t="s">
        <v>21</v>
      </c>
      <c r="I59" s="2">
        <v>52</v>
      </c>
      <c r="J59" s="2" t="s">
        <v>32</v>
      </c>
      <c r="K59" s="8">
        <v>45481</v>
      </c>
      <c r="L59" s="2" t="s">
        <v>41</v>
      </c>
      <c r="M59" s="2" t="s">
        <v>24</v>
      </c>
      <c r="N59" s="2" t="s">
        <v>25</v>
      </c>
      <c r="O59" s="2">
        <v>9</v>
      </c>
      <c r="P59" s="2">
        <v>9</v>
      </c>
      <c r="Q59" s="2">
        <v>9</v>
      </c>
      <c r="R59" s="9" t="s">
        <v>26</v>
      </c>
      <c r="S59" s="9">
        <f t="shared" si="0"/>
        <v>9</v>
      </c>
      <c r="T59" s="10" t="str">
        <f t="shared" si="1"/>
        <v>Low</v>
      </c>
    </row>
    <row r="60" spans="1:20">
      <c r="A60" s="2">
        <v>500060</v>
      </c>
      <c r="B60" s="2">
        <v>104648</v>
      </c>
      <c r="C60" s="8">
        <v>46009</v>
      </c>
      <c r="D60" s="2">
        <v>2009</v>
      </c>
      <c r="E60" s="2">
        <v>2</v>
      </c>
      <c r="F60" s="2">
        <v>15</v>
      </c>
      <c r="G60" s="2" t="s">
        <v>27</v>
      </c>
      <c r="H60" s="2" t="s">
        <v>21</v>
      </c>
      <c r="I60" s="2">
        <v>21</v>
      </c>
      <c r="J60" s="2" t="s">
        <v>43</v>
      </c>
      <c r="K60" s="8">
        <v>45041</v>
      </c>
      <c r="L60" s="2" t="s">
        <v>23</v>
      </c>
      <c r="M60" s="2" t="s">
        <v>65</v>
      </c>
      <c r="N60" s="2" t="s">
        <v>59</v>
      </c>
      <c r="O60" s="2">
        <v>120</v>
      </c>
      <c r="P60" s="2">
        <v>204</v>
      </c>
      <c r="Q60" s="2">
        <v>204</v>
      </c>
      <c r="R60" s="9" t="s">
        <v>26</v>
      </c>
      <c r="S60" s="9">
        <f t="shared" si="0"/>
        <v>240</v>
      </c>
      <c r="T60" s="10" t="str">
        <f t="shared" si="1"/>
        <v>High</v>
      </c>
    </row>
    <row r="61" spans="1:20">
      <c r="A61" s="2">
        <v>500061</v>
      </c>
      <c r="B61" s="2">
        <v>103566</v>
      </c>
      <c r="C61" s="8">
        <v>45528</v>
      </c>
      <c r="D61" s="2">
        <v>2011</v>
      </c>
      <c r="E61" s="2">
        <v>2</v>
      </c>
      <c r="F61" s="2">
        <v>0</v>
      </c>
      <c r="G61" s="2" t="s">
        <v>56</v>
      </c>
      <c r="H61" s="2" t="s">
        <v>21</v>
      </c>
      <c r="I61" s="2">
        <v>30</v>
      </c>
      <c r="J61" s="2" t="s">
        <v>45</v>
      </c>
      <c r="K61" s="8">
        <v>44930</v>
      </c>
      <c r="L61" s="2" t="s">
        <v>41</v>
      </c>
      <c r="M61" s="2" t="s">
        <v>42</v>
      </c>
      <c r="N61" s="2" t="s">
        <v>37</v>
      </c>
      <c r="O61" s="2">
        <v>32</v>
      </c>
      <c r="P61" s="2">
        <v>64</v>
      </c>
      <c r="Q61" s="2">
        <v>64</v>
      </c>
      <c r="R61" s="9" t="s">
        <v>30</v>
      </c>
      <c r="S61" s="9">
        <f t="shared" si="0"/>
        <v>64</v>
      </c>
      <c r="T61" s="10" t="str">
        <f t="shared" si="1"/>
        <v>Low</v>
      </c>
    </row>
    <row r="62" spans="1:20">
      <c r="A62" s="2">
        <v>500062</v>
      </c>
      <c r="B62" s="2">
        <v>103020</v>
      </c>
      <c r="C62" s="8">
        <v>45388</v>
      </c>
      <c r="D62" s="2">
        <v>2007</v>
      </c>
      <c r="E62" s="2">
        <v>3</v>
      </c>
      <c r="F62" s="2">
        <v>5</v>
      </c>
      <c r="G62" s="2" t="s">
        <v>20</v>
      </c>
      <c r="H62" s="2" t="s">
        <v>21</v>
      </c>
      <c r="I62" s="2">
        <v>53</v>
      </c>
      <c r="J62" s="2" t="s">
        <v>48</v>
      </c>
      <c r="K62" s="8">
        <v>45053</v>
      </c>
      <c r="L62" s="2" t="s">
        <v>41</v>
      </c>
      <c r="M62" s="2" t="s">
        <v>61</v>
      </c>
      <c r="N62" s="2" t="s">
        <v>34</v>
      </c>
      <c r="O62" s="2">
        <v>75</v>
      </c>
      <c r="P62" s="2">
        <v>214</v>
      </c>
      <c r="Q62" s="2">
        <v>214</v>
      </c>
      <c r="R62" s="9" t="s">
        <v>30</v>
      </c>
      <c r="S62" s="9">
        <f t="shared" si="0"/>
        <v>225</v>
      </c>
      <c r="T62" s="10" t="str">
        <f t="shared" si="1"/>
        <v>Low</v>
      </c>
    </row>
    <row r="63" spans="1:20">
      <c r="A63" s="2">
        <v>500063</v>
      </c>
      <c r="B63" s="2">
        <v>106946</v>
      </c>
      <c r="C63" s="8">
        <v>45453</v>
      </c>
      <c r="D63" s="2">
        <v>2011</v>
      </c>
      <c r="E63" s="2">
        <v>1</v>
      </c>
      <c r="F63" s="2">
        <v>0</v>
      </c>
      <c r="G63" s="2" t="s">
        <v>20</v>
      </c>
      <c r="H63" s="2" t="s">
        <v>21</v>
      </c>
      <c r="I63" s="2">
        <v>44</v>
      </c>
      <c r="J63" s="2" t="s">
        <v>48</v>
      </c>
      <c r="K63" s="8">
        <v>45857</v>
      </c>
      <c r="L63" s="2" t="s">
        <v>23</v>
      </c>
      <c r="M63" s="2" t="s">
        <v>42</v>
      </c>
      <c r="N63" s="2" t="s">
        <v>37</v>
      </c>
      <c r="O63" s="2">
        <v>32</v>
      </c>
      <c r="P63" s="2">
        <v>32</v>
      </c>
      <c r="Q63" s="2">
        <v>32</v>
      </c>
      <c r="R63" s="9" t="s">
        <v>30</v>
      </c>
      <c r="S63" s="9">
        <f t="shared" si="0"/>
        <v>32</v>
      </c>
      <c r="T63" s="10" t="str">
        <f t="shared" si="1"/>
        <v>Low</v>
      </c>
    </row>
    <row r="64" spans="1:20">
      <c r="A64" s="2">
        <v>500064</v>
      </c>
      <c r="B64" s="2">
        <v>107003</v>
      </c>
      <c r="C64" s="8">
        <v>46123</v>
      </c>
      <c r="D64" s="2">
        <v>2015</v>
      </c>
      <c r="E64" s="2">
        <v>2</v>
      </c>
      <c r="F64" s="2">
        <v>10</v>
      </c>
      <c r="G64" s="2" t="s">
        <v>31</v>
      </c>
      <c r="H64" s="2" t="s">
        <v>21</v>
      </c>
      <c r="I64" s="2">
        <v>64</v>
      </c>
      <c r="J64" s="2" t="s">
        <v>32</v>
      </c>
      <c r="K64" s="8">
        <v>45091</v>
      </c>
      <c r="L64" s="2" t="s">
        <v>23</v>
      </c>
      <c r="M64" s="2" t="s">
        <v>66</v>
      </c>
      <c r="N64" s="2" t="s">
        <v>34</v>
      </c>
      <c r="O64" s="2">
        <v>58</v>
      </c>
      <c r="P64" s="2">
        <v>104</v>
      </c>
      <c r="Q64" s="2">
        <v>104</v>
      </c>
      <c r="R64" s="9" t="s">
        <v>26</v>
      </c>
      <c r="S64" s="9">
        <f t="shared" si="0"/>
        <v>116</v>
      </c>
      <c r="T64" s="10" t="str">
        <f t="shared" si="1"/>
        <v>Average</v>
      </c>
    </row>
    <row r="65" spans="1:20">
      <c r="A65" s="2">
        <v>500065</v>
      </c>
      <c r="B65" s="2">
        <v>104518</v>
      </c>
      <c r="C65" s="8">
        <v>45764</v>
      </c>
      <c r="D65" s="2">
        <v>2014</v>
      </c>
      <c r="E65" s="2">
        <v>1</v>
      </c>
      <c r="F65" s="2">
        <v>0</v>
      </c>
      <c r="G65" s="2" t="s">
        <v>31</v>
      </c>
      <c r="H65" s="2" t="s">
        <v>21</v>
      </c>
      <c r="I65" s="2">
        <v>20</v>
      </c>
      <c r="J65" s="2" t="s">
        <v>45</v>
      </c>
      <c r="K65" s="8">
        <v>45302</v>
      </c>
      <c r="L65" s="2" t="s">
        <v>23</v>
      </c>
      <c r="M65" s="2" t="s">
        <v>29</v>
      </c>
      <c r="N65" s="2" t="s">
        <v>25</v>
      </c>
      <c r="O65" s="2">
        <v>42</v>
      </c>
      <c r="P65" s="2">
        <v>42</v>
      </c>
      <c r="Q65" s="2">
        <v>42</v>
      </c>
      <c r="R65" s="9" t="s">
        <v>26</v>
      </c>
      <c r="S65" s="9">
        <f t="shared" si="0"/>
        <v>42</v>
      </c>
      <c r="T65" s="10" t="str">
        <f t="shared" si="1"/>
        <v>Low</v>
      </c>
    </row>
    <row r="66" spans="1:20">
      <c r="A66" s="2">
        <v>500066</v>
      </c>
      <c r="B66" s="2">
        <v>102799</v>
      </c>
      <c r="C66" s="8">
        <v>45481</v>
      </c>
      <c r="D66" s="2">
        <v>2017</v>
      </c>
      <c r="E66" s="2">
        <v>1</v>
      </c>
      <c r="F66" s="2">
        <v>5</v>
      </c>
      <c r="G66" s="2" t="s">
        <v>20</v>
      </c>
      <c r="H66" s="2" t="s">
        <v>21</v>
      </c>
      <c r="I66" s="2">
        <v>51</v>
      </c>
      <c r="J66" s="2" t="s">
        <v>45</v>
      </c>
      <c r="K66" s="8">
        <v>45290</v>
      </c>
      <c r="L66" s="2" t="s">
        <v>41</v>
      </c>
      <c r="M66" s="2" t="s">
        <v>44</v>
      </c>
      <c r="N66" s="2" t="s">
        <v>25</v>
      </c>
      <c r="O66" s="2">
        <v>11</v>
      </c>
      <c r="P66" s="2">
        <v>10</v>
      </c>
      <c r="Q66" s="2">
        <v>10</v>
      </c>
      <c r="R66" s="9" t="s">
        <v>30</v>
      </c>
      <c r="S66" s="9">
        <f t="shared" ref="S66:S129" si="2">SUM(E66*O66)</f>
        <v>11</v>
      </c>
      <c r="T66" s="10" t="str">
        <f t="shared" ref="T66:T129" si="3">IF(F66&lt;=5,"Low",IF(F66&lt;=10,"Average",IF(F66&gt;10,"High")))</f>
        <v>Low</v>
      </c>
    </row>
    <row r="67" spans="1:20">
      <c r="A67" s="2">
        <v>500067</v>
      </c>
      <c r="B67" s="2">
        <v>100378</v>
      </c>
      <c r="C67" s="8">
        <v>45970</v>
      </c>
      <c r="D67" s="2">
        <v>2013</v>
      </c>
      <c r="E67" s="2">
        <v>1</v>
      </c>
      <c r="F67" s="2">
        <v>5</v>
      </c>
      <c r="G67" s="2" t="s">
        <v>20</v>
      </c>
      <c r="H67" s="2" t="s">
        <v>21</v>
      </c>
      <c r="I67" s="2">
        <v>53</v>
      </c>
      <c r="J67" s="2" t="s">
        <v>38</v>
      </c>
      <c r="K67" s="8">
        <v>45169</v>
      </c>
      <c r="L67" s="2" t="s">
        <v>23</v>
      </c>
      <c r="M67" s="2" t="s">
        <v>53</v>
      </c>
      <c r="N67" s="2" t="s">
        <v>54</v>
      </c>
      <c r="O67" s="2">
        <v>7</v>
      </c>
      <c r="P67" s="2">
        <v>7</v>
      </c>
      <c r="Q67" s="2">
        <v>7</v>
      </c>
      <c r="R67" s="9" t="s">
        <v>26</v>
      </c>
      <c r="S67" s="9">
        <f t="shared" si="2"/>
        <v>7</v>
      </c>
      <c r="T67" s="10" t="str">
        <f t="shared" si="3"/>
        <v>Low</v>
      </c>
    </row>
    <row r="68" spans="1:20">
      <c r="A68" s="2">
        <v>500068</v>
      </c>
      <c r="B68" s="2">
        <v>104093</v>
      </c>
      <c r="C68" s="8">
        <v>45799</v>
      </c>
      <c r="D68" s="2">
        <v>2002</v>
      </c>
      <c r="E68" s="2">
        <v>1</v>
      </c>
      <c r="F68" s="2">
        <v>5</v>
      </c>
      <c r="G68" s="2" t="s">
        <v>27</v>
      </c>
      <c r="H68" s="2" t="s">
        <v>47</v>
      </c>
      <c r="I68" s="2">
        <v>35</v>
      </c>
      <c r="J68" s="2" t="s">
        <v>32</v>
      </c>
      <c r="K68" s="8">
        <v>45955</v>
      </c>
      <c r="L68" s="2" t="s">
        <v>23</v>
      </c>
      <c r="M68" s="2" t="s">
        <v>33</v>
      </c>
      <c r="N68" s="2" t="s">
        <v>34</v>
      </c>
      <c r="O68" s="2">
        <v>62</v>
      </c>
      <c r="P68" s="2">
        <v>59</v>
      </c>
      <c r="Q68" s="2">
        <v>59</v>
      </c>
      <c r="R68" s="9" t="s">
        <v>26</v>
      </c>
      <c r="S68" s="9">
        <f t="shared" si="2"/>
        <v>62</v>
      </c>
      <c r="T68" s="10" t="str">
        <f t="shared" si="3"/>
        <v>Low</v>
      </c>
    </row>
    <row r="69" spans="1:20">
      <c r="A69" s="2">
        <v>500069</v>
      </c>
      <c r="B69" s="2">
        <v>103550</v>
      </c>
      <c r="C69" s="8">
        <v>45609</v>
      </c>
      <c r="D69" s="2">
        <v>2011</v>
      </c>
      <c r="E69" s="2">
        <v>4</v>
      </c>
      <c r="F69" s="2">
        <v>10</v>
      </c>
      <c r="G69" s="2" t="s">
        <v>20</v>
      </c>
      <c r="H69" s="2" t="s">
        <v>40</v>
      </c>
      <c r="I69" s="2">
        <v>48</v>
      </c>
      <c r="J69" s="2" t="s">
        <v>48</v>
      </c>
      <c r="K69" s="8">
        <v>45465</v>
      </c>
      <c r="L69" s="2" t="s">
        <v>41</v>
      </c>
      <c r="M69" s="2" t="s">
        <v>42</v>
      </c>
      <c r="N69" s="2" t="s">
        <v>37</v>
      </c>
      <c r="O69" s="2">
        <v>32</v>
      </c>
      <c r="P69" s="2">
        <v>115</v>
      </c>
      <c r="Q69" s="2">
        <v>115</v>
      </c>
      <c r="R69" s="9" t="s">
        <v>30</v>
      </c>
      <c r="S69" s="9">
        <f t="shared" si="2"/>
        <v>128</v>
      </c>
      <c r="T69" s="10" t="str">
        <f t="shared" si="3"/>
        <v>Average</v>
      </c>
    </row>
    <row r="70" spans="1:20">
      <c r="A70" s="2">
        <v>500070</v>
      </c>
      <c r="B70" s="2">
        <v>105158</v>
      </c>
      <c r="C70" s="8">
        <v>45307</v>
      </c>
      <c r="D70" s="2">
        <v>2003</v>
      </c>
      <c r="E70" s="2">
        <v>3</v>
      </c>
      <c r="F70" s="2">
        <v>0</v>
      </c>
      <c r="G70" s="2" t="s">
        <v>20</v>
      </c>
      <c r="H70" s="2" t="s">
        <v>21</v>
      </c>
      <c r="I70" s="2">
        <v>23</v>
      </c>
      <c r="J70" s="2" t="s">
        <v>22</v>
      </c>
      <c r="K70" s="8">
        <v>45602</v>
      </c>
      <c r="L70" s="2" t="s">
        <v>41</v>
      </c>
      <c r="M70" s="2" t="s">
        <v>24</v>
      </c>
      <c r="N70" s="2" t="s">
        <v>25</v>
      </c>
      <c r="O70" s="2">
        <v>9</v>
      </c>
      <c r="P70" s="2">
        <v>27</v>
      </c>
      <c r="Q70" s="2">
        <v>27</v>
      </c>
      <c r="R70" s="9" t="s">
        <v>30</v>
      </c>
      <c r="S70" s="9">
        <f t="shared" si="2"/>
        <v>27</v>
      </c>
      <c r="T70" s="10" t="str">
        <f t="shared" si="3"/>
        <v>Low</v>
      </c>
    </row>
    <row r="71" spans="1:20">
      <c r="A71" s="2">
        <v>500071</v>
      </c>
      <c r="B71" s="2">
        <v>100053</v>
      </c>
      <c r="C71" s="8">
        <v>45968</v>
      </c>
      <c r="D71" s="2">
        <v>2008</v>
      </c>
      <c r="E71" s="2">
        <v>1</v>
      </c>
      <c r="F71" s="2">
        <v>10</v>
      </c>
      <c r="G71" s="2" t="s">
        <v>27</v>
      </c>
      <c r="H71" s="2" t="s">
        <v>21</v>
      </c>
      <c r="I71" s="2">
        <v>35</v>
      </c>
      <c r="J71" s="2" t="s">
        <v>35</v>
      </c>
      <c r="K71" s="8">
        <v>45349</v>
      </c>
      <c r="L71" s="2" t="s">
        <v>23</v>
      </c>
      <c r="M71" s="2" t="s">
        <v>39</v>
      </c>
      <c r="N71" s="2" t="s">
        <v>25</v>
      </c>
      <c r="O71" s="2">
        <v>14</v>
      </c>
      <c r="P71" s="2">
        <v>13</v>
      </c>
      <c r="Q71" s="2">
        <v>13</v>
      </c>
      <c r="R71" s="9" t="s">
        <v>26</v>
      </c>
      <c r="S71" s="9">
        <f t="shared" si="2"/>
        <v>14</v>
      </c>
      <c r="T71" s="10" t="str">
        <f t="shared" si="3"/>
        <v>Average</v>
      </c>
    </row>
    <row r="72" spans="1:20">
      <c r="A72" s="2">
        <v>500072</v>
      </c>
      <c r="B72" s="2">
        <v>108212</v>
      </c>
      <c r="C72" s="8">
        <v>45912</v>
      </c>
      <c r="D72" s="2">
        <v>2017</v>
      </c>
      <c r="E72" s="2">
        <v>1</v>
      </c>
      <c r="F72" s="2">
        <v>20</v>
      </c>
      <c r="G72" s="2" t="s">
        <v>31</v>
      </c>
      <c r="H72" s="2" t="s">
        <v>21</v>
      </c>
      <c r="I72" s="2">
        <v>22</v>
      </c>
      <c r="J72" s="2" t="s">
        <v>45</v>
      </c>
      <c r="K72" s="8">
        <v>45057</v>
      </c>
      <c r="L72" s="2" t="s">
        <v>41</v>
      </c>
      <c r="M72" s="2" t="s">
        <v>44</v>
      </c>
      <c r="N72" s="2" t="s">
        <v>25</v>
      </c>
      <c r="O72" s="2">
        <v>11</v>
      </c>
      <c r="P72" s="2">
        <v>9</v>
      </c>
      <c r="Q72" s="2">
        <v>9</v>
      </c>
      <c r="R72" s="9" t="s">
        <v>26</v>
      </c>
      <c r="S72" s="9">
        <f t="shared" si="2"/>
        <v>11</v>
      </c>
      <c r="T72" s="10" t="str">
        <f t="shared" si="3"/>
        <v>High</v>
      </c>
    </row>
    <row r="73" spans="1:20">
      <c r="A73" s="2">
        <v>500073</v>
      </c>
      <c r="B73" s="2">
        <v>102545</v>
      </c>
      <c r="C73" s="8">
        <v>45518</v>
      </c>
      <c r="D73" s="2">
        <v>2002</v>
      </c>
      <c r="E73" s="2">
        <v>2</v>
      </c>
      <c r="F73" s="2">
        <v>5</v>
      </c>
      <c r="G73" s="2" t="s">
        <v>20</v>
      </c>
      <c r="H73" s="2" t="s">
        <v>21</v>
      </c>
      <c r="I73" s="2">
        <v>56</v>
      </c>
      <c r="J73" s="2" t="s">
        <v>35</v>
      </c>
      <c r="K73" s="8">
        <v>44979</v>
      </c>
      <c r="L73" s="2" t="s">
        <v>41</v>
      </c>
      <c r="M73" s="2" t="s">
        <v>33</v>
      </c>
      <c r="N73" s="2" t="s">
        <v>34</v>
      </c>
      <c r="O73" s="2">
        <v>62</v>
      </c>
      <c r="P73" s="2">
        <v>118</v>
      </c>
      <c r="Q73" s="2">
        <v>118</v>
      </c>
      <c r="R73" s="9" t="s">
        <v>30</v>
      </c>
      <c r="S73" s="9">
        <f t="shared" si="2"/>
        <v>124</v>
      </c>
      <c r="T73" s="10" t="str">
        <f t="shared" si="3"/>
        <v>Low</v>
      </c>
    </row>
    <row r="74" spans="1:20">
      <c r="A74" s="2">
        <v>500074</v>
      </c>
      <c r="B74" s="2">
        <v>106487</v>
      </c>
      <c r="C74" s="8">
        <v>45521</v>
      </c>
      <c r="D74" s="2">
        <v>2014</v>
      </c>
      <c r="E74" s="2">
        <v>5</v>
      </c>
      <c r="F74" s="2">
        <v>10</v>
      </c>
      <c r="G74" s="2" t="s">
        <v>20</v>
      </c>
      <c r="H74" s="2" t="s">
        <v>21</v>
      </c>
      <c r="I74" s="2">
        <v>55</v>
      </c>
      <c r="J74" s="2" t="s">
        <v>28</v>
      </c>
      <c r="K74" s="8">
        <v>45819</v>
      </c>
      <c r="L74" s="2" t="s">
        <v>23</v>
      </c>
      <c r="M74" s="2" t="s">
        <v>29</v>
      </c>
      <c r="N74" s="2" t="s">
        <v>25</v>
      </c>
      <c r="O74" s="2">
        <v>42</v>
      </c>
      <c r="P74" s="2">
        <v>189</v>
      </c>
      <c r="Q74" s="2">
        <v>189</v>
      </c>
      <c r="R74" s="9" t="s">
        <v>30</v>
      </c>
      <c r="S74" s="9">
        <f t="shared" si="2"/>
        <v>210</v>
      </c>
      <c r="T74" s="10" t="str">
        <f t="shared" si="3"/>
        <v>Average</v>
      </c>
    </row>
    <row r="75" spans="1:20">
      <c r="A75" s="2">
        <v>500075</v>
      </c>
      <c r="B75" s="2">
        <v>104951</v>
      </c>
      <c r="C75" s="8">
        <v>45526</v>
      </c>
      <c r="D75" s="2">
        <v>2007</v>
      </c>
      <c r="E75" s="2">
        <v>1</v>
      </c>
      <c r="F75" s="2">
        <v>5</v>
      </c>
      <c r="G75" s="2" t="s">
        <v>27</v>
      </c>
      <c r="H75" s="2" t="s">
        <v>21</v>
      </c>
      <c r="I75" s="2">
        <v>33</v>
      </c>
      <c r="J75" s="2" t="s">
        <v>32</v>
      </c>
      <c r="K75" s="8">
        <v>45675</v>
      </c>
      <c r="L75" s="2" t="s">
        <v>41</v>
      </c>
      <c r="M75" s="2" t="s">
        <v>61</v>
      </c>
      <c r="N75" s="2" t="s">
        <v>34</v>
      </c>
      <c r="O75" s="2">
        <v>75</v>
      </c>
      <c r="P75" s="2">
        <v>71</v>
      </c>
      <c r="Q75" s="2">
        <v>71</v>
      </c>
      <c r="R75" s="9" t="s">
        <v>30</v>
      </c>
      <c r="S75" s="9">
        <f t="shared" si="2"/>
        <v>75</v>
      </c>
      <c r="T75" s="10" t="str">
        <f t="shared" si="3"/>
        <v>Low</v>
      </c>
    </row>
    <row r="76" spans="1:20">
      <c r="A76" s="2">
        <v>500076</v>
      </c>
      <c r="B76" s="2">
        <v>105369</v>
      </c>
      <c r="C76" s="8">
        <v>45871</v>
      </c>
      <c r="D76" s="2">
        <v>2014</v>
      </c>
      <c r="E76" s="2">
        <v>3</v>
      </c>
      <c r="F76" s="2">
        <v>5</v>
      </c>
      <c r="G76" s="2" t="s">
        <v>20</v>
      </c>
      <c r="H76" s="2" t="s">
        <v>21</v>
      </c>
      <c r="I76" s="2">
        <v>49</v>
      </c>
      <c r="J76" s="2" t="s">
        <v>43</v>
      </c>
      <c r="K76" s="8">
        <v>45636</v>
      </c>
      <c r="L76" s="2" t="s">
        <v>23</v>
      </c>
      <c r="M76" s="2" t="s">
        <v>29</v>
      </c>
      <c r="N76" s="2" t="s">
        <v>25</v>
      </c>
      <c r="O76" s="2">
        <v>42</v>
      </c>
      <c r="P76" s="2">
        <v>120</v>
      </c>
      <c r="Q76" s="2">
        <v>120</v>
      </c>
      <c r="R76" s="9" t="s">
        <v>26</v>
      </c>
      <c r="S76" s="9">
        <f t="shared" si="2"/>
        <v>126</v>
      </c>
      <c r="T76" s="10" t="str">
        <f t="shared" si="3"/>
        <v>Low</v>
      </c>
    </row>
    <row r="77" spans="1:20">
      <c r="A77" s="2">
        <v>500077</v>
      </c>
      <c r="B77" s="2">
        <v>108987</v>
      </c>
      <c r="C77" s="8">
        <v>45546</v>
      </c>
      <c r="D77" s="2">
        <v>2003</v>
      </c>
      <c r="E77" s="2">
        <v>2</v>
      </c>
      <c r="F77" s="2">
        <v>30</v>
      </c>
      <c r="G77" s="2" t="s">
        <v>20</v>
      </c>
      <c r="H77" s="2" t="s">
        <v>21</v>
      </c>
      <c r="I77" s="2">
        <v>53</v>
      </c>
      <c r="J77" s="2" t="s">
        <v>32</v>
      </c>
      <c r="K77" s="8">
        <v>45814</v>
      </c>
      <c r="L77" s="2" t="s">
        <v>23</v>
      </c>
      <c r="M77" s="2" t="s">
        <v>24</v>
      </c>
      <c r="N77" s="2" t="s">
        <v>25</v>
      </c>
      <c r="O77" s="2">
        <v>9</v>
      </c>
      <c r="P77" s="2">
        <v>13</v>
      </c>
      <c r="Q77" s="2">
        <v>13</v>
      </c>
      <c r="R77" s="9" t="s">
        <v>30</v>
      </c>
      <c r="S77" s="9">
        <f t="shared" si="2"/>
        <v>18</v>
      </c>
      <c r="T77" s="10" t="str">
        <f t="shared" si="3"/>
        <v>High</v>
      </c>
    </row>
    <row r="78" spans="1:20">
      <c r="A78" s="2">
        <v>500078</v>
      </c>
      <c r="B78" s="2">
        <v>100771</v>
      </c>
      <c r="C78" s="8">
        <v>45560</v>
      </c>
      <c r="D78" s="2">
        <v>2002</v>
      </c>
      <c r="E78" s="2">
        <v>2</v>
      </c>
      <c r="F78" s="2">
        <v>30</v>
      </c>
      <c r="G78" s="2" t="s">
        <v>31</v>
      </c>
      <c r="H78" s="2" t="s">
        <v>21</v>
      </c>
      <c r="I78" s="2">
        <v>49</v>
      </c>
      <c r="J78" s="2" t="s">
        <v>22</v>
      </c>
      <c r="K78" s="8">
        <v>45677</v>
      </c>
      <c r="L78" s="2" t="s">
        <v>41</v>
      </c>
      <c r="M78" s="2" t="s">
        <v>33</v>
      </c>
      <c r="N78" s="2" t="s">
        <v>34</v>
      </c>
      <c r="O78" s="2">
        <v>62</v>
      </c>
      <c r="P78" s="2">
        <v>87</v>
      </c>
      <c r="Q78" s="2">
        <v>87</v>
      </c>
      <c r="R78" s="9" t="s">
        <v>30</v>
      </c>
      <c r="S78" s="9">
        <f t="shared" si="2"/>
        <v>124</v>
      </c>
      <c r="T78" s="10" t="str">
        <f t="shared" si="3"/>
        <v>High</v>
      </c>
    </row>
    <row r="79" spans="1:20">
      <c r="A79" s="2">
        <v>500079</v>
      </c>
      <c r="B79" s="2">
        <v>103388</v>
      </c>
      <c r="C79" s="8">
        <v>45617</v>
      </c>
      <c r="D79" s="2">
        <v>2015</v>
      </c>
      <c r="E79" s="2">
        <v>2</v>
      </c>
      <c r="F79" s="2">
        <v>20</v>
      </c>
      <c r="G79" s="2" t="s">
        <v>27</v>
      </c>
      <c r="H79" s="2" t="s">
        <v>21</v>
      </c>
      <c r="I79" s="2">
        <v>53</v>
      </c>
      <c r="J79" s="2" t="s">
        <v>35</v>
      </c>
      <c r="K79" s="8">
        <v>45090</v>
      </c>
      <c r="L79" s="2" t="s">
        <v>41</v>
      </c>
      <c r="M79" s="2" t="s">
        <v>66</v>
      </c>
      <c r="N79" s="2" t="s">
        <v>34</v>
      </c>
      <c r="O79" s="2">
        <v>58</v>
      </c>
      <c r="P79" s="2">
        <v>93</v>
      </c>
      <c r="Q79" s="2">
        <v>93</v>
      </c>
      <c r="R79" s="9" t="s">
        <v>30</v>
      </c>
      <c r="S79" s="9">
        <f t="shared" si="2"/>
        <v>116</v>
      </c>
      <c r="T79" s="10" t="str">
        <f t="shared" si="3"/>
        <v>High</v>
      </c>
    </row>
    <row r="80" spans="1:20">
      <c r="A80" s="2">
        <v>500080</v>
      </c>
      <c r="B80" s="2">
        <v>100685</v>
      </c>
      <c r="C80" s="8">
        <v>46178</v>
      </c>
      <c r="D80" s="2">
        <v>2013</v>
      </c>
      <c r="E80" s="2">
        <v>1</v>
      </c>
      <c r="F80" s="2">
        <v>0</v>
      </c>
      <c r="G80" s="2" t="s">
        <v>20</v>
      </c>
      <c r="H80" s="2" t="s">
        <v>47</v>
      </c>
      <c r="I80" s="2">
        <v>26</v>
      </c>
      <c r="J80" s="2" t="s">
        <v>43</v>
      </c>
      <c r="K80" s="8">
        <v>45769</v>
      </c>
      <c r="L80" s="2" t="s">
        <v>41</v>
      </c>
      <c r="M80" s="2" t="s">
        <v>53</v>
      </c>
      <c r="N80" s="2" t="s">
        <v>54</v>
      </c>
      <c r="O80" s="2">
        <v>7</v>
      </c>
      <c r="P80" s="2">
        <v>7</v>
      </c>
      <c r="Q80" s="2">
        <v>7</v>
      </c>
      <c r="R80" s="9" t="s">
        <v>26</v>
      </c>
      <c r="S80" s="9">
        <f t="shared" si="2"/>
        <v>7</v>
      </c>
      <c r="T80" s="10" t="str">
        <f t="shared" si="3"/>
        <v>Low</v>
      </c>
    </row>
    <row r="81" spans="1:20">
      <c r="A81" s="2">
        <v>500081</v>
      </c>
      <c r="B81" s="2">
        <v>107845</v>
      </c>
      <c r="C81" s="8">
        <v>45689</v>
      </c>
      <c r="D81" s="2">
        <v>2018</v>
      </c>
      <c r="E81" s="2">
        <v>2</v>
      </c>
      <c r="F81" s="2">
        <v>0</v>
      </c>
      <c r="G81" s="2" t="s">
        <v>20</v>
      </c>
      <c r="H81" s="2" t="s">
        <v>21</v>
      </c>
      <c r="I81" s="2">
        <v>26</v>
      </c>
      <c r="J81" s="2" t="s">
        <v>32</v>
      </c>
      <c r="K81" s="8">
        <v>45405</v>
      </c>
      <c r="L81" s="2" t="s">
        <v>23</v>
      </c>
      <c r="M81" s="2" t="s">
        <v>64</v>
      </c>
      <c r="N81" s="2" t="s">
        <v>34</v>
      </c>
      <c r="O81" s="2">
        <v>85</v>
      </c>
      <c r="P81" s="2">
        <v>170</v>
      </c>
      <c r="Q81" s="2">
        <v>170</v>
      </c>
      <c r="R81" s="9" t="s">
        <v>26</v>
      </c>
      <c r="S81" s="9">
        <f t="shared" si="2"/>
        <v>170</v>
      </c>
      <c r="T81" s="10" t="str">
        <f t="shared" si="3"/>
        <v>Low</v>
      </c>
    </row>
    <row r="82" spans="1:20">
      <c r="A82" s="2">
        <v>500082</v>
      </c>
      <c r="B82" s="2">
        <v>103580</v>
      </c>
      <c r="C82" s="8">
        <v>45618</v>
      </c>
      <c r="D82" s="2">
        <v>2007</v>
      </c>
      <c r="E82" s="2">
        <v>3</v>
      </c>
      <c r="F82" s="2">
        <v>5</v>
      </c>
      <c r="G82" s="2" t="s">
        <v>31</v>
      </c>
      <c r="H82" s="2" t="s">
        <v>21</v>
      </c>
      <c r="I82" s="2">
        <v>21</v>
      </c>
      <c r="J82" s="2" t="s">
        <v>32</v>
      </c>
      <c r="K82" s="8">
        <v>45193</v>
      </c>
      <c r="L82" s="2" t="s">
        <v>23</v>
      </c>
      <c r="M82" s="2" t="s">
        <v>61</v>
      </c>
      <c r="N82" s="2" t="s">
        <v>34</v>
      </c>
      <c r="O82" s="2">
        <v>75</v>
      </c>
      <c r="P82" s="2">
        <v>214</v>
      </c>
      <c r="Q82" s="2">
        <v>214</v>
      </c>
      <c r="R82" s="9" t="s">
        <v>30</v>
      </c>
      <c r="S82" s="9">
        <f t="shared" si="2"/>
        <v>225</v>
      </c>
      <c r="T82" s="10" t="str">
        <f t="shared" si="3"/>
        <v>Low</v>
      </c>
    </row>
    <row r="83" spans="1:20">
      <c r="A83" s="2">
        <v>500083</v>
      </c>
      <c r="B83" s="2">
        <v>104496</v>
      </c>
      <c r="C83" s="8">
        <v>45698</v>
      </c>
      <c r="D83" s="2">
        <v>2008</v>
      </c>
      <c r="E83" s="2">
        <v>1</v>
      </c>
      <c r="F83" s="2">
        <v>0</v>
      </c>
      <c r="G83" s="2" t="s">
        <v>27</v>
      </c>
      <c r="H83" s="2" t="s">
        <v>21</v>
      </c>
      <c r="I83" s="2">
        <v>48</v>
      </c>
      <c r="J83" s="2" t="s">
        <v>32</v>
      </c>
      <c r="K83" s="8">
        <v>45079</v>
      </c>
      <c r="L83" s="2" t="s">
        <v>23</v>
      </c>
      <c r="M83" s="2" t="s">
        <v>39</v>
      </c>
      <c r="N83" s="2" t="s">
        <v>25</v>
      </c>
      <c r="O83" s="2">
        <v>14</v>
      </c>
      <c r="P83" s="2">
        <v>14</v>
      </c>
      <c r="Q83" s="2">
        <v>14</v>
      </c>
      <c r="R83" s="9" t="s">
        <v>26</v>
      </c>
      <c r="S83" s="9">
        <f t="shared" si="2"/>
        <v>14</v>
      </c>
      <c r="T83" s="10" t="str">
        <f t="shared" si="3"/>
        <v>Low</v>
      </c>
    </row>
    <row r="84" spans="1:20">
      <c r="A84" s="2">
        <v>500084</v>
      </c>
      <c r="B84" s="2">
        <v>100243</v>
      </c>
      <c r="C84" s="8">
        <v>45913</v>
      </c>
      <c r="D84" s="2">
        <v>2013</v>
      </c>
      <c r="E84" s="2">
        <v>3</v>
      </c>
      <c r="F84" s="2">
        <v>5</v>
      </c>
      <c r="G84" s="2" t="s">
        <v>31</v>
      </c>
      <c r="H84" s="2" t="s">
        <v>21</v>
      </c>
      <c r="I84" s="2">
        <v>22</v>
      </c>
      <c r="J84" s="2" t="s">
        <v>45</v>
      </c>
      <c r="K84" s="8">
        <v>45067</v>
      </c>
      <c r="L84" s="2" t="s">
        <v>41</v>
      </c>
      <c r="M84" s="2" t="s">
        <v>53</v>
      </c>
      <c r="N84" s="2" t="s">
        <v>54</v>
      </c>
      <c r="O84" s="2">
        <v>7</v>
      </c>
      <c r="P84" s="2">
        <v>20</v>
      </c>
      <c r="Q84" s="2">
        <v>20</v>
      </c>
      <c r="R84" s="9" t="s">
        <v>26</v>
      </c>
      <c r="S84" s="9">
        <f t="shared" si="2"/>
        <v>21</v>
      </c>
      <c r="T84" s="10" t="str">
        <f t="shared" si="3"/>
        <v>Low</v>
      </c>
    </row>
    <row r="85" spans="1:20">
      <c r="A85" s="2">
        <v>500085</v>
      </c>
      <c r="B85" s="2">
        <v>106025</v>
      </c>
      <c r="C85" s="8">
        <v>46056</v>
      </c>
      <c r="D85" s="2">
        <v>2003</v>
      </c>
      <c r="E85" s="2">
        <v>1</v>
      </c>
      <c r="F85" s="2">
        <v>0</v>
      </c>
      <c r="G85" s="2" t="s">
        <v>20</v>
      </c>
      <c r="H85" s="2" t="s">
        <v>21</v>
      </c>
      <c r="I85" s="2">
        <v>41</v>
      </c>
      <c r="J85" s="2" t="s">
        <v>32</v>
      </c>
      <c r="K85" s="8">
        <v>44980</v>
      </c>
      <c r="L85" s="2" t="s">
        <v>41</v>
      </c>
      <c r="M85" s="2" t="s">
        <v>24</v>
      </c>
      <c r="N85" s="2" t="s">
        <v>25</v>
      </c>
      <c r="O85" s="2">
        <v>9</v>
      </c>
      <c r="P85" s="2">
        <v>9</v>
      </c>
      <c r="Q85" s="2">
        <v>9</v>
      </c>
      <c r="R85" s="9" t="s">
        <v>26</v>
      </c>
      <c r="S85" s="9">
        <f t="shared" si="2"/>
        <v>9</v>
      </c>
      <c r="T85" s="10" t="str">
        <f t="shared" si="3"/>
        <v>Low</v>
      </c>
    </row>
    <row r="86" spans="1:20">
      <c r="A86" s="2">
        <v>500086</v>
      </c>
      <c r="B86" s="2">
        <v>102251</v>
      </c>
      <c r="C86" s="8">
        <v>46192</v>
      </c>
      <c r="D86" s="2">
        <v>2001</v>
      </c>
      <c r="E86" s="2">
        <v>1</v>
      </c>
      <c r="F86" s="2">
        <v>0</v>
      </c>
      <c r="G86" s="2" t="s">
        <v>20</v>
      </c>
      <c r="H86" s="2" t="s">
        <v>21</v>
      </c>
      <c r="I86" s="2">
        <v>42</v>
      </c>
      <c r="J86" s="2" t="s">
        <v>35</v>
      </c>
      <c r="K86" s="8">
        <v>45801</v>
      </c>
      <c r="L86" s="2" t="s">
        <v>23</v>
      </c>
      <c r="M86" s="2" t="s">
        <v>50</v>
      </c>
      <c r="N86" s="2" t="s">
        <v>34</v>
      </c>
      <c r="O86" s="2">
        <v>18</v>
      </c>
      <c r="P86" s="2">
        <v>18</v>
      </c>
      <c r="Q86" s="2">
        <v>18</v>
      </c>
      <c r="R86" s="9" t="s">
        <v>26</v>
      </c>
      <c r="S86" s="9">
        <f t="shared" si="2"/>
        <v>18</v>
      </c>
      <c r="T86" s="10" t="str">
        <f t="shared" si="3"/>
        <v>Low</v>
      </c>
    </row>
    <row r="87" spans="1:20">
      <c r="A87" s="2">
        <v>500087</v>
      </c>
      <c r="B87" s="2">
        <v>100613</v>
      </c>
      <c r="C87" s="8">
        <v>45711</v>
      </c>
      <c r="D87" s="2">
        <v>2015</v>
      </c>
      <c r="E87" s="2">
        <v>2</v>
      </c>
      <c r="F87" s="2">
        <v>0</v>
      </c>
      <c r="G87" s="2" t="s">
        <v>20</v>
      </c>
      <c r="H87" s="2" t="s">
        <v>21</v>
      </c>
      <c r="I87" s="2">
        <v>55</v>
      </c>
      <c r="J87" s="2" t="s">
        <v>45</v>
      </c>
      <c r="K87" s="8">
        <v>45497</v>
      </c>
      <c r="L87" s="2" t="s">
        <v>41</v>
      </c>
      <c r="M87" s="2" t="s">
        <v>66</v>
      </c>
      <c r="N87" s="2" t="s">
        <v>34</v>
      </c>
      <c r="O87" s="2">
        <v>58</v>
      </c>
      <c r="P87" s="2">
        <v>116</v>
      </c>
      <c r="Q87" s="2">
        <v>116</v>
      </c>
      <c r="R87" s="9" t="s">
        <v>26</v>
      </c>
      <c r="S87" s="9">
        <f t="shared" si="2"/>
        <v>116</v>
      </c>
      <c r="T87" s="10" t="str">
        <f t="shared" si="3"/>
        <v>Low</v>
      </c>
    </row>
    <row r="88" spans="1:20">
      <c r="A88" s="2">
        <v>500088</v>
      </c>
      <c r="B88" s="2">
        <v>109509</v>
      </c>
      <c r="C88" s="8">
        <v>45689</v>
      </c>
      <c r="D88" s="2">
        <v>2008</v>
      </c>
      <c r="E88" s="2">
        <v>3</v>
      </c>
      <c r="F88" s="2">
        <v>5</v>
      </c>
      <c r="G88" s="2" t="s">
        <v>31</v>
      </c>
      <c r="H88" s="2" t="s">
        <v>21</v>
      </c>
      <c r="I88" s="2">
        <v>57</v>
      </c>
      <c r="J88" s="2" t="s">
        <v>48</v>
      </c>
      <c r="K88" s="8">
        <v>45972</v>
      </c>
      <c r="L88" s="2" t="s">
        <v>23</v>
      </c>
      <c r="M88" s="2" t="s">
        <v>39</v>
      </c>
      <c r="N88" s="2" t="s">
        <v>25</v>
      </c>
      <c r="O88" s="2">
        <v>14</v>
      </c>
      <c r="P88" s="2">
        <v>40</v>
      </c>
      <c r="Q88" s="2">
        <v>40</v>
      </c>
      <c r="R88" s="9" t="s">
        <v>26</v>
      </c>
      <c r="S88" s="9">
        <f t="shared" si="2"/>
        <v>42</v>
      </c>
      <c r="T88" s="10" t="str">
        <f t="shared" si="3"/>
        <v>Low</v>
      </c>
    </row>
    <row r="89" spans="1:20">
      <c r="A89" s="2">
        <v>500089</v>
      </c>
      <c r="B89" s="2">
        <v>105172</v>
      </c>
      <c r="C89" s="8">
        <v>45577</v>
      </c>
      <c r="D89" s="2">
        <v>2019</v>
      </c>
      <c r="E89" s="2">
        <v>2</v>
      </c>
      <c r="F89" s="2">
        <v>5</v>
      </c>
      <c r="G89" s="2" t="s">
        <v>20</v>
      </c>
      <c r="H89" s="2" t="s">
        <v>21</v>
      </c>
      <c r="I89" s="2">
        <v>39</v>
      </c>
      <c r="J89" s="2" t="s">
        <v>45</v>
      </c>
      <c r="K89" s="8">
        <v>46019</v>
      </c>
      <c r="L89" s="2" t="s">
        <v>23</v>
      </c>
      <c r="M89" s="2" t="s">
        <v>60</v>
      </c>
      <c r="N89" s="2" t="s">
        <v>34</v>
      </c>
      <c r="O89" s="2">
        <v>260</v>
      </c>
      <c r="P89" s="2">
        <v>494</v>
      </c>
      <c r="Q89" s="2">
        <v>494</v>
      </c>
      <c r="R89" s="9" t="s">
        <v>30</v>
      </c>
      <c r="S89" s="9">
        <f t="shared" si="2"/>
        <v>520</v>
      </c>
      <c r="T89" s="10" t="str">
        <f t="shared" si="3"/>
        <v>Low</v>
      </c>
    </row>
    <row r="90" spans="1:20">
      <c r="A90" s="2">
        <v>500090</v>
      </c>
      <c r="B90" s="2">
        <v>102165</v>
      </c>
      <c r="C90" s="8">
        <v>45965</v>
      </c>
      <c r="D90" s="2">
        <v>2003</v>
      </c>
      <c r="E90" s="2">
        <v>4</v>
      </c>
      <c r="F90" s="2">
        <v>10</v>
      </c>
      <c r="G90" s="2" t="s">
        <v>27</v>
      </c>
      <c r="H90" s="2" t="s">
        <v>21</v>
      </c>
      <c r="I90" s="2">
        <v>63</v>
      </c>
      <c r="J90" s="2" t="s">
        <v>52</v>
      </c>
      <c r="K90" s="8">
        <v>45314</v>
      </c>
      <c r="L90" s="2" t="s">
        <v>41</v>
      </c>
      <c r="M90" s="2" t="s">
        <v>24</v>
      </c>
      <c r="N90" s="2" t="s">
        <v>25</v>
      </c>
      <c r="O90" s="2">
        <v>9</v>
      </c>
      <c r="P90" s="2">
        <v>32</v>
      </c>
      <c r="Q90" s="2">
        <v>32</v>
      </c>
      <c r="R90" s="9" t="s">
        <v>26</v>
      </c>
      <c r="S90" s="9">
        <f t="shared" si="2"/>
        <v>36</v>
      </c>
      <c r="T90" s="10" t="str">
        <f t="shared" si="3"/>
        <v>Average</v>
      </c>
    </row>
    <row r="91" spans="1:20">
      <c r="A91" s="2">
        <v>500091</v>
      </c>
      <c r="B91" s="2">
        <v>103486</v>
      </c>
      <c r="C91" s="8">
        <v>45858</v>
      </c>
      <c r="D91" s="2">
        <v>2003</v>
      </c>
      <c r="E91" s="2">
        <v>1</v>
      </c>
      <c r="F91" s="2">
        <v>10</v>
      </c>
      <c r="G91" s="2" t="s">
        <v>56</v>
      </c>
      <c r="H91" s="2" t="s">
        <v>47</v>
      </c>
      <c r="I91" s="2">
        <v>19</v>
      </c>
      <c r="J91" s="2" t="s">
        <v>55</v>
      </c>
      <c r="K91" s="8">
        <v>45898</v>
      </c>
      <c r="L91" s="2" t="s">
        <v>23</v>
      </c>
      <c r="M91" s="2" t="s">
        <v>24</v>
      </c>
      <c r="N91" s="2" t="s">
        <v>25</v>
      </c>
      <c r="O91" s="2">
        <v>9</v>
      </c>
      <c r="P91" s="2">
        <v>8</v>
      </c>
      <c r="Q91" s="2">
        <v>8</v>
      </c>
      <c r="R91" s="9" t="s">
        <v>26</v>
      </c>
      <c r="S91" s="9">
        <f t="shared" si="2"/>
        <v>9</v>
      </c>
      <c r="T91" s="10" t="str">
        <f t="shared" si="3"/>
        <v>Average</v>
      </c>
    </row>
    <row r="92" spans="1:20">
      <c r="A92" s="2">
        <v>500092</v>
      </c>
      <c r="B92" s="2">
        <v>107995</v>
      </c>
      <c r="C92" s="8">
        <v>45605</v>
      </c>
      <c r="D92" s="2">
        <v>2001</v>
      </c>
      <c r="E92" s="2">
        <v>5</v>
      </c>
      <c r="F92" s="2">
        <v>5</v>
      </c>
      <c r="G92" s="2" t="s">
        <v>31</v>
      </c>
      <c r="H92" s="2" t="s">
        <v>21</v>
      </c>
      <c r="I92" s="2">
        <v>58</v>
      </c>
      <c r="J92" s="2" t="s">
        <v>22</v>
      </c>
      <c r="K92" s="8">
        <v>45694</v>
      </c>
      <c r="L92" s="2" t="s">
        <v>23</v>
      </c>
      <c r="M92" s="2" t="s">
        <v>50</v>
      </c>
      <c r="N92" s="2" t="s">
        <v>34</v>
      </c>
      <c r="O92" s="2">
        <v>18</v>
      </c>
      <c r="P92" s="2">
        <v>86</v>
      </c>
      <c r="Q92" s="2">
        <v>86</v>
      </c>
      <c r="R92" s="9" t="s">
        <v>30</v>
      </c>
      <c r="S92" s="9">
        <f t="shared" si="2"/>
        <v>90</v>
      </c>
      <c r="T92" s="10" t="str">
        <f t="shared" si="3"/>
        <v>Low</v>
      </c>
    </row>
    <row r="93" spans="1:20">
      <c r="A93" s="2">
        <v>500094</v>
      </c>
      <c r="B93" s="2">
        <v>106590</v>
      </c>
      <c r="C93" s="8">
        <v>45469</v>
      </c>
      <c r="D93" s="2">
        <v>2015</v>
      </c>
      <c r="E93" s="2">
        <v>2</v>
      </c>
      <c r="F93" s="2">
        <v>30</v>
      </c>
      <c r="G93" s="2" t="s">
        <v>20</v>
      </c>
      <c r="H93" s="2" t="s">
        <v>21</v>
      </c>
      <c r="I93" s="2">
        <v>41</v>
      </c>
      <c r="J93" s="2" t="s">
        <v>32</v>
      </c>
      <c r="K93" s="8">
        <v>45997</v>
      </c>
      <c r="L93" s="2" t="s">
        <v>23</v>
      </c>
      <c r="M93" s="2" t="s">
        <v>66</v>
      </c>
      <c r="N93" s="2" t="s">
        <v>34</v>
      </c>
      <c r="O93" s="2">
        <v>58</v>
      </c>
      <c r="P93" s="2">
        <v>81</v>
      </c>
      <c r="Q93" s="2">
        <v>81</v>
      </c>
      <c r="R93" s="9" t="s">
        <v>30</v>
      </c>
      <c r="S93" s="9">
        <f t="shared" si="2"/>
        <v>116</v>
      </c>
      <c r="T93" s="10" t="str">
        <f t="shared" si="3"/>
        <v>High</v>
      </c>
    </row>
    <row r="94" spans="1:20">
      <c r="A94" s="2">
        <v>500095</v>
      </c>
      <c r="B94" s="2">
        <v>102948</v>
      </c>
      <c r="C94" s="8">
        <v>45891</v>
      </c>
      <c r="D94" s="2">
        <v>2020</v>
      </c>
      <c r="E94" s="2">
        <v>1</v>
      </c>
      <c r="F94" s="2">
        <v>15</v>
      </c>
      <c r="G94" s="2" t="s">
        <v>20</v>
      </c>
      <c r="H94" s="2" t="s">
        <v>21</v>
      </c>
      <c r="I94" s="2">
        <v>41</v>
      </c>
      <c r="J94" s="2" t="s">
        <v>43</v>
      </c>
      <c r="K94" s="8">
        <v>45964</v>
      </c>
      <c r="L94" s="2" t="s">
        <v>23</v>
      </c>
      <c r="M94" s="2" t="s">
        <v>62</v>
      </c>
      <c r="N94" s="2" t="s">
        <v>63</v>
      </c>
      <c r="O94" s="2">
        <v>68</v>
      </c>
      <c r="P94" s="2">
        <v>58</v>
      </c>
      <c r="Q94" s="2">
        <v>58</v>
      </c>
      <c r="R94" s="9" t="s">
        <v>26</v>
      </c>
      <c r="S94" s="9">
        <f t="shared" si="2"/>
        <v>68</v>
      </c>
      <c r="T94" s="10" t="str">
        <f t="shared" si="3"/>
        <v>High</v>
      </c>
    </row>
    <row r="95" spans="1:20">
      <c r="A95" s="2">
        <v>500096</v>
      </c>
      <c r="B95" s="2">
        <v>101255</v>
      </c>
      <c r="C95" s="8">
        <v>45509</v>
      </c>
      <c r="D95" s="2">
        <v>2018</v>
      </c>
      <c r="E95" s="2">
        <v>1</v>
      </c>
      <c r="F95" s="2">
        <v>0</v>
      </c>
      <c r="G95" s="2" t="s">
        <v>31</v>
      </c>
      <c r="H95" s="2" t="s">
        <v>21</v>
      </c>
      <c r="I95" s="2">
        <v>49</v>
      </c>
      <c r="J95" s="2" t="s">
        <v>52</v>
      </c>
      <c r="K95" s="8">
        <v>45777</v>
      </c>
      <c r="L95" s="2" t="s">
        <v>23</v>
      </c>
      <c r="M95" s="2" t="s">
        <v>64</v>
      </c>
      <c r="N95" s="2" t="s">
        <v>34</v>
      </c>
      <c r="O95" s="2">
        <v>85</v>
      </c>
      <c r="P95" s="2">
        <v>85</v>
      </c>
      <c r="Q95" s="2">
        <v>85</v>
      </c>
      <c r="R95" s="9" t="s">
        <v>30</v>
      </c>
      <c r="S95" s="9">
        <f t="shared" si="2"/>
        <v>85</v>
      </c>
      <c r="T95" s="10" t="str">
        <f t="shared" si="3"/>
        <v>Low</v>
      </c>
    </row>
    <row r="96" spans="1:20">
      <c r="A96" s="2">
        <v>500097</v>
      </c>
      <c r="B96" s="2">
        <v>100083</v>
      </c>
      <c r="C96" s="8">
        <v>45594</v>
      </c>
      <c r="D96" s="2">
        <v>2004</v>
      </c>
      <c r="E96" s="2">
        <v>1</v>
      </c>
      <c r="F96" s="2">
        <v>30</v>
      </c>
      <c r="G96" s="2" t="s">
        <v>20</v>
      </c>
      <c r="H96" s="2" t="s">
        <v>21</v>
      </c>
      <c r="I96" s="2">
        <v>25</v>
      </c>
      <c r="J96" s="2" t="s">
        <v>43</v>
      </c>
      <c r="K96" s="8">
        <v>45279</v>
      </c>
      <c r="L96" s="2" t="s">
        <v>23</v>
      </c>
      <c r="M96" s="2" t="s">
        <v>46</v>
      </c>
      <c r="N96" s="2" t="s">
        <v>34</v>
      </c>
      <c r="O96" s="2">
        <v>35</v>
      </c>
      <c r="P96" s="2">
        <v>24</v>
      </c>
      <c r="Q96" s="2">
        <v>24</v>
      </c>
      <c r="R96" s="9" t="s">
        <v>30</v>
      </c>
      <c r="S96" s="9">
        <f t="shared" si="2"/>
        <v>35</v>
      </c>
      <c r="T96" s="10" t="str">
        <f t="shared" si="3"/>
        <v>High</v>
      </c>
    </row>
    <row r="97" spans="1:20">
      <c r="A97" s="2">
        <v>500098</v>
      </c>
      <c r="B97" s="2">
        <v>102041</v>
      </c>
      <c r="C97" s="8">
        <v>45351</v>
      </c>
      <c r="D97" s="2">
        <v>2017</v>
      </c>
      <c r="E97" s="2">
        <v>3</v>
      </c>
      <c r="F97" s="2">
        <v>0</v>
      </c>
      <c r="G97" s="2" t="s">
        <v>20</v>
      </c>
      <c r="H97" s="2" t="s">
        <v>47</v>
      </c>
      <c r="I97" s="2">
        <v>31</v>
      </c>
      <c r="J97" s="2" t="s">
        <v>48</v>
      </c>
      <c r="K97" s="8">
        <v>45744</v>
      </c>
      <c r="L97" s="2" t="s">
        <v>23</v>
      </c>
      <c r="M97" s="2" t="s">
        <v>44</v>
      </c>
      <c r="N97" s="2" t="s">
        <v>25</v>
      </c>
      <c r="O97" s="2">
        <v>11</v>
      </c>
      <c r="P97" s="2">
        <v>33</v>
      </c>
      <c r="Q97" s="2">
        <v>33</v>
      </c>
      <c r="R97" s="9" t="s">
        <v>30</v>
      </c>
      <c r="S97" s="9">
        <f t="shared" si="2"/>
        <v>33</v>
      </c>
      <c r="T97" s="10" t="str">
        <f t="shared" si="3"/>
        <v>Low</v>
      </c>
    </row>
    <row r="98" spans="1:20">
      <c r="A98" s="2">
        <v>500099</v>
      </c>
      <c r="B98" s="2">
        <v>109236</v>
      </c>
      <c r="C98" s="8">
        <v>45482</v>
      </c>
      <c r="D98" s="2">
        <v>2014</v>
      </c>
      <c r="E98" s="2">
        <v>4</v>
      </c>
      <c r="F98" s="2">
        <v>10</v>
      </c>
      <c r="G98" s="2" t="s">
        <v>31</v>
      </c>
      <c r="H98" s="2" t="s">
        <v>21</v>
      </c>
      <c r="I98" s="2">
        <v>44</v>
      </c>
      <c r="J98" s="2" t="s">
        <v>43</v>
      </c>
      <c r="K98" s="8">
        <v>45375</v>
      </c>
      <c r="L98" s="2" t="s">
        <v>41</v>
      </c>
      <c r="M98" s="2" t="s">
        <v>29</v>
      </c>
      <c r="N98" s="2" t="s">
        <v>25</v>
      </c>
      <c r="O98" s="2">
        <v>42</v>
      </c>
      <c r="P98" s="2">
        <v>151</v>
      </c>
      <c r="Q98" s="2">
        <v>151</v>
      </c>
      <c r="R98" s="9" t="s">
        <v>30</v>
      </c>
      <c r="S98" s="9">
        <f t="shared" si="2"/>
        <v>168</v>
      </c>
      <c r="T98" s="10" t="str">
        <f t="shared" si="3"/>
        <v>Average</v>
      </c>
    </row>
    <row r="99" spans="1:20">
      <c r="A99" s="2">
        <v>500100</v>
      </c>
      <c r="B99" s="2">
        <v>100300</v>
      </c>
      <c r="C99" s="8">
        <v>45460</v>
      </c>
      <c r="D99" s="2">
        <v>2005</v>
      </c>
      <c r="E99" s="2">
        <v>3</v>
      </c>
      <c r="F99" s="2">
        <v>0</v>
      </c>
      <c r="G99" s="2" t="s">
        <v>31</v>
      </c>
      <c r="H99" s="2" t="s">
        <v>21</v>
      </c>
      <c r="I99" s="2">
        <v>19</v>
      </c>
      <c r="J99" s="2" t="s">
        <v>32</v>
      </c>
      <c r="K99" s="8">
        <v>45963</v>
      </c>
      <c r="L99" s="2" t="s">
        <v>41</v>
      </c>
      <c r="M99" s="2" t="s">
        <v>51</v>
      </c>
      <c r="N99" s="2" t="s">
        <v>25</v>
      </c>
      <c r="O99" s="2">
        <v>28</v>
      </c>
      <c r="P99" s="2">
        <v>84</v>
      </c>
      <c r="Q99" s="2">
        <v>84</v>
      </c>
      <c r="R99" s="9" t="s">
        <v>30</v>
      </c>
      <c r="S99" s="9">
        <f t="shared" si="2"/>
        <v>84</v>
      </c>
      <c r="T99" s="10" t="str">
        <f t="shared" si="3"/>
        <v>Low</v>
      </c>
    </row>
    <row r="100" spans="1:20">
      <c r="A100" s="2">
        <v>500101</v>
      </c>
      <c r="B100" s="2">
        <v>100163</v>
      </c>
      <c r="C100" s="8">
        <v>45927</v>
      </c>
      <c r="D100" s="2">
        <v>2008</v>
      </c>
      <c r="E100" s="2">
        <v>2</v>
      </c>
      <c r="F100" s="2">
        <v>15</v>
      </c>
      <c r="G100" s="2" t="s">
        <v>20</v>
      </c>
      <c r="H100" s="2" t="s">
        <v>21</v>
      </c>
      <c r="I100" s="2">
        <v>37</v>
      </c>
      <c r="J100" s="2" t="s">
        <v>32</v>
      </c>
      <c r="K100" s="8">
        <v>45526</v>
      </c>
      <c r="L100" s="2" t="s">
        <v>23</v>
      </c>
      <c r="M100" s="2" t="s">
        <v>39</v>
      </c>
      <c r="N100" s="2" t="s">
        <v>25</v>
      </c>
      <c r="O100" s="2">
        <v>14</v>
      </c>
      <c r="P100" s="2">
        <v>24</v>
      </c>
      <c r="Q100" s="2">
        <v>24</v>
      </c>
      <c r="R100" s="9" t="s">
        <v>26</v>
      </c>
      <c r="S100" s="9">
        <f t="shared" si="2"/>
        <v>28</v>
      </c>
      <c r="T100" s="10" t="str">
        <f t="shared" si="3"/>
        <v>High</v>
      </c>
    </row>
    <row r="101" spans="1:20">
      <c r="A101" s="2">
        <v>500102</v>
      </c>
      <c r="B101" s="2">
        <v>100303</v>
      </c>
      <c r="C101" s="8">
        <v>45892</v>
      </c>
      <c r="D101" s="2">
        <v>2010</v>
      </c>
      <c r="E101" s="2">
        <v>1</v>
      </c>
      <c r="F101" s="2">
        <v>0</v>
      </c>
      <c r="G101" s="2" t="s">
        <v>20</v>
      </c>
      <c r="H101" s="2" t="s">
        <v>21</v>
      </c>
      <c r="I101" s="2">
        <v>18</v>
      </c>
      <c r="J101" s="2" t="s">
        <v>38</v>
      </c>
      <c r="K101" s="8">
        <v>45224</v>
      </c>
      <c r="L101" s="2" t="s">
        <v>23</v>
      </c>
      <c r="M101" s="2" t="s">
        <v>58</v>
      </c>
      <c r="N101" s="2" t="s">
        <v>59</v>
      </c>
      <c r="O101" s="2">
        <v>55</v>
      </c>
      <c r="P101" s="2">
        <v>55</v>
      </c>
      <c r="Q101" s="2">
        <v>55</v>
      </c>
      <c r="R101" s="9" t="s">
        <v>26</v>
      </c>
      <c r="S101" s="9">
        <f t="shared" si="2"/>
        <v>55</v>
      </c>
      <c r="T101" s="10" t="str">
        <f t="shared" si="3"/>
        <v>Low</v>
      </c>
    </row>
    <row r="102" spans="1:20">
      <c r="A102" s="2">
        <v>500103</v>
      </c>
      <c r="B102" s="2">
        <v>107340</v>
      </c>
      <c r="C102" s="8">
        <v>45757</v>
      </c>
      <c r="D102" s="2">
        <v>2005</v>
      </c>
      <c r="E102" s="2">
        <v>1</v>
      </c>
      <c r="F102" s="2">
        <v>5</v>
      </c>
      <c r="G102" s="2" t="s">
        <v>20</v>
      </c>
      <c r="H102" s="2" t="s">
        <v>21</v>
      </c>
      <c r="I102" s="2">
        <v>45</v>
      </c>
      <c r="J102" s="2" t="s">
        <v>48</v>
      </c>
      <c r="K102" s="8">
        <v>45530</v>
      </c>
      <c r="L102" s="2" t="s">
        <v>41</v>
      </c>
      <c r="M102" s="2" t="s">
        <v>51</v>
      </c>
      <c r="N102" s="2" t="s">
        <v>25</v>
      </c>
      <c r="O102" s="2">
        <v>28</v>
      </c>
      <c r="P102" s="2">
        <v>27</v>
      </c>
      <c r="Q102" s="2">
        <v>27</v>
      </c>
      <c r="R102" s="9" t="s">
        <v>26</v>
      </c>
      <c r="S102" s="9">
        <f t="shared" si="2"/>
        <v>28</v>
      </c>
      <c r="T102" s="10" t="str">
        <f t="shared" si="3"/>
        <v>Low</v>
      </c>
    </row>
    <row r="103" spans="1:20">
      <c r="A103" s="2">
        <v>500104</v>
      </c>
      <c r="B103" s="2">
        <v>108874</v>
      </c>
      <c r="C103" s="8">
        <v>45626</v>
      </c>
      <c r="D103" s="2">
        <v>2005</v>
      </c>
      <c r="E103" s="2">
        <v>1</v>
      </c>
      <c r="F103" s="2">
        <v>10</v>
      </c>
      <c r="G103" s="2" t="s">
        <v>31</v>
      </c>
      <c r="H103" s="2" t="s">
        <v>21</v>
      </c>
      <c r="I103" s="2">
        <v>57</v>
      </c>
      <c r="J103" s="2" t="s">
        <v>52</v>
      </c>
      <c r="K103" s="8">
        <v>45630</v>
      </c>
      <c r="L103" s="2" t="s">
        <v>23</v>
      </c>
      <c r="M103" s="2" t="s">
        <v>51</v>
      </c>
      <c r="N103" s="2" t="s">
        <v>25</v>
      </c>
      <c r="O103" s="2">
        <v>28</v>
      </c>
      <c r="P103" s="2">
        <v>25</v>
      </c>
      <c r="Q103" s="2">
        <v>25</v>
      </c>
      <c r="R103" s="9" t="s">
        <v>30</v>
      </c>
      <c r="S103" s="9">
        <f t="shared" si="2"/>
        <v>28</v>
      </c>
      <c r="T103" s="10" t="str">
        <f t="shared" si="3"/>
        <v>Average</v>
      </c>
    </row>
    <row r="104" spans="1:20">
      <c r="A104" s="2">
        <v>500105</v>
      </c>
      <c r="B104" s="2">
        <v>104487</v>
      </c>
      <c r="C104" s="8">
        <v>46063</v>
      </c>
      <c r="D104" s="2">
        <v>2015</v>
      </c>
      <c r="E104" s="2">
        <v>1</v>
      </c>
      <c r="F104" s="2">
        <v>15</v>
      </c>
      <c r="G104" s="2" t="s">
        <v>20</v>
      </c>
      <c r="H104" s="2" t="s">
        <v>21</v>
      </c>
      <c r="I104" s="2">
        <v>44</v>
      </c>
      <c r="J104" s="2" t="s">
        <v>48</v>
      </c>
      <c r="K104" s="8">
        <v>45018</v>
      </c>
      <c r="L104" s="2" t="s">
        <v>23</v>
      </c>
      <c r="M104" s="2" t="s">
        <v>66</v>
      </c>
      <c r="N104" s="2" t="s">
        <v>34</v>
      </c>
      <c r="O104" s="2">
        <v>58</v>
      </c>
      <c r="P104" s="2">
        <v>49</v>
      </c>
      <c r="Q104" s="2">
        <v>49</v>
      </c>
      <c r="R104" s="9" t="s">
        <v>26</v>
      </c>
      <c r="S104" s="9">
        <f t="shared" si="2"/>
        <v>58</v>
      </c>
      <c r="T104" s="10" t="str">
        <f t="shared" si="3"/>
        <v>High</v>
      </c>
    </row>
    <row r="105" spans="1:20">
      <c r="A105" s="2">
        <v>500106</v>
      </c>
      <c r="B105" s="2">
        <v>109797</v>
      </c>
      <c r="C105" s="8">
        <v>46056</v>
      </c>
      <c r="D105" s="2">
        <v>2007</v>
      </c>
      <c r="E105" s="2">
        <v>3</v>
      </c>
      <c r="F105" s="2">
        <v>0</v>
      </c>
      <c r="G105" s="2" t="s">
        <v>20</v>
      </c>
      <c r="H105" s="2" t="s">
        <v>21</v>
      </c>
      <c r="I105" s="2">
        <v>47</v>
      </c>
      <c r="J105" s="2" t="s">
        <v>43</v>
      </c>
      <c r="K105" s="8">
        <v>45598</v>
      </c>
      <c r="L105" s="2" t="s">
        <v>23</v>
      </c>
      <c r="M105" s="2" t="s">
        <v>61</v>
      </c>
      <c r="N105" s="2" t="s">
        <v>34</v>
      </c>
      <c r="O105" s="2">
        <v>75</v>
      </c>
      <c r="P105" s="2">
        <v>225</v>
      </c>
      <c r="Q105" s="2">
        <v>225</v>
      </c>
      <c r="R105" s="9" t="s">
        <v>26</v>
      </c>
      <c r="S105" s="9">
        <f t="shared" si="2"/>
        <v>225</v>
      </c>
      <c r="T105" s="10" t="str">
        <f t="shared" si="3"/>
        <v>Low</v>
      </c>
    </row>
    <row r="106" spans="1:20">
      <c r="A106" s="2">
        <v>500107</v>
      </c>
      <c r="B106" s="2">
        <v>103568</v>
      </c>
      <c r="C106" s="8">
        <v>45812</v>
      </c>
      <c r="D106" s="2">
        <v>2007</v>
      </c>
      <c r="E106" s="2">
        <v>3</v>
      </c>
      <c r="F106" s="2">
        <v>10</v>
      </c>
      <c r="G106" s="2" t="s">
        <v>27</v>
      </c>
      <c r="H106" s="2" t="s">
        <v>21</v>
      </c>
      <c r="I106" s="2">
        <v>25</v>
      </c>
      <c r="J106" s="2" t="s">
        <v>43</v>
      </c>
      <c r="K106" s="8">
        <v>45102</v>
      </c>
      <c r="L106" s="2" t="s">
        <v>23</v>
      </c>
      <c r="M106" s="2" t="s">
        <v>61</v>
      </c>
      <c r="N106" s="2" t="s">
        <v>34</v>
      </c>
      <c r="O106" s="2">
        <v>75</v>
      </c>
      <c r="P106" s="2">
        <v>202</v>
      </c>
      <c r="Q106" s="2">
        <v>202</v>
      </c>
      <c r="R106" s="9" t="s">
        <v>26</v>
      </c>
      <c r="S106" s="9">
        <f t="shared" si="2"/>
        <v>225</v>
      </c>
      <c r="T106" s="10" t="str">
        <f t="shared" si="3"/>
        <v>Average</v>
      </c>
    </row>
    <row r="107" spans="1:20">
      <c r="A107" s="2">
        <v>500108</v>
      </c>
      <c r="B107" s="2">
        <v>109290</v>
      </c>
      <c r="C107" s="8">
        <v>45860</v>
      </c>
      <c r="D107" s="2">
        <v>2018</v>
      </c>
      <c r="E107" s="2">
        <v>4</v>
      </c>
      <c r="F107" s="2">
        <v>0</v>
      </c>
      <c r="G107" s="2" t="s">
        <v>27</v>
      </c>
      <c r="H107" s="2" t="s">
        <v>21</v>
      </c>
      <c r="I107" s="2">
        <v>31</v>
      </c>
      <c r="J107" s="2" t="s">
        <v>45</v>
      </c>
      <c r="K107" s="8">
        <v>44966</v>
      </c>
      <c r="L107" s="2" t="s">
        <v>23</v>
      </c>
      <c r="M107" s="2" t="s">
        <v>64</v>
      </c>
      <c r="N107" s="2" t="s">
        <v>34</v>
      </c>
      <c r="O107" s="2">
        <v>85</v>
      </c>
      <c r="P107" s="2">
        <v>340</v>
      </c>
      <c r="Q107" s="2">
        <v>340</v>
      </c>
      <c r="R107" s="9" t="s">
        <v>26</v>
      </c>
      <c r="S107" s="9">
        <f t="shared" si="2"/>
        <v>340</v>
      </c>
      <c r="T107" s="10" t="str">
        <f t="shared" si="3"/>
        <v>Low</v>
      </c>
    </row>
    <row r="108" spans="1:20">
      <c r="A108" s="2">
        <v>500109</v>
      </c>
      <c r="B108" s="2">
        <v>104967</v>
      </c>
      <c r="C108" s="8">
        <v>45980</v>
      </c>
      <c r="D108" s="2">
        <v>2017</v>
      </c>
      <c r="E108" s="2">
        <v>2</v>
      </c>
      <c r="F108" s="2">
        <v>5</v>
      </c>
      <c r="G108" s="2" t="s">
        <v>20</v>
      </c>
      <c r="H108" s="2" t="s">
        <v>21</v>
      </c>
      <c r="I108" s="2">
        <v>28</v>
      </c>
      <c r="J108" s="2" t="s">
        <v>45</v>
      </c>
      <c r="K108" s="8">
        <v>45153</v>
      </c>
      <c r="L108" s="2" t="s">
        <v>41</v>
      </c>
      <c r="M108" s="2" t="s">
        <v>44</v>
      </c>
      <c r="N108" s="2" t="s">
        <v>25</v>
      </c>
      <c r="O108" s="2">
        <v>11</v>
      </c>
      <c r="P108" s="2">
        <v>21</v>
      </c>
      <c r="Q108" s="2">
        <v>21</v>
      </c>
      <c r="R108" s="9" t="s">
        <v>26</v>
      </c>
      <c r="S108" s="9">
        <f t="shared" si="2"/>
        <v>22</v>
      </c>
      <c r="T108" s="10" t="str">
        <f t="shared" si="3"/>
        <v>Low</v>
      </c>
    </row>
    <row r="109" spans="1:20">
      <c r="A109" s="2">
        <v>500110</v>
      </c>
      <c r="B109" s="2">
        <v>103549</v>
      </c>
      <c r="C109" s="8">
        <v>45916</v>
      </c>
      <c r="D109" s="2">
        <v>2003</v>
      </c>
      <c r="E109" s="2">
        <v>1</v>
      </c>
      <c r="F109" s="2">
        <v>15</v>
      </c>
      <c r="G109" s="2" t="s">
        <v>20</v>
      </c>
      <c r="H109" s="2" t="s">
        <v>47</v>
      </c>
      <c r="I109" s="2">
        <v>41</v>
      </c>
      <c r="J109" s="2" t="s">
        <v>38</v>
      </c>
      <c r="K109" s="8">
        <v>45324</v>
      </c>
      <c r="L109" s="2" t="s">
        <v>23</v>
      </c>
      <c r="M109" s="2" t="s">
        <v>24</v>
      </c>
      <c r="N109" s="2" t="s">
        <v>25</v>
      </c>
      <c r="O109" s="2">
        <v>9</v>
      </c>
      <c r="P109" s="2">
        <v>8</v>
      </c>
      <c r="Q109" s="2">
        <v>8</v>
      </c>
      <c r="R109" s="9" t="s">
        <v>26</v>
      </c>
      <c r="S109" s="9">
        <f t="shared" si="2"/>
        <v>9</v>
      </c>
      <c r="T109" s="10" t="str">
        <f t="shared" si="3"/>
        <v>High</v>
      </c>
    </row>
    <row r="110" spans="1:20">
      <c r="A110" s="2">
        <v>500111</v>
      </c>
      <c r="B110" s="2">
        <v>108820</v>
      </c>
      <c r="C110" s="8">
        <v>45486</v>
      </c>
      <c r="D110" s="2">
        <v>2003</v>
      </c>
      <c r="E110" s="2">
        <v>3</v>
      </c>
      <c r="F110" s="2">
        <v>0</v>
      </c>
      <c r="G110" s="2" t="s">
        <v>20</v>
      </c>
      <c r="H110" s="2" t="s">
        <v>21</v>
      </c>
      <c r="I110" s="2">
        <v>25</v>
      </c>
      <c r="J110" s="2" t="s">
        <v>22</v>
      </c>
      <c r="K110" s="8">
        <v>45874</v>
      </c>
      <c r="L110" s="2" t="s">
        <v>49</v>
      </c>
      <c r="M110" s="2" t="s">
        <v>24</v>
      </c>
      <c r="N110" s="2" t="s">
        <v>25</v>
      </c>
      <c r="O110" s="2">
        <v>9</v>
      </c>
      <c r="P110" s="2">
        <v>27</v>
      </c>
      <c r="Q110" s="2">
        <v>27</v>
      </c>
      <c r="R110" s="9" t="s">
        <v>30</v>
      </c>
      <c r="S110" s="9">
        <f t="shared" si="2"/>
        <v>27</v>
      </c>
      <c r="T110" s="10" t="str">
        <f t="shared" si="3"/>
        <v>Low</v>
      </c>
    </row>
    <row r="111" spans="1:20">
      <c r="A111" s="2">
        <v>500112</v>
      </c>
      <c r="B111" s="2">
        <v>100737</v>
      </c>
      <c r="C111" s="8">
        <v>45726</v>
      </c>
      <c r="D111" s="2">
        <v>2005</v>
      </c>
      <c r="E111" s="2">
        <v>2</v>
      </c>
      <c r="F111" s="2">
        <v>10</v>
      </c>
      <c r="G111" s="2" t="s">
        <v>20</v>
      </c>
      <c r="H111" s="2" t="s">
        <v>21</v>
      </c>
      <c r="I111" s="2">
        <v>53</v>
      </c>
      <c r="J111" s="2" t="s">
        <v>48</v>
      </c>
      <c r="K111" s="8">
        <v>45872</v>
      </c>
      <c r="L111" s="2" t="s">
        <v>23</v>
      </c>
      <c r="M111" s="2" t="s">
        <v>51</v>
      </c>
      <c r="N111" s="2" t="s">
        <v>25</v>
      </c>
      <c r="O111" s="2">
        <v>28</v>
      </c>
      <c r="P111" s="2">
        <v>50</v>
      </c>
      <c r="Q111" s="2">
        <v>50</v>
      </c>
      <c r="R111" s="9" t="s">
        <v>26</v>
      </c>
      <c r="S111" s="9">
        <f t="shared" si="2"/>
        <v>56</v>
      </c>
      <c r="T111" s="10" t="str">
        <f t="shared" si="3"/>
        <v>Average</v>
      </c>
    </row>
    <row r="112" spans="1:20">
      <c r="A112" s="2">
        <v>500113</v>
      </c>
      <c r="B112" s="2">
        <v>101140</v>
      </c>
      <c r="C112" s="8">
        <v>45423</v>
      </c>
      <c r="D112" s="2">
        <v>2013</v>
      </c>
      <c r="E112" s="2">
        <v>1</v>
      </c>
      <c r="F112" s="2">
        <v>15</v>
      </c>
      <c r="G112" s="2" t="s">
        <v>20</v>
      </c>
      <c r="H112" s="2" t="s">
        <v>47</v>
      </c>
      <c r="I112" s="2">
        <v>43</v>
      </c>
      <c r="J112" s="2" t="s">
        <v>43</v>
      </c>
      <c r="K112" s="8">
        <v>44930</v>
      </c>
      <c r="L112" s="2" t="s">
        <v>49</v>
      </c>
      <c r="M112" s="2" t="s">
        <v>53</v>
      </c>
      <c r="N112" s="2" t="s">
        <v>54</v>
      </c>
      <c r="O112" s="2">
        <v>7</v>
      </c>
      <c r="P112" s="2">
        <v>6</v>
      </c>
      <c r="Q112" s="2">
        <v>6</v>
      </c>
      <c r="R112" s="9" t="s">
        <v>30</v>
      </c>
      <c r="S112" s="9">
        <f t="shared" si="2"/>
        <v>7</v>
      </c>
      <c r="T112" s="10" t="str">
        <f t="shared" si="3"/>
        <v>High</v>
      </c>
    </row>
    <row r="113" spans="1:20">
      <c r="A113" s="2">
        <v>500114</v>
      </c>
      <c r="B113" s="2">
        <v>107642</v>
      </c>
      <c r="C113" s="8">
        <v>45991</v>
      </c>
      <c r="D113" s="2">
        <v>2007</v>
      </c>
      <c r="E113" s="2">
        <v>3</v>
      </c>
      <c r="F113" s="2">
        <v>0</v>
      </c>
      <c r="G113" s="2" t="s">
        <v>20</v>
      </c>
      <c r="H113" s="2" t="s">
        <v>21</v>
      </c>
      <c r="I113" s="2">
        <v>54</v>
      </c>
      <c r="J113" s="2" t="s">
        <v>35</v>
      </c>
      <c r="K113" s="8">
        <v>45227</v>
      </c>
      <c r="L113" s="2" t="s">
        <v>23</v>
      </c>
      <c r="M113" s="2" t="s">
        <v>61</v>
      </c>
      <c r="N113" s="2" t="s">
        <v>34</v>
      </c>
      <c r="O113" s="2">
        <v>75</v>
      </c>
      <c r="P113" s="2">
        <v>225</v>
      </c>
      <c r="Q113" s="2">
        <v>225</v>
      </c>
      <c r="R113" s="9" t="s">
        <v>26</v>
      </c>
      <c r="S113" s="9">
        <f t="shared" si="2"/>
        <v>225</v>
      </c>
      <c r="T113" s="10" t="str">
        <f t="shared" si="3"/>
        <v>Low</v>
      </c>
    </row>
    <row r="114" spans="1:20">
      <c r="A114" s="2">
        <v>500115</v>
      </c>
      <c r="B114" s="2">
        <v>109188</v>
      </c>
      <c r="C114" s="8">
        <v>45856</v>
      </c>
      <c r="D114" s="2">
        <v>2008</v>
      </c>
      <c r="E114" s="2">
        <v>2</v>
      </c>
      <c r="F114" s="2">
        <v>0</v>
      </c>
      <c r="G114" s="2" t="s">
        <v>20</v>
      </c>
      <c r="H114" s="2" t="s">
        <v>21</v>
      </c>
      <c r="I114" s="2">
        <v>27</v>
      </c>
      <c r="J114" s="2" t="s">
        <v>43</v>
      </c>
      <c r="K114" s="8">
        <v>45241</v>
      </c>
      <c r="L114" s="2" t="s">
        <v>41</v>
      </c>
      <c r="M114" s="2" t="s">
        <v>39</v>
      </c>
      <c r="N114" s="2" t="s">
        <v>25</v>
      </c>
      <c r="O114" s="2">
        <v>14</v>
      </c>
      <c r="P114" s="2">
        <v>28</v>
      </c>
      <c r="Q114" s="2">
        <v>28</v>
      </c>
      <c r="R114" s="9" t="s">
        <v>26</v>
      </c>
      <c r="S114" s="9">
        <f t="shared" si="2"/>
        <v>28</v>
      </c>
      <c r="T114" s="10" t="str">
        <f t="shared" si="3"/>
        <v>Low</v>
      </c>
    </row>
    <row r="115" spans="1:20">
      <c r="A115" s="2">
        <v>500116</v>
      </c>
      <c r="B115" s="2">
        <v>102851</v>
      </c>
      <c r="C115" s="8">
        <v>46177</v>
      </c>
      <c r="D115" s="2">
        <v>2001</v>
      </c>
      <c r="E115" s="2">
        <v>1</v>
      </c>
      <c r="F115" s="2">
        <v>5</v>
      </c>
      <c r="G115" s="2" t="s">
        <v>20</v>
      </c>
      <c r="H115" s="2" t="s">
        <v>21</v>
      </c>
      <c r="I115" s="2">
        <v>27</v>
      </c>
      <c r="J115" s="2" t="s">
        <v>35</v>
      </c>
      <c r="K115" s="8">
        <v>45500</v>
      </c>
      <c r="L115" s="2" t="s">
        <v>23</v>
      </c>
      <c r="M115" s="2" t="s">
        <v>50</v>
      </c>
      <c r="N115" s="2" t="s">
        <v>34</v>
      </c>
      <c r="O115" s="2">
        <v>18</v>
      </c>
      <c r="P115" s="2">
        <v>17</v>
      </c>
      <c r="Q115" s="2">
        <v>17</v>
      </c>
      <c r="R115" s="9" t="s">
        <v>26</v>
      </c>
      <c r="S115" s="9">
        <f t="shared" si="2"/>
        <v>18</v>
      </c>
      <c r="T115" s="10" t="str">
        <f t="shared" si="3"/>
        <v>Low</v>
      </c>
    </row>
    <row r="116" spans="1:20">
      <c r="A116" s="2">
        <v>500117</v>
      </c>
      <c r="B116" s="2">
        <v>106117</v>
      </c>
      <c r="C116" s="8">
        <v>45410</v>
      </c>
      <c r="D116" s="2">
        <v>2008</v>
      </c>
      <c r="E116" s="2">
        <v>2</v>
      </c>
      <c r="F116" s="2">
        <v>15</v>
      </c>
      <c r="G116" s="2" t="s">
        <v>27</v>
      </c>
      <c r="H116" s="2" t="s">
        <v>40</v>
      </c>
      <c r="I116" s="2">
        <v>58</v>
      </c>
      <c r="J116" s="2" t="s">
        <v>32</v>
      </c>
      <c r="K116" s="8">
        <v>45531</v>
      </c>
      <c r="L116" s="2" t="s">
        <v>23</v>
      </c>
      <c r="M116" s="2" t="s">
        <v>39</v>
      </c>
      <c r="N116" s="2" t="s">
        <v>25</v>
      </c>
      <c r="O116" s="2">
        <v>14</v>
      </c>
      <c r="P116" s="2">
        <v>24</v>
      </c>
      <c r="Q116" s="2">
        <v>24</v>
      </c>
      <c r="R116" s="9" t="s">
        <v>30</v>
      </c>
      <c r="S116" s="9">
        <f t="shared" si="2"/>
        <v>28</v>
      </c>
      <c r="T116" s="10" t="str">
        <f t="shared" si="3"/>
        <v>High</v>
      </c>
    </row>
    <row r="117" spans="1:20">
      <c r="A117" s="2">
        <v>500118</v>
      </c>
      <c r="B117" s="2">
        <v>101946</v>
      </c>
      <c r="C117" s="8">
        <v>45732</v>
      </c>
      <c r="D117" s="2">
        <v>2005</v>
      </c>
      <c r="E117" s="2">
        <v>1</v>
      </c>
      <c r="F117" s="2">
        <v>5</v>
      </c>
      <c r="G117" s="2" t="s">
        <v>20</v>
      </c>
      <c r="H117" s="2" t="s">
        <v>21</v>
      </c>
      <c r="I117" s="2">
        <v>41</v>
      </c>
      <c r="J117" s="2" t="s">
        <v>38</v>
      </c>
      <c r="K117" s="8">
        <v>45694</v>
      </c>
      <c r="L117" s="2" t="s">
        <v>23</v>
      </c>
      <c r="M117" s="2" t="s">
        <v>51</v>
      </c>
      <c r="N117" s="2" t="s">
        <v>25</v>
      </c>
      <c r="O117" s="2">
        <v>28</v>
      </c>
      <c r="P117" s="2">
        <v>27</v>
      </c>
      <c r="Q117" s="2">
        <v>27</v>
      </c>
      <c r="R117" s="9" t="s">
        <v>26</v>
      </c>
      <c r="S117" s="9">
        <f t="shared" si="2"/>
        <v>28</v>
      </c>
      <c r="T117" s="10" t="str">
        <f t="shared" si="3"/>
        <v>Low</v>
      </c>
    </row>
    <row r="118" spans="1:20">
      <c r="A118" s="2">
        <v>500119</v>
      </c>
      <c r="B118" s="2">
        <v>101651</v>
      </c>
      <c r="C118" s="8">
        <v>45917</v>
      </c>
      <c r="D118" s="2">
        <v>2007</v>
      </c>
      <c r="E118" s="2">
        <v>3</v>
      </c>
      <c r="F118" s="2">
        <v>0</v>
      </c>
      <c r="G118" s="2" t="s">
        <v>20</v>
      </c>
      <c r="H118" s="2" t="s">
        <v>21</v>
      </c>
      <c r="I118" s="2">
        <v>41</v>
      </c>
      <c r="J118" s="2" t="s">
        <v>48</v>
      </c>
      <c r="K118" s="8">
        <v>45431</v>
      </c>
      <c r="L118" s="2" t="s">
        <v>23</v>
      </c>
      <c r="M118" s="2" t="s">
        <v>61</v>
      </c>
      <c r="N118" s="2" t="s">
        <v>34</v>
      </c>
      <c r="O118" s="2">
        <v>75</v>
      </c>
      <c r="P118" s="2">
        <v>225</v>
      </c>
      <c r="Q118" s="2">
        <v>225</v>
      </c>
      <c r="R118" s="9" t="s">
        <v>26</v>
      </c>
      <c r="S118" s="9">
        <f t="shared" si="2"/>
        <v>225</v>
      </c>
      <c r="T118" s="10" t="str">
        <f t="shared" si="3"/>
        <v>Low</v>
      </c>
    </row>
    <row r="119" spans="1:20">
      <c r="A119" s="2">
        <v>500120</v>
      </c>
      <c r="B119" s="2">
        <v>104593</v>
      </c>
      <c r="C119" s="8">
        <v>46041</v>
      </c>
      <c r="D119" s="2">
        <v>2001</v>
      </c>
      <c r="E119" s="2">
        <v>5</v>
      </c>
      <c r="F119" s="2">
        <v>0</v>
      </c>
      <c r="G119" s="2" t="s">
        <v>20</v>
      </c>
      <c r="H119" s="2" t="s">
        <v>21</v>
      </c>
      <c r="I119" s="2">
        <v>21</v>
      </c>
      <c r="J119" s="2" t="s">
        <v>52</v>
      </c>
      <c r="K119" s="8">
        <v>44947</v>
      </c>
      <c r="L119" s="2" t="s">
        <v>23</v>
      </c>
      <c r="M119" s="2" t="s">
        <v>50</v>
      </c>
      <c r="N119" s="2" t="s">
        <v>34</v>
      </c>
      <c r="O119" s="2">
        <v>18</v>
      </c>
      <c r="P119" s="2">
        <v>90</v>
      </c>
      <c r="Q119" s="2">
        <v>90</v>
      </c>
      <c r="R119" s="9" t="s">
        <v>26</v>
      </c>
      <c r="S119" s="9">
        <f t="shared" si="2"/>
        <v>90</v>
      </c>
      <c r="T119" s="10" t="str">
        <f t="shared" si="3"/>
        <v>Low</v>
      </c>
    </row>
    <row r="120" spans="1:20">
      <c r="A120" s="2">
        <v>500121</v>
      </c>
      <c r="B120" s="2">
        <v>109488</v>
      </c>
      <c r="C120" s="8">
        <v>46029</v>
      </c>
      <c r="D120" s="2">
        <v>2008</v>
      </c>
      <c r="E120" s="2">
        <v>3</v>
      </c>
      <c r="F120" s="2">
        <v>0</v>
      </c>
      <c r="G120" s="2" t="s">
        <v>31</v>
      </c>
      <c r="H120" s="2" t="s">
        <v>21</v>
      </c>
      <c r="I120" s="2">
        <v>31</v>
      </c>
      <c r="J120" s="2" t="s">
        <v>22</v>
      </c>
      <c r="K120" s="8">
        <v>45153</v>
      </c>
      <c r="L120" s="2" t="s">
        <v>49</v>
      </c>
      <c r="M120" s="2" t="s">
        <v>39</v>
      </c>
      <c r="N120" s="2" t="s">
        <v>25</v>
      </c>
      <c r="O120" s="2">
        <v>14</v>
      </c>
      <c r="P120" s="2">
        <v>42</v>
      </c>
      <c r="Q120" s="2">
        <v>42</v>
      </c>
      <c r="R120" s="9" t="s">
        <v>26</v>
      </c>
      <c r="S120" s="9">
        <f t="shared" si="2"/>
        <v>42</v>
      </c>
      <c r="T120" s="10" t="str">
        <f t="shared" si="3"/>
        <v>Low</v>
      </c>
    </row>
    <row r="121" spans="1:20">
      <c r="A121" s="2">
        <v>500122</v>
      </c>
      <c r="B121" s="2">
        <v>100808</v>
      </c>
      <c r="C121" s="8">
        <v>45466</v>
      </c>
      <c r="D121" s="2">
        <v>2012</v>
      </c>
      <c r="E121" s="2">
        <v>2</v>
      </c>
      <c r="F121" s="2">
        <v>15</v>
      </c>
      <c r="G121" s="2" t="s">
        <v>20</v>
      </c>
      <c r="H121" s="2" t="s">
        <v>21</v>
      </c>
      <c r="I121" s="2">
        <v>23</v>
      </c>
      <c r="J121" s="2" t="s">
        <v>55</v>
      </c>
      <c r="K121" s="8">
        <v>45679</v>
      </c>
      <c r="L121" s="2" t="s">
        <v>49</v>
      </c>
      <c r="M121" s="2" t="s">
        <v>36</v>
      </c>
      <c r="N121" s="2" t="s">
        <v>37</v>
      </c>
      <c r="O121" s="2">
        <v>180</v>
      </c>
      <c r="P121" s="2">
        <v>306</v>
      </c>
      <c r="Q121" s="2">
        <v>306</v>
      </c>
      <c r="R121" s="9" t="s">
        <v>30</v>
      </c>
      <c r="S121" s="9">
        <f t="shared" si="2"/>
        <v>360</v>
      </c>
      <c r="T121" s="10" t="str">
        <f t="shared" si="3"/>
        <v>High</v>
      </c>
    </row>
    <row r="122" spans="1:20">
      <c r="A122" s="2">
        <v>500123</v>
      </c>
      <c r="B122" s="2">
        <v>108989</v>
      </c>
      <c r="C122" s="8">
        <v>46181</v>
      </c>
      <c r="D122" s="2">
        <v>2008</v>
      </c>
      <c r="E122" s="2">
        <v>1</v>
      </c>
      <c r="F122" s="2">
        <v>15</v>
      </c>
      <c r="G122" s="2" t="s">
        <v>20</v>
      </c>
      <c r="H122" s="2" t="s">
        <v>21</v>
      </c>
      <c r="I122" s="2">
        <v>18</v>
      </c>
      <c r="J122" s="2" t="s">
        <v>55</v>
      </c>
      <c r="K122" s="8">
        <v>45832</v>
      </c>
      <c r="L122" s="2" t="s">
        <v>41</v>
      </c>
      <c r="M122" s="2" t="s">
        <v>39</v>
      </c>
      <c r="N122" s="2" t="s">
        <v>25</v>
      </c>
      <c r="O122" s="2">
        <v>14</v>
      </c>
      <c r="P122" s="2">
        <v>12</v>
      </c>
      <c r="Q122" s="2">
        <v>12</v>
      </c>
      <c r="R122" s="9" t="s">
        <v>26</v>
      </c>
      <c r="S122" s="9">
        <f t="shared" si="2"/>
        <v>14</v>
      </c>
      <c r="T122" s="10" t="str">
        <f t="shared" si="3"/>
        <v>High</v>
      </c>
    </row>
    <row r="123" spans="1:20">
      <c r="A123" s="2">
        <v>500124</v>
      </c>
      <c r="B123" s="2">
        <v>100247</v>
      </c>
      <c r="C123" s="8">
        <v>46180</v>
      </c>
      <c r="D123" s="2">
        <v>2002</v>
      </c>
      <c r="E123" s="2">
        <v>1</v>
      </c>
      <c r="F123" s="2">
        <v>30</v>
      </c>
      <c r="G123" s="2" t="s">
        <v>31</v>
      </c>
      <c r="H123" s="2" t="s">
        <v>21</v>
      </c>
      <c r="I123" s="2">
        <v>54</v>
      </c>
      <c r="J123" s="2" t="s">
        <v>43</v>
      </c>
      <c r="K123" s="8">
        <v>45229</v>
      </c>
      <c r="L123" s="2" t="s">
        <v>41</v>
      </c>
      <c r="M123" s="2" t="s">
        <v>33</v>
      </c>
      <c r="N123" s="2" t="s">
        <v>34</v>
      </c>
      <c r="O123" s="2">
        <v>62</v>
      </c>
      <c r="P123" s="2">
        <v>43</v>
      </c>
      <c r="Q123" s="2">
        <v>43</v>
      </c>
      <c r="R123" s="9" t="s">
        <v>26</v>
      </c>
      <c r="S123" s="9">
        <f t="shared" si="2"/>
        <v>62</v>
      </c>
      <c r="T123" s="10" t="str">
        <f t="shared" si="3"/>
        <v>High</v>
      </c>
    </row>
    <row r="124" spans="1:20">
      <c r="A124" s="2">
        <v>500125</v>
      </c>
      <c r="B124" s="2">
        <v>109971</v>
      </c>
      <c r="C124" s="8">
        <v>46164</v>
      </c>
      <c r="D124" s="2">
        <v>2007</v>
      </c>
      <c r="E124" s="2">
        <v>4</v>
      </c>
      <c r="F124" s="2">
        <v>30</v>
      </c>
      <c r="G124" s="2" t="s">
        <v>20</v>
      </c>
      <c r="H124" s="2" t="s">
        <v>21</v>
      </c>
      <c r="I124" s="2">
        <v>27</v>
      </c>
      <c r="J124" s="2" t="s">
        <v>38</v>
      </c>
      <c r="K124" s="8">
        <v>45734</v>
      </c>
      <c r="L124" s="2" t="s">
        <v>23</v>
      </c>
      <c r="M124" s="2" t="s">
        <v>61</v>
      </c>
      <c r="N124" s="2" t="s">
        <v>34</v>
      </c>
      <c r="O124" s="2">
        <v>75</v>
      </c>
      <c r="P124" s="2">
        <v>210</v>
      </c>
      <c r="Q124" s="2">
        <v>210</v>
      </c>
      <c r="R124" s="9" t="s">
        <v>26</v>
      </c>
      <c r="S124" s="9">
        <f t="shared" si="2"/>
        <v>300</v>
      </c>
      <c r="T124" s="10" t="str">
        <f t="shared" si="3"/>
        <v>High</v>
      </c>
    </row>
    <row r="125" spans="1:20">
      <c r="A125" s="2">
        <v>500126</v>
      </c>
      <c r="B125" s="2">
        <v>105041</v>
      </c>
      <c r="C125" s="8">
        <v>45822</v>
      </c>
      <c r="D125" s="2">
        <v>2005</v>
      </c>
      <c r="E125" s="2">
        <v>4</v>
      </c>
      <c r="F125" s="2">
        <v>5</v>
      </c>
      <c r="G125" s="2" t="s">
        <v>56</v>
      </c>
      <c r="H125" s="2" t="s">
        <v>21</v>
      </c>
      <c r="I125" s="2">
        <v>34</v>
      </c>
      <c r="J125" s="2" t="s">
        <v>32</v>
      </c>
      <c r="K125" s="8">
        <v>45883</v>
      </c>
      <c r="L125" s="2" t="s">
        <v>41</v>
      </c>
      <c r="M125" s="2" t="s">
        <v>51</v>
      </c>
      <c r="N125" s="2" t="s">
        <v>25</v>
      </c>
      <c r="O125" s="2">
        <v>28</v>
      </c>
      <c r="P125" s="2">
        <v>106</v>
      </c>
      <c r="Q125" s="2">
        <v>106</v>
      </c>
      <c r="R125" s="9" t="s">
        <v>26</v>
      </c>
      <c r="S125" s="9">
        <f t="shared" si="2"/>
        <v>112</v>
      </c>
      <c r="T125" s="10" t="str">
        <f t="shared" si="3"/>
        <v>Low</v>
      </c>
    </row>
    <row r="126" spans="1:20">
      <c r="A126" s="2">
        <v>500127</v>
      </c>
      <c r="B126" s="2">
        <v>108080</v>
      </c>
      <c r="C126" s="8">
        <v>46010</v>
      </c>
      <c r="D126" s="2">
        <v>2007</v>
      </c>
      <c r="E126" s="2">
        <v>2</v>
      </c>
      <c r="F126" s="2">
        <v>0</v>
      </c>
      <c r="G126" s="2" t="s">
        <v>31</v>
      </c>
      <c r="H126" s="2" t="s">
        <v>21</v>
      </c>
      <c r="I126" s="2">
        <v>57</v>
      </c>
      <c r="J126" s="2" t="s">
        <v>28</v>
      </c>
      <c r="K126" s="8">
        <v>45770</v>
      </c>
      <c r="L126" s="2" t="s">
        <v>49</v>
      </c>
      <c r="M126" s="2" t="s">
        <v>61</v>
      </c>
      <c r="N126" s="2" t="s">
        <v>34</v>
      </c>
      <c r="O126" s="2">
        <v>75</v>
      </c>
      <c r="P126" s="2">
        <v>150</v>
      </c>
      <c r="Q126" s="2">
        <v>150</v>
      </c>
      <c r="R126" s="9" t="s">
        <v>26</v>
      </c>
      <c r="S126" s="9">
        <f t="shared" si="2"/>
        <v>150</v>
      </c>
      <c r="T126" s="10" t="str">
        <f t="shared" si="3"/>
        <v>Low</v>
      </c>
    </row>
    <row r="127" spans="1:20">
      <c r="A127" s="2">
        <v>500128</v>
      </c>
      <c r="B127" s="2">
        <v>106290</v>
      </c>
      <c r="C127" s="8">
        <v>45357</v>
      </c>
      <c r="D127" s="2">
        <v>2014</v>
      </c>
      <c r="E127" s="2">
        <v>1</v>
      </c>
      <c r="F127" s="2">
        <v>5</v>
      </c>
      <c r="G127" s="2" t="s">
        <v>31</v>
      </c>
      <c r="H127" s="2" t="s">
        <v>21</v>
      </c>
      <c r="I127" s="2">
        <v>57</v>
      </c>
      <c r="J127" s="2" t="s">
        <v>32</v>
      </c>
      <c r="K127" s="8">
        <v>45792</v>
      </c>
      <c r="L127" s="2" t="s">
        <v>41</v>
      </c>
      <c r="M127" s="2" t="s">
        <v>29</v>
      </c>
      <c r="N127" s="2" t="s">
        <v>25</v>
      </c>
      <c r="O127" s="2">
        <v>42</v>
      </c>
      <c r="P127" s="2">
        <v>40</v>
      </c>
      <c r="Q127" s="2">
        <v>40</v>
      </c>
      <c r="R127" s="9" t="s">
        <v>30</v>
      </c>
      <c r="S127" s="9">
        <f t="shared" si="2"/>
        <v>42</v>
      </c>
      <c r="T127" s="10" t="str">
        <f t="shared" si="3"/>
        <v>Low</v>
      </c>
    </row>
    <row r="128" spans="1:20">
      <c r="A128" s="2">
        <v>500129</v>
      </c>
      <c r="B128" s="2">
        <v>108436</v>
      </c>
      <c r="C128" s="8">
        <v>45512</v>
      </c>
      <c r="D128" s="2">
        <v>2019</v>
      </c>
      <c r="E128" s="2">
        <v>1</v>
      </c>
      <c r="F128" s="2">
        <v>0</v>
      </c>
      <c r="G128" s="2" t="s">
        <v>20</v>
      </c>
      <c r="H128" s="2" t="s">
        <v>21</v>
      </c>
      <c r="I128" s="2">
        <v>21</v>
      </c>
      <c r="J128" s="2" t="s">
        <v>43</v>
      </c>
      <c r="K128" s="8">
        <v>45690</v>
      </c>
      <c r="L128" s="2" t="s">
        <v>23</v>
      </c>
      <c r="M128" s="2" t="s">
        <v>60</v>
      </c>
      <c r="N128" s="2" t="s">
        <v>34</v>
      </c>
      <c r="O128" s="2">
        <v>260</v>
      </c>
      <c r="P128" s="2">
        <v>260</v>
      </c>
      <c r="Q128" s="2">
        <v>260</v>
      </c>
      <c r="R128" s="9" t="s">
        <v>30</v>
      </c>
      <c r="S128" s="9">
        <f t="shared" si="2"/>
        <v>260</v>
      </c>
      <c r="T128" s="10" t="str">
        <f t="shared" si="3"/>
        <v>Low</v>
      </c>
    </row>
    <row r="129" spans="1:20">
      <c r="A129" s="2">
        <v>500130</v>
      </c>
      <c r="B129" s="2">
        <v>106102</v>
      </c>
      <c r="C129" s="8">
        <v>45371</v>
      </c>
      <c r="D129" s="2">
        <v>2012</v>
      </c>
      <c r="E129" s="2">
        <v>1</v>
      </c>
      <c r="F129" s="2">
        <v>30</v>
      </c>
      <c r="G129" s="2" t="s">
        <v>20</v>
      </c>
      <c r="H129" s="2" t="s">
        <v>21</v>
      </c>
      <c r="I129" s="2">
        <v>60</v>
      </c>
      <c r="J129" s="2" t="s">
        <v>32</v>
      </c>
      <c r="K129" s="8">
        <v>45944</v>
      </c>
      <c r="L129" s="2" t="s">
        <v>23</v>
      </c>
      <c r="M129" s="2" t="s">
        <v>36</v>
      </c>
      <c r="N129" s="2" t="s">
        <v>37</v>
      </c>
      <c r="O129" s="2">
        <v>180</v>
      </c>
      <c r="P129" s="2">
        <v>126</v>
      </c>
      <c r="Q129" s="2">
        <v>126</v>
      </c>
      <c r="R129" s="9" t="s">
        <v>30</v>
      </c>
      <c r="S129" s="9">
        <f t="shared" si="2"/>
        <v>180</v>
      </c>
      <c r="T129" s="10" t="str">
        <f t="shared" si="3"/>
        <v>High</v>
      </c>
    </row>
    <row r="130" spans="1:20">
      <c r="A130" s="2">
        <v>500131</v>
      </c>
      <c r="B130" s="2">
        <v>101553</v>
      </c>
      <c r="C130" s="8">
        <v>45728</v>
      </c>
      <c r="D130" s="2">
        <v>2007</v>
      </c>
      <c r="E130" s="2">
        <v>1</v>
      </c>
      <c r="F130" s="2">
        <v>5</v>
      </c>
      <c r="G130" s="2" t="s">
        <v>27</v>
      </c>
      <c r="H130" s="2" t="s">
        <v>21</v>
      </c>
      <c r="I130" s="2">
        <v>43</v>
      </c>
      <c r="J130" s="2" t="s">
        <v>55</v>
      </c>
      <c r="K130" s="8">
        <v>45132</v>
      </c>
      <c r="L130" s="2" t="s">
        <v>49</v>
      </c>
      <c r="M130" s="2" t="s">
        <v>61</v>
      </c>
      <c r="N130" s="2" t="s">
        <v>34</v>
      </c>
      <c r="O130" s="2">
        <v>75</v>
      </c>
      <c r="P130" s="2">
        <v>71</v>
      </c>
      <c r="Q130" s="2">
        <v>71</v>
      </c>
      <c r="R130" s="9" t="s">
        <v>26</v>
      </c>
      <c r="S130" s="9">
        <f t="shared" ref="S130:S193" si="4">SUM(E130*O130)</f>
        <v>75</v>
      </c>
      <c r="T130" s="10" t="str">
        <f t="shared" ref="T130:T193" si="5">IF(F130&lt;=5,"Low",IF(F130&lt;=10,"Average",IF(F130&gt;10,"High")))</f>
        <v>Low</v>
      </c>
    </row>
    <row r="131" spans="1:20">
      <c r="A131" s="2">
        <v>500132</v>
      </c>
      <c r="B131" s="2">
        <v>100253</v>
      </c>
      <c r="C131" s="8">
        <v>46159</v>
      </c>
      <c r="D131" s="2">
        <v>2008</v>
      </c>
      <c r="E131" s="2">
        <v>1</v>
      </c>
      <c r="F131" s="2">
        <v>5</v>
      </c>
      <c r="G131" s="2" t="s">
        <v>20</v>
      </c>
      <c r="H131" s="2" t="s">
        <v>21</v>
      </c>
      <c r="I131" s="2">
        <v>27</v>
      </c>
      <c r="J131" s="2" t="s">
        <v>32</v>
      </c>
      <c r="K131" s="8">
        <v>45471</v>
      </c>
      <c r="L131" s="2" t="s">
        <v>41</v>
      </c>
      <c r="M131" s="2" t="s">
        <v>39</v>
      </c>
      <c r="N131" s="2" t="s">
        <v>25</v>
      </c>
      <c r="O131" s="2">
        <v>14</v>
      </c>
      <c r="P131" s="2">
        <v>13</v>
      </c>
      <c r="Q131" s="2">
        <v>13</v>
      </c>
      <c r="R131" s="9" t="s">
        <v>26</v>
      </c>
      <c r="S131" s="9">
        <f t="shared" si="4"/>
        <v>14</v>
      </c>
      <c r="T131" s="10" t="str">
        <f t="shared" si="5"/>
        <v>Low</v>
      </c>
    </row>
    <row r="132" spans="1:20">
      <c r="A132" s="2">
        <v>500133</v>
      </c>
      <c r="B132" s="2">
        <v>108318</v>
      </c>
      <c r="C132" s="8">
        <v>45852</v>
      </c>
      <c r="D132" s="2">
        <v>2017</v>
      </c>
      <c r="E132" s="2">
        <v>2</v>
      </c>
      <c r="F132" s="2">
        <v>10</v>
      </c>
      <c r="G132" s="2" t="s">
        <v>20</v>
      </c>
      <c r="H132" s="2" t="s">
        <v>21</v>
      </c>
      <c r="I132" s="2">
        <v>39</v>
      </c>
      <c r="J132" s="2" t="s">
        <v>45</v>
      </c>
      <c r="K132" s="8">
        <v>45054</v>
      </c>
      <c r="L132" s="2" t="s">
        <v>23</v>
      </c>
      <c r="M132" s="2" t="s">
        <v>44</v>
      </c>
      <c r="N132" s="2" t="s">
        <v>25</v>
      </c>
      <c r="O132" s="2">
        <v>11</v>
      </c>
      <c r="P132" s="2">
        <v>20</v>
      </c>
      <c r="Q132" s="2">
        <v>20</v>
      </c>
      <c r="R132" s="9" t="s">
        <v>26</v>
      </c>
      <c r="S132" s="9">
        <f t="shared" si="4"/>
        <v>22</v>
      </c>
      <c r="T132" s="10" t="str">
        <f t="shared" si="5"/>
        <v>Average</v>
      </c>
    </row>
    <row r="133" spans="1:20">
      <c r="A133" s="2">
        <v>500134</v>
      </c>
      <c r="B133" s="2">
        <v>100871</v>
      </c>
      <c r="C133" s="8">
        <v>45690</v>
      </c>
      <c r="D133" s="2">
        <v>2017</v>
      </c>
      <c r="E133" s="2">
        <v>1</v>
      </c>
      <c r="F133" s="2">
        <v>0</v>
      </c>
      <c r="G133" s="2" t="s">
        <v>31</v>
      </c>
      <c r="H133" s="2" t="s">
        <v>21</v>
      </c>
      <c r="I133" s="2">
        <v>39</v>
      </c>
      <c r="J133" s="2" t="s">
        <v>48</v>
      </c>
      <c r="K133" s="8">
        <v>45039</v>
      </c>
      <c r="L133" s="2" t="s">
        <v>41</v>
      </c>
      <c r="M133" s="2" t="s">
        <v>44</v>
      </c>
      <c r="N133" s="2" t="s">
        <v>25</v>
      </c>
      <c r="O133" s="2">
        <v>11</v>
      </c>
      <c r="P133" s="2">
        <v>11</v>
      </c>
      <c r="Q133" s="2">
        <v>11</v>
      </c>
      <c r="R133" s="9" t="s">
        <v>26</v>
      </c>
      <c r="S133" s="9">
        <f t="shared" si="4"/>
        <v>11</v>
      </c>
      <c r="T133" s="10" t="str">
        <f t="shared" si="5"/>
        <v>Low</v>
      </c>
    </row>
    <row r="134" spans="1:20">
      <c r="A134" s="2">
        <v>500135</v>
      </c>
      <c r="B134" s="2">
        <v>107244</v>
      </c>
      <c r="C134" s="8">
        <v>45977</v>
      </c>
      <c r="D134" s="2">
        <v>2017</v>
      </c>
      <c r="E134" s="2">
        <v>2</v>
      </c>
      <c r="F134" s="2">
        <v>30</v>
      </c>
      <c r="G134" s="2" t="s">
        <v>31</v>
      </c>
      <c r="H134" s="2" t="s">
        <v>21</v>
      </c>
      <c r="I134" s="2">
        <v>31</v>
      </c>
      <c r="J134" s="2" t="s">
        <v>22</v>
      </c>
      <c r="K134" s="8">
        <v>45819</v>
      </c>
      <c r="L134" s="2" t="s">
        <v>41</v>
      </c>
      <c r="M134" s="2" t="s">
        <v>44</v>
      </c>
      <c r="N134" s="2" t="s">
        <v>25</v>
      </c>
      <c r="O134" s="2">
        <v>11</v>
      </c>
      <c r="P134" s="2">
        <v>15</v>
      </c>
      <c r="Q134" s="2">
        <v>15</v>
      </c>
      <c r="R134" s="9" t="s">
        <v>26</v>
      </c>
      <c r="S134" s="9">
        <f t="shared" si="4"/>
        <v>22</v>
      </c>
      <c r="T134" s="10" t="str">
        <f t="shared" si="5"/>
        <v>High</v>
      </c>
    </row>
    <row r="135" spans="1:20">
      <c r="A135" s="2">
        <v>500136</v>
      </c>
      <c r="B135" s="2">
        <v>101858</v>
      </c>
      <c r="C135" s="8">
        <v>45767</v>
      </c>
      <c r="D135" s="2">
        <v>2018</v>
      </c>
      <c r="E135" s="2">
        <v>2</v>
      </c>
      <c r="F135" s="2">
        <v>0</v>
      </c>
      <c r="G135" s="2" t="s">
        <v>20</v>
      </c>
      <c r="H135" s="2" t="s">
        <v>21</v>
      </c>
      <c r="I135" s="2">
        <v>41</v>
      </c>
      <c r="J135" s="2" t="s">
        <v>45</v>
      </c>
      <c r="K135" s="8">
        <v>45343</v>
      </c>
      <c r="L135" s="2" t="s">
        <v>41</v>
      </c>
      <c r="M135" s="2" t="s">
        <v>64</v>
      </c>
      <c r="N135" s="2" t="s">
        <v>34</v>
      </c>
      <c r="O135" s="2">
        <v>85</v>
      </c>
      <c r="P135" s="2">
        <v>170</v>
      </c>
      <c r="Q135" s="2">
        <v>170</v>
      </c>
      <c r="R135" s="9" t="s">
        <v>26</v>
      </c>
      <c r="S135" s="9">
        <f t="shared" si="4"/>
        <v>170</v>
      </c>
      <c r="T135" s="10" t="str">
        <f t="shared" si="5"/>
        <v>Low</v>
      </c>
    </row>
    <row r="136" spans="1:20">
      <c r="A136" s="2">
        <v>500137</v>
      </c>
      <c r="B136" s="2">
        <v>106607</v>
      </c>
      <c r="C136" s="8">
        <v>45687</v>
      </c>
      <c r="D136" s="2">
        <v>2017</v>
      </c>
      <c r="E136" s="2">
        <v>3</v>
      </c>
      <c r="F136" s="2">
        <v>5</v>
      </c>
      <c r="G136" s="2" t="s">
        <v>31</v>
      </c>
      <c r="H136" s="2" t="s">
        <v>21</v>
      </c>
      <c r="I136" s="2">
        <v>59</v>
      </c>
      <c r="J136" s="2" t="s">
        <v>48</v>
      </c>
      <c r="K136" s="8">
        <v>45629</v>
      </c>
      <c r="L136" s="2" t="s">
        <v>41</v>
      </c>
      <c r="M136" s="2" t="s">
        <v>44</v>
      </c>
      <c r="N136" s="2" t="s">
        <v>25</v>
      </c>
      <c r="O136" s="2">
        <v>11</v>
      </c>
      <c r="P136" s="2">
        <v>31</v>
      </c>
      <c r="Q136" s="2">
        <v>31</v>
      </c>
      <c r="R136" s="9" t="s">
        <v>26</v>
      </c>
      <c r="S136" s="9">
        <f t="shared" si="4"/>
        <v>33</v>
      </c>
      <c r="T136" s="10" t="str">
        <f t="shared" si="5"/>
        <v>Low</v>
      </c>
    </row>
    <row r="137" spans="1:20">
      <c r="A137" s="2">
        <v>500138</v>
      </c>
      <c r="B137" s="2">
        <v>103340</v>
      </c>
      <c r="C137" s="8">
        <v>45835</v>
      </c>
      <c r="D137" s="2">
        <v>2007</v>
      </c>
      <c r="E137" s="2">
        <v>1</v>
      </c>
      <c r="F137" s="2">
        <v>0</v>
      </c>
      <c r="G137" s="2" t="s">
        <v>20</v>
      </c>
      <c r="H137" s="2" t="s">
        <v>21</v>
      </c>
      <c r="I137" s="2">
        <v>59</v>
      </c>
      <c r="J137" s="2" t="s">
        <v>38</v>
      </c>
      <c r="K137" s="8">
        <v>45505</v>
      </c>
      <c r="L137" s="2" t="s">
        <v>23</v>
      </c>
      <c r="M137" s="2" t="s">
        <v>61</v>
      </c>
      <c r="N137" s="2" t="s">
        <v>34</v>
      </c>
      <c r="O137" s="2">
        <v>75</v>
      </c>
      <c r="P137" s="2">
        <v>75</v>
      </c>
      <c r="Q137" s="2">
        <v>75</v>
      </c>
      <c r="R137" s="9" t="s">
        <v>26</v>
      </c>
      <c r="S137" s="9">
        <f t="shared" si="4"/>
        <v>75</v>
      </c>
      <c r="T137" s="10" t="str">
        <f t="shared" si="5"/>
        <v>Low</v>
      </c>
    </row>
    <row r="138" spans="1:20">
      <c r="A138" s="2">
        <v>500139</v>
      </c>
      <c r="B138" s="2">
        <v>108835</v>
      </c>
      <c r="C138" s="8">
        <v>45734</v>
      </c>
      <c r="D138" s="2">
        <v>2011</v>
      </c>
      <c r="E138" s="2">
        <v>4</v>
      </c>
      <c r="F138" s="2">
        <v>5</v>
      </c>
      <c r="G138" s="2" t="s">
        <v>31</v>
      </c>
      <c r="H138" s="2" t="s">
        <v>21</v>
      </c>
      <c r="I138" s="2">
        <v>63</v>
      </c>
      <c r="J138" s="2" t="s">
        <v>38</v>
      </c>
      <c r="K138" s="8">
        <v>45955</v>
      </c>
      <c r="L138" s="2" t="s">
        <v>23</v>
      </c>
      <c r="M138" s="2" t="s">
        <v>42</v>
      </c>
      <c r="N138" s="2" t="s">
        <v>37</v>
      </c>
      <c r="O138" s="2">
        <v>32</v>
      </c>
      <c r="P138" s="2">
        <v>122</v>
      </c>
      <c r="Q138" s="2">
        <v>122</v>
      </c>
      <c r="R138" s="9" t="s">
        <v>26</v>
      </c>
      <c r="S138" s="9">
        <f t="shared" si="4"/>
        <v>128</v>
      </c>
      <c r="T138" s="10" t="str">
        <f t="shared" si="5"/>
        <v>Low</v>
      </c>
    </row>
    <row r="139" spans="1:20">
      <c r="A139" s="2">
        <v>500140</v>
      </c>
      <c r="B139" s="2">
        <v>107286</v>
      </c>
      <c r="C139" s="8">
        <v>45846</v>
      </c>
      <c r="D139" s="2">
        <v>2008</v>
      </c>
      <c r="E139" s="2">
        <v>1</v>
      </c>
      <c r="F139" s="2">
        <v>20</v>
      </c>
      <c r="G139" s="2" t="s">
        <v>27</v>
      </c>
      <c r="H139" s="2" t="s">
        <v>21</v>
      </c>
      <c r="I139" s="2">
        <v>41</v>
      </c>
      <c r="J139" s="2" t="s">
        <v>32</v>
      </c>
      <c r="K139" s="8">
        <v>45698</v>
      </c>
      <c r="L139" s="2" t="s">
        <v>23</v>
      </c>
      <c r="M139" s="2" t="s">
        <v>39</v>
      </c>
      <c r="N139" s="2" t="s">
        <v>25</v>
      </c>
      <c r="O139" s="2">
        <v>14</v>
      </c>
      <c r="P139" s="2">
        <v>11</v>
      </c>
      <c r="Q139" s="2">
        <v>11</v>
      </c>
      <c r="R139" s="9" t="s">
        <v>26</v>
      </c>
      <c r="S139" s="9">
        <f t="shared" si="4"/>
        <v>14</v>
      </c>
      <c r="T139" s="10" t="str">
        <f t="shared" si="5"/>
        <v>High</v>
      </c>
    </row>
    <row r="140" spans="1:20">
      <c r="A140" s="2">
        <v>500141</v>
      </c>
      <c r="B140" s="2">
        <v>104773</v>
      </c>
      <c r="C140" s="8">
        <v>45985</v>
      </c>
      <c r="D140" s="2">
        <v>2010</v>
      </c>
      <c r="E140" s="2">
        <v>2</v>
      </c>
      <c r="F140" s="2">
        <v>5</v>
      </c>
      <c r="G140" s="2" t="s">
        <v>20</v>
      </c>
      <c r="H140" s="2" t="s">
        <v>21</v>
      </c>
      <c r="I140" s="2">
        <v>26</v>
      </c>
      <c r="J140" s="2" t="s">
        <v>38</v>
      </c>
      <c r="K140" s="8">
        <v>45086</v>
      </c>
      <c r="L140" s="2" t="s">
        <v>41</v>
      </c>
      <c r="M140" s="2" t="s">
        <v>58</v>
      </c>
      <c r="N140" s="2" t="s">
        <v>59</v>
      </c>
      <c r="O140" s="2">
        <v>55</v>
      </c>
      <c r="P140" s="2">
        <v>104</v>
      </c>
      <c r="Q140" s="2">
        <v>104</v>
      </c>
      <c r="R140" s="9" t="s">
        <v>26</v>
      </c>
      <c r="S140" s="9">
        <f t="shared" si="4"/>
        <v>110</v>
      </c>
      <c r="T140" s="10" t="str">
        <f t="shared" si="5"/>
        <v>Low</v>
      </c>
    </row>
    <row r="141" spans="1:20">
      <c r="A141" s="2">
        <v>500142</v>
      </c>
      <c r="B141" s="2">
        <v>100252</v>
      </c>
      <c r="C141" s="8">
        <v>45691</v>
      </c>
      <c r="D141" s="2">
        <v>2010</v>
      </c>
      <c r="E141" s="2">
        <v>1</v>
      </c>
      <c r="F141" s="2">
        <v>10</v>
      </c>
      <c r="G141" s="2" t="s">
        <v>31</v>
      </c>
      <c r="H141" s="2" t="s">
        <v>21</v>
      </c>
      <c r="I141" s="2">
        <v>41</v>
      </c>
      <c r="J141" s="2" t="s">
        <v>32</v>
      </c>
      <c r="K141" s="8">
        <v>45547</v>
      </c>
      <c r="L141" s="2" t="s">
        <v>49</v>
      </c>
      <c r="M141" s="2" t="s">
        <v>58</v>
      </c>
      <c r="N141" s="2" t="s">
        <v>59</v>
      </c>
      <c r="O141" s="2">
        <v>55</v>
      </c>
      <c r="P141" s="2">
        <v>50</v>
      </c>
      <c r="Q141" s="2">
        <v>50</v>
      </c>
      <c r="R141" s="9" t="s">
        <v>26</v>
      </c>
      <c r="S141" s="9">
        <f t="shared" si="4"/>
        <v>55</v>
      </c>
      <c r="T141" s="10" t="str">
        <f t="shared" si="5"/>
        <v>Average</v>
      </c>
    </row>
    <row r="142" spans="1:20">
      <c r="A142" s="2">
        <v>500143</v>
      </c>
      <c r="B142" s="2">
        <v>103103</v>
      </c>
      <c r="C142" s="8">
        <v>45650</v>
      </c>
      <c r="D142" s="2">
        <v>2016</v>
      </c>
      <c r="E142" s="2">
        <v>2</v>
      </c>
      <c r="F142" s="2">
        <v>10</v>
      </c>
      <c r="G142" s="2" t="s">
        <v>20</v>
      </c>
      <c r="H142" s="2" t="s">
        <v>21</v>
      </c>
      <c r="I142" s="2">
        <v>18</v>
      </c>
      <c r="J142" s="2" t="s">
        <v>38</v>
      </c>
      <c r="K142" s="8">
        <v>45269</v>
      </c>
      <c r="L142" s="2" t="s">
        <v>23</v>
      </c>
      <c r="M142" s="2" t="s">
        <v>67</v>
      </c>
      <c r="N142" s="2" t="s">
        <v>34</v>
      </c>
      <c r="O142" s="2">
        <v>21</v>
      </c>
      <c r="P142" s="2">
        <v>38</v>
      </c>
      <c r="Q142" s="2">
        <v>38</v>
      </c>
      <c r="R142" s="9" t="s">
        <v>30</v>
      </c>
      <c r="S142" s="9">
        <f t="shared" si="4"/>
        <v>42</v>
      </c>
      <c r="T142" s="10" t="str">
        <f t="shared" si="5"/>
        <v>Average</v>
      </c>
    </row>
    <row r="143" spans="1:20">
      <c r="A143" s="2">
        <v>500145</v>
      </c>
      <c r="B143" s="2">
        <v>107442</v>
      </c>
      <c r="C143" s="8">
        <v>46082</v>
      </c>
      <c r="D143" s="2">
        <v>2008</v>
      </c>
      <c r="E143" s="2">
        <v>2</v>
      </c>
      <c r="F143" s="2">
        <v>15</v>
      </c>
      <c r="G143" s="2" t="s">
        <v>31</v>
      </c>
      <c r="H143" s="2" t="s">
        <v>21</v>
      </c>
      <c r="I143" s="2">
        <v>48</v>
      </c>
      <c r="J143" s="2" t="s">
        <v>48</v>
      </c>
      <c r="K143" s="8">
        <v>45954</v>
      </c>
      <c r="L143" s="2" t="s">
        <v>23</v>
      </c>
      <c r="M143" s="2" t="s">
        <v>39</v>
      </c>
      <c r="N143" s="2" t="s">
        <v>25</v>
      </c>
      <c r="O143" s="2">
        <v>14</v>
      </c>
      <c r="P143" s="2">
        <v>24</v>
      </c>
      <c r="Q143" s="2">
        <v>24</v>
      </c>
      <c r="R143" s="9" t="s">
        <v>26</v>
      </c>
      <c r="S143" s="9">
        <f t="shared" si="4"/>
        <v>28</v>
      </c>
      <c r="T143" s="10" t="str">
        <f t="shared" si="5"/>
        <v>High</v>
      </c>
    </row>
    <row r="144" spans="1:20">
      <c r="A144" s="2">
        <v>500146</v>
      </c>
      <c r="B144" s="2">
        <v>107442</v>
      </c>
      <c r="C144" s="8">
        <v>45657</v>
      </c>
      <c r="D144" s="2">
        <v>2009</v>
      </c>
      <c r="E144" s="2">
        <v>4</v>
      </c>
      <c r="F144" s="2">
        <v>0</v>
      </c>
      <c r="G144" s="2" t="s">
        <v>56</v>
      </c>
      <c r="H144" s="2" t="s">
        <v>21</v>
      </c>
      <c r="I144" s="2">
        <v>48</v>
      </c>
      <c r="J144" s="2" t="s">
        <v>48</v>
      </c>
      <c r="K144" s="8">
        <v>45954</v>
      </c>
      <c r="L144" s="2" t="s">
        <v>23</v>
      </c>
      <c r="M144" s="2" t="s">
        <v>65</v>
      </c>
      <c r="N144" s="2" t="s">
        <v>59</v>
      </c>
      <c r="O144" s="2">
        <v>120</v>
      </c>
      <c r="P144" s="2">
        <v>480</v>
      </c>
      <c r="Q144" s="2">
        <v>480</v>
      </c>
      <c r="R144" s="9" t="s">
        <v>30</v>
      </c>
      <c r="S144" s="9">
        <f t="shared" si="4"/>
        <v>480</v>
      </c>
      <c r="T144" s="10" t="str">
        <f t="shared" si="5"/>
        <v>Low</v>
      </c>
    </row>
    <row r="145" spans="1:20">
      <c r="A145" s="2">
        <v>500147</v>
      </c>
      <c r="B145" s="2">
        <v>104242</v>
      </c>
      <c r="C145" s="8">
        <v>46024</v>
      </c>
      <c r="D145" s="2">
        <v>2010</v>
      </c>
      <c r="E145" s="2">
        <v>4</v>
      </c>
      <c r="F145" s="2">
        <v>0</v>
      </c>
      <c r="G145" s="2" t="s">
        <v>27</v>
      </c>
      <c r="H145" s="2" t="s">
        <v>21</v>
      </c>
      <c r="I145" s="2">
        <v>31</v>
      </c>
      <c r="J145" s="2" t="s">
        <v>43</v>
      </c>
      <c r="K145" s="8">
        <v>45307</v>
      </c>
      <c r="L145" s="2" t="s">
        <v>41</v>
      </c>
      <c r="M145" s="2" t="s">
        <v>58</v>
      </c>
      <c r="N145" s="2" t="s">
        <v>59</v>
      </c>
      <c r="O145" s="2">
        <v>55</v>
      </c>
      <c r="P145" s="2">
        <v>220</v>
      </c>
      <c r="Q145" s="2">
        <v>220</v>
      </c>
      <c r="R145" s="9" t="s">
        <v>26</v>
      </c>
      <c r="S145" s="9">
        <f t="shared" si="4"/>
        <v>220</v>
      </c>
      <c r="T145" s="10" t="str">
        <f t="shared" si="5"/>
        <v>Low</v>
      </c>
    </row>
    <row r="146" spans="1:20">
      <c r="A146" s="2">
        <v>500148</v>
      </c>
      <c r="B146" s="2">
        <v>103890</v>
      </c>
      <c r="C146" s="8">
        <v>45825</v>
      </c>
      <c r="D146" s="2">
        <v>2013</v>
      </c>
      <c r="E146" s="2">
        <v>3</v>
      </c>
      <c r="F146" s="2">
        <v>10</v>
      </c>
      <c r="G146" s="2" t="s">
        <v>27</v>
      </c>
      <c r="H146" s="2" t="s">
        <v>21</v>
      </c>
      <c r="I146" s="2">
        <v>57</v>
      </c>
      <c r="J146" s="2" t="s">
        <v>32</v>
      </c>
      <c r="K146" s="8">
        <v>45956</v>
      </c>
      <c r="L146" s="2" t="s">
        <v>41</v>
      </c>
      <c r="M146" s="2" t="s">
        <v>53</v>
      </c>
      <c r="N146" s="2" t="s">
        <v>54</v>
      </c>
      <c r="O146" s="2">
        <v>7</v>
      </c>
      <c r="P146" s="2">
        <v>19</v>
      </c>
      <c r="Q146" s="2">
        <v>19</v>
      </c>
      <c r="R146" s="9" t="s">
        <v>26</v>
      </c>
      <c r="S146" s="9">
        <f t="shared" si="4"/>
        <v>21</v>
      </c>
      <c r="T146" s="10" t="str">
        <f t="shared" si="5"/>
        <v>Average</v>
      </c>
    </row>
    <row r="147" spans="1:20">
      <c r="A147" s="2">
        <v>500149</v>
      </c>
      <c r="B147" s="2">
        <v>105747</v>
      </c>
      <c r="C147" s="8">
        <v>45302</v>
      </c>
      <c r="D147" s="2">
        <v>2009</v>
      </c>
      <c r="E147" s="2">
        <v>2</v>
      </c>
      <c r="F147" s="2">
        <v>30</v>
      </c>
      <c r="G147" s="2" t="s">
        <v>31</v>
      </c>
      <c r="H147" s="2" t="s">
        <v>21</v>
      </c>
      <c r="I147" s="2">
        <v>38</v>
      </c>
      <c r="J147" s="2" t="s">
        <v>43</v>
      </c>
      <c r="K147" s="8">
        <v>45612</v>
      </c>
      <c r="L147" s="2" t="s">
        <v>23</v>
      </c>
      <c r="M147" s="2" t="s">
        <v>65</v>
      </c>
      <c r="N147" s="2" t="s">
        <v>59</v>
      </c>
      <c r="O147" s="2">
        <v>120</v>
      </c>
      <c r="P147" s="2">
        <v>168</v>
      </c>
      <c r="Q147" s="2">
        <v>168</v>
      </c>
      <c r="R147" s="9" t="s">
        <v>30</v>
      </c>
      <c r="S147" s="9">
        <f t="shared" si="4"/>
        <v>240</v>
      </c>
      <c r="T147" s="10" t="str">
        <f t="shared" si="5"/>
        <v>High</v>
      </c>
    </row>
    <row r="148" spans="1:20">
      <c r="A148" s="2">
        <v>500150</v>
      </c>
      <c r="B148" s="2">
        <v>104546</v>
      </c>
      <c r="C148" s="8">
        <v>45703</v>
      </c>
      <c r="D148" s="2">
        <v>2014</v>
      </c>
      <c r="E148" s="2">
        <v>1</v>
      </c>
      <c r="F148" s="2">
        <v>5</v>
      </c>
      <c r="G148" s="2" t="s">
        <v>31</v>
      </c>
      <c r="H148" s="2" t="s">
        <v>21</v>
      </c>
      <c r="I148" s="2">
        <v>54</v>
      </c>
      <c r="J148" s="2" t="s">
        <v>32</v>
      </c>
      <c r="K148" s="8">
        <v>45405</v>
      </c>
      <c r="L148" s="2" t="s">
        <v>23</v>
      </c>
      <c r="M148" s="2" t="s">
        <v>29</v>
      </c>
      <c r="N148" s="2" t="s">
        <v>25</v>
      </c>
      <c r="O148" s="2">
        <v>42</v>
      </c>
      <c r="P148" s="2">
        <v>40</v>
      </c>
      <c r="Q148" s="2">
        <v>40</v>
      </c>
      <c r="R148" s="9" t="s">
        <v>26</v>
      </c>
      <c r="S148" s="9">
        <f t="shared" si="4"/>
        <v>42</v>
      </c>
      <c r="T148" s="10" t="str">
        <f t="shared" si="5"/>
        <v>Low</v>
      </c>
    </row>
    <row r="149" spans="1:20">
      <c r="A149" s="2">
        <v>500151</v>
      </c>
      <c r="B149" s="2">
        <v>104785</v>
      </c>
      <c r="C149" s="8">
        <v>45473</v>
      </c>
      <c r="D149" s="2">
        <v>2006</v>
      </c>
      <c r="E149" s="2">
        <v>4</v>
      </c>
      <c r="F149" s="2">
        <v>5</v>
      </c>
      <c r="G149" s="2" t="s">
        <v>20</v>
      </c>
      <c r="H149" s="2" t="s">
        <v>21</v>
      </c>
      <c r="I149" s="2">
        <v>58</v>
      </c>
      <c r="J149" s="2" t="s">
        <v>35</v>
      </c>
      <c r="K149" s="8">
        <v>45627</v>
      </c>
      <c r="L149" s="2" t="s">
        <v>23</v>
      </c>
      <c r="M149" s="2" t="s">
        <v>57</v>
      </c>
      <c r="N149" s="2" t="s">
        <v>34</v>
      </c>
      <c r="O149" s="2">
        <v>48</v>
      </c>
      <c r="P149" s="2">
        <v>182</v>
      </c>
      <c r="Q149" s="2">
        <v>182</v>
      </c>
      <c r="R149" s="9" t="s">
        <v>30</v>
      </c>
      <c r="S149" s="9">
        <f t="shared" si="4"/>
        <v>192</v>
      </c>
      <c r="T149" s="10" t="str">
        <f t="shared" si="5"/>
        <v>Low</v>
      </c>
    </row>
    <row r="150" spans="1:20">
      <c r="A150" s="2">
        <v>500152</v>
      </c>
      <c r="B150" s="2">
        <v>101032</v>
      </c>
      <c r="C150" s="8">
        <v>45422</v>
      </c>
      <c r="D150" s="2">
        <v>2012</v>
      </c>
      <c r="E150" s="2">
        <v>1</v>
      </c>
      <c r="F150" s="2">
        <v>0</v>
      </c>
      <c r="G150" s="2" t="s">
        <v>27</v>
      </c>
      <c r="H150" s="2" t="s">
        <v>21</v>
      </c>
      <c r="I150" s="2">
        <v>26</v>
      </c>
      <c r="J150" s="2" t="s">
        <v>43</v>
      </c>
      <c r="K150" s="8">
        <v>45221</v>
      </c>
      <c r="L150" s="2" t="s">
        <v>23</v>
      </c>
      <c r="M150" s="2" t="s">
        <v>36</v>
      </c>
      <c r="N150" s="2" t="s">
        <v>37</v>
      </c>
      <c r="O150" s="2">
        <v>180</v>
      </c>
      <c r="P150" s="2">
        <v>180</v>
      </c>
      <c r="Q150" s="2">
        <v>180</v>
      </c>
      <c r="R150" s="9" t="s">
        <v>30</v>
      </c>
      <c r="S150" s="9">
        <f t="shared" si="4"/>
        <v>180</v>
      </c>
      <c r="T150" s="10" t="str">
        <f t="shared" si="5"/>
        <v>Low</v>
      </c>
    </row>
    <row r="151" spans="1:20">
      <c r="A151" s="2">
        <v>500153</v>
      </c>
      <c r="B151" s="2">
        <v>108727</v>
      </c>
      <c r="C151" s="8">
        <v>45494</v>
      </c>
      <c r="D151" s="2">
        <v>2018</v>
      </c>
      <c r="E151" s="2">
        <v>1</v>
      </c>
      <c r="F151" s="2">
        <v>0</v>
      </c>
      <c r="G151" s="2" t="s">
        <v>31</v>
      </c>
      <c r="H151" s="2" t="s">
        <v>21</v>
      </c>
      <c r="I151" s="2">
        <v>60</v>
      </c>
      <c r="J151" s="2" t="s">
        <v>43</v>
      </c>
      <c r="K151" s="8">
        <v>45773</v>
      </c>
      <c r="L151" s="2" t="s">
        <v>41</v>
      </c>
      <c r="M151" s="2" t="s">
        <v>64</v>
      </c>
      <c r="N151" s="2" t="s">
        <v>34</v>
      </c>
      <c r="O151" s="2">
        <v>85</v>
      </c>
      <c r="P151" s="2">
        <v>85</v>
      </c>
      <c r="Q151" s="2">
        <v>85</v>
      </c>
      <c r="R151" s="9" t="s">
        <v>30</v>
      </c>
      <c r="S151" s="9">
        <f t="shared" si="4"/>
        <v>85</v>
      </c>
      <c r="T151" s="10" t="str">
        <f t="shared" si="5"/>
        <v>Low</v>
      </c>
    </row>
    <row r="152" spans="1:20">
      <c r="A152" s="2">
        <v>500154</v>
      </c>
      <c r="B152" s="2">
        <v>102971</v>
      </c>
      <c r="C152" s="8">
        <v>45907</v>
      </c>
      <c r="D152" s="2">
        <v>2007</v>
      </c>
      <c r="E152" s="2">
        <v>1</v>
      </c>
      <c r="F152" s="2">
        <v>15</v>
      </c>
      <c r="G152" s="2" t="s">
        <v>27</v>
      </c>
      <c r="H152" s="2" t="s">
        <v>21</v>
      </c>
      <c r="I152" s="2">
        <v>47</v>
      </c>
      <c r="J152" s="2" t="s">
        <v>48</v>
      </c>
      <c r="K152" s="8">
        <v>45335</v>
      </c>
      <c r="L152" s="2" t="s">
        <v>41</v>
      </c>
      <c r="M152" s="2" t="s">
        <v>61</v>
      </c>
      <c r="N152" s="2" t="s">
        <v>34</v>
      </c>
      <c r="O152" s="2">
        <v>75</v>
      </c>
      <c r="P152" s="2">
        <v>64</v>
      </c>
      <c r="Q152" s="2">
        <v>64</v>
      </c>
      <c r="R152" s="9" t="s">
        <v>26</v>
      </c>
      <c r="S152" s="9">
        <f t="shared" si="4"/>
        <v>75</v>
      </c>
      <c r="T152" s="10" t="str">
        <f t="shared" si="5"/>
        <v>High</v>
      </c>
    </row>
    <row r="153" spans="1:20">
      <c r="A153" s="2">
        <v>500155</v>
      </c>
      <c r="B153" s="2">
        <v>103997</v>
      </c>
      <c r="C153" s="8">
        <v>45834</v>
      </c>
      <c r="D153" s="2">
        <v>2003</v>
      </c>
      <c r="E153" s="2">
        <v>2</v>
      </c>
      <c r="F153" s="2">
        <v>5</v>
      </c>
      <c r="G153" s="2" t="s">
        <v>27</v>
      </c>
      <c r="H153" s="2" t="s">
        <v>40</v>
      </c>
      <c r="I153" s="2">
        <v>19</v>
      </c>
      <c r="J153" s="2" t="s">
        <v>55</v>
      </c>
      <c r="K153" s="8">
        <v>45588</v>
      </c>
      <c r="L153" s="2" t="s">
        <v>23</v>
      </c>
      <c r="M153" s="2" t="s">
        <v>24</v>
      </c>
      <c r="N153" s="2" t="s">
        <v>25</v>
      </c>
      <c r="O153" s="2">
        <v>9</v>
      </c>
      <c r="P153" s="2">
        <v>17</v>
      </c>
      <c r="Q153" s="2">
        <v>17</v>
      </c>
      <c r="R153" s="9" t="s">
        <v>26</v>
      </c>
      <c r="S153" s="9">
        <f t="shared" si="4"/>
        <v>18</v>
      </c>
      <c r="T153" s="10" t="str">
        <f t="shared" si="5"/>
        <v>Low</v>
      </c>
    </row>
    <row r="154" spans="1:20">
      <c r="A154" s="2">
        <v>500156</v>
      </c>
      <c r="B154" s="2">
        <v>103396</v>
      </c>
      <c r="C154" s="8">
        <v>45755</v>
      </c>
      <c r="D154" s="2">
        <v>2014</v>
      </c>
      <c r="E154" s="2">
        <v>1</v>
      </c>
      <c r="F154" s="2">
        <v>10</v>
      </c>
      <c r="G154" s="2" t="s">
        <v>20</v>
      </c>
      <c r="H154" s="2" t="s">
        <v>21</v>
      </c>
      <c r="I154" s="2">
        <v>56</v>
      </c>
      <c r="J154" s="2" t="s">
        <v>35</v>
      </c>
      <c r="K154" s="8">
        <v>45140</v>
      </c>
      <c r="L154" s="2" t="s">
        <v>23</v>
      </c>
      <c r="M154" s="2" t="s">
        <v>29</v>
      </c>
      <c r="N154" s="2" t="s">
        <v>25</v>
      </c>
      <c r="O154" s="2">
        <v>42</v>
      </c>
      <c r="P154" s="2">
        <v>38</v>
      </c>
      <c r="Q154" s="2">
        <v>38</v>
      </c>
      <c r="R154" s="9" t="s">
        <v>26</v>
      </c>
      <c r="S154" s="9">
        <f t="shared" si="4"/>
        <v>42</v>
      </c>
      <c r="T154" s="10" t="str">
        <f t="shared" si="5"/>
        <v>Average</v>
      </c>
    </row>
    <row r="155" spans="1:20">
      <c r="A155" s="2">
        <v>500157</v>
      </c>
      <c r="B155" s="2">
        <v>109573</v>
      </c>
      <c r="C155" s="8">
        <v>45719</v>
      </c>
      <c r="D155" s="2">
        <v>2014</v>
      </c>
      <c r="E155" s="2">
        <v>1</v>
      </c>
      <c r="F155" s="2">
        <v>15</v>
      </c>
      <c r="G155" s="2" t="s">
        <v>20</v>
      </c>
      <c r="H155" s="2" t="s">
        <v>21</v>
      </c>
      <c r="I155" s="2">
        <v>25</v>
      </c>
      <c r="J155" s="2" t="s">
        <v>32</v>
      </c>
      <c r="K155" s="8">
        <v>45869</v>
      </c>
      <c r="L155" s="2" t="s">
        <v>41</v>
      </c>
      <c r="M155" s="2" t="s">
        <v>29</v>
      </c>
      <c r="N155" s="2" t="s">
        <v>25</v>
      </c>
      <c r="O155" s="2">
        <v>42</v>
      </c>
      <c r="P155" s="2">
        <v>36</v>
      </c>
      <c r="Q155" s="2">
        <v>36</v>
      </c>
      <c r="R155" s="9" t="s">
        <v>26</v>
      </c>
      <c r="S155" s="9">
        <f t="shared" si="4"/>
        <v>42</v>
      </c>
      <c r="T155" s="10" t="str">
        <f t="shared" si="5"/>
        <v>High</v>
      </c>
    </row>
    <row r="156" spans="1:20">
      <c r="A156" s="2">
        <v>500158</v>
      </c>
      <c r="B156" s="2">
        <v>109579</v>
      </c>
      <c r="C156" s="8">
        <v>45628</v>
      </c>
      <c r="D156" s="2">
        <v>2009</v>
      </c>
      <c r="E156" s="2">
        <v>2</v>
      </c>
      <c r="F156" s="2">
        <v>30</v>
      </c>
      <c r="G156" s="2" t="s">
        <v>31</v>
      </c>
      <c r="H156" s="2" t="s">
        <v>21</v>
      </c>
      <c r="I156" s="2">
        <v>41</v>
      </c>
      <c r="J156" s="2" t="s">
        <v>32</v>
      </c>
      <c r="K156" s="8">
        <v>45566</v>
      </c>
      <c r="L156" s="2" t="s">
        <v>41</v>
      </c>
      <c r="M156" s="2" t="s">
        <v>65</v>
      </c>
      <c r="N156" s="2" t="s">
        <v>59</v>
      </c>
      <c r="O156" s="2">
        <v>120</v>
      </c>
      <c r="P156" s="2">
        <v>168</v>
      </c>
      <c r="Q156" s="2">
        <v>168</v>
      </c>
      <c r="R156" s="9" t="s">
        <v>30</v>
      </c>
      <c r="S156" s="9">
        <f t="shared" si="4"/>
        <v>240</v>
      </c>
      <c r="T156" s="10" t="str">
        <f t="shared" si="5"/>
        <v>High</v>
      </c>
    </row>
    <row r="157" spans="1:20">
      <c r="A157" s="2">
        <v>500159</v>
      </c>
      <c r="B157" s="2">
        <v>109132</v>
      </c>
      <c r="C157" s="8">
        <v>46059</v>
      </c>
      <c r="D157" s="2">
        <v>2003</v>
      </c>
      <c r="E157" s="2">
        <v>2</v>
      </c>
      <c r="F157" s="2">
        <v>5</v>
      </c>
      <c r="G157" s="2" t="s">
        <v>20</v>
      </c>
      <c r="H157" s="2" t="s">
        <v>21</v>
      </c>
      <c r="I157" s="2">
        <v>49</v>
      </c>
      <c r="J157" s="2" t="s">
        <v>28</v>
      </c>
      <c r="K157" s="8">
        <v>45574</v>
      </c>
      <c r="L157" s="2" t="s">
        <v>23</v>
      </c>
      <c r="M157" s="2" t="s">
        <v>24</v>
      </c>
      <c r="N157" s="2" t="s">
        <v>25</v>
      </c>
      <c r="O157" s="2">
        <v>9</v>
      </c>
      <c r="P157" s="2">
        <v>17</v>
      </c>
      <c r="Q157" s="2">
        <v>17</v>
      </c>
      <c r="R157" s="9" t="s">
        <v>26</v>
      </c>
      <c r="S157" s="9">
        <f t="shared" si="4"/>
        <v>18</v>
      </c>
      <c r="T157" s="10" t="str">
        <f t="shared" si="5"/>
        <v>Low</v>
      </c>
    </row>
    <row r="158" spans="1:20">
      <c r="A158" s="2">
        <v>500160</v>
      </c>
      <c r="B158" s="2">
        <v>105558</v>
      </c>
      <c r="C158" s="8">
        <v>46118</v>
      </c>
      <c r="D158" s="2">
        <v>2007</v>
      </c>
      <c r="E158" s="2">
        <v>3</v>
      </c>
      <c r="F158" s="2">
        <v>0</v>
      </c>
      <c r="G158" s="2" t="s">
        <v>56</v>
      </c>
      <c r="H158" s="2" t="s">
        <v>21</v>
      </c>
      <c r="I158" s="2">
        <v>30</v>
      </c>
      <c r="J158" s="2" t="s">
        <v>32</v>
      </c>
      <c r="K158" s="8">
        <v>45000</v>
      </c>
      <c r="L158" s="2" t="s">
        <v>23</v>
      </c>
      <c r="M158" s="2" t="s">
        <v>61</v>
      </c>
      <c r="N158" s="2" t="s">
        <v>34</v>
      </c>
      <c r="O158" s="2">
        <v>75</v>
      </c>
      <c r="P158" s="2">
        <v>225</v>
      </c>
      <c r="Q158" s="2">
        <v>225</v>
      </c>
      <c r="R158" s="9" t="s">
        <v>26</v>
      </c>
      <c r="S158" s="9">
        <f t="shared" si="4"/>
        <v>225</v>
      </c>
      <c r="T158" s="10" t="str">
        <f t="shared" si="5"/>
        <v>Low</v>
      </c>
    </row>
    <row r="159" spans="1:20">
      <c r="A159" s="2">
        <v>500161</v>
      </c>
      <c r="B159" s="2">
        <v>103309</v>
      </c>
      <c r="C159" s="8">
        <v>45952</v>
      </c>
      <c r="D159" s="2">
        <v>2016</v>
      </c>
      <c r="E159" s="2">
        <v>1</v>
      </c>
      <c r="F159" s="2">
        <v>10</v>
      </c>
      <c r="G159" s="2" t="s">
        <v>56</v>
      </c>
      <c r="H159" s="2" t="s">
        <v>21</v>
      </c>
      <c r="I159" s="2">
        <v>19</v>
      </c>
      <c r="J159" s="2" t="s">
        <v>45</v>
      </c>
      <c r="K159" s="8">
        <v>45870</v>
      </c>
      <c r="L159" s="2" t="s">
        <v>49</v>
      </c>
      <c r="M159" s="2" t="s">
        <v>67</v>
      </c>
      <c r="N159" s="2" t="s">
        <v>34</v>
      </c>
      <c r="O159" s="2">
        <v>21</v>
      </c>
      <c r="P159" s="2">
        <v>19</v>
      </c>
      <c r="Q159" s="2">
        <v>19</v>
      </c>
      <c r="R159" s="9" t="s">
        <v>26</v>
      </c>
      <c r="S159" s="9">
        <f t="shared" si="4"/>
        <v>21</v>
      </c>
      <c r="T159" s="10" t="str">
        <f t="shared" si="5"/>
        <v>Average</v>
      </c>
    </row>
    <row r="160" spans="1:20">
      <c r="A160" s="2">
        <v>500162</v>
      </c>
      <c r="B160" s="2">
        <v>101330</v>
      </c>
      <c r="C160" s="8">
        <v>45541</v>
      </c>
      <c r="D160" s="2">
        <v>2014</v>
      </c>
      <c r="E160" s="2">
        <v>1</v>
      </c>
      <c r="F160" s="2">
        <v>20</v>
      </c>
      <c r="G160" s="2" t="s">
        <v>20</v>
      </c>
      <c r="H160" s="2" t="s">
        <v>21</v>
      </c>
      <c r="I160" s="2">
        <v>34</v>
      </c>
      <c r="J160" s="2" t="s">
        <v>32</v>
      </c>
      <c r="K160" s="8">
        <v>45126</v>
      </c>
      <c r="L160" s="2" t="s">
        <v>23</v>
      </c>
      <c r="M160" s="2" t="s">
        <v>29</v>
      </c>
      <c r="N160" s="2" t="s">
        <v>25</v>
      </c>
      <c r="O160" s="2">
        <v>42</v>
      </c>
      <c r="P160" s="2">
        <v>34</v>
      </c>
      <c r="Q160" s="2">
        <v>34</v>
      </c>
      <c r="R160" s="9" t="s">
        <v>30</v>
      </c>
      <c r="S160" s="9">
        <f t="shared" si="4"/>
        <v>42</v>
      </c>
      <c r="T160" s="10" t="str">
        <f t="shared" si="5"/>
        <v>High</v>
      </c>
    </row>
    <row r="161" spans="1:20">
      <c r="A161" s="2">
        <v>500163</v>
      </c>
      <c r="B161" s="2">
        <v>105525</v>
      </c>
      <c r="C161" s="8">
        <v>46094</v>
      </c>
      <c r="D161" s="2">
        <v>2006</v>
      </c>
      <c r="E161" s="2">
        <v>1</v>
      </c>
      <c r="F161" s="2">
        <v>0</v>
      </c>
      <c r="G161" s="2" t="s">
        <v>31</v>
      </c>
      <c r="H161" s="2" t="s">
        <v>21</v>
      </c>
      <c r="I161" s="2">
        <v>47</v>
      </c>
      <c r="J161" s="2" t="s">
        <v>52</v>
      </c>
      <c r="K161" s="8">
        <v>45364</v>
      </c>
      <c r="L161" s="2" t="s">
        <v>41</v>
      </c>
      <c r="M161" s="2" t="s">
        <v>57</v>
      </c>
      <c r="N161" s="2" t="s">
        <v>34</v>
      </c>
      <c r="O161" s="2">
        <v>48</v>
      </c>
      <c r="P161" s="2">
        <v>48</v>
      </c>
      <c r="Q161" s="2">
        <v>48</v>
      </c>
      <c r="R161" s="9" t="s">
        <v>26</v>
      </c>
      <c r="S161" s="9">
        <f t="shared" si="4"/>
        <v>48</v>
      </c>
      <c r="T161" s="10" t="str">
        <f t="shared" si="5"/>
        <v>Low</v>
      </c>
    </row>
    <row r="162" spans="1:20">
      <c r="A162" s="2">
        <v>500164</v>
      </c>
      <c r="B162" s="2">
        <v>107488</v>
      </c>
      <c r="C162" s="8">
        <v>45999</v>
      </c>
      <c r="D162" s="2">
        <v>2004</v>
      </c>
      <c r="E162" s="2">
        <v>2</v>
      </c>
      <c r="F162" s="2">
        <v>5</v>
      </c>
      <c r="G162" s="2" t="s">
        <v>20</v>
      </c>
      <c r="H162" s="2" t="s">
        <v>21</v>
      </c>
      <c r="I162" s="2">
        <v>42</v>
      </c>
      <c r="J162" s="2" t="s">
        <v>43</v>
      </c>
      <c r="K162" s="8">
        <v>45964</v>
      </c>
      <c r="L162" s="2" t="s">
        <v>23</v>
      </c>
      <c r="M162" s="2" t="s">
        <v>46</v>
      </c>
      <c r="N162" s="2" t="s">
        <v>34</v>
      </c>
      <c r="O162" s="2">
        <v>35</v>
      </c>
      <c r="P162" s="2">
        <v>66</v>
      </c>
      <c r="Q162" s="2">
        <v>66</v>
      </c>
      <c r="R162" s="9" t="s">
        <v>26</v>
      </c>
      <c r="S162" s="9">
        <f t="shared" si="4"/>
        <v>70</v>
      </c>
      <c r="T162" s="10" t="str">
        <f t="shared" si="5"/>
        <v>Low</v>
      </c>
    </row>
    <row r="163" spans="1:20">
      <c r="A163" s="2">
        <v>500165</v>
      </c>
      <c r="B163" s="2">
        <v>106784</v>
      </c>
      <c r="C163" s="8">
        <v>45399</v>
      </c>
      <c r="D163" s="2">
        <v>2003</v>
      </c>
      <c r="E163" s="2">
        <v>1</v>
      </c>
      <c r="F163" s="2">
        <v>20</v>
      </c>
      <c r="G163" s="2" t="s">
        <v>31</v>
      </c>
      <c r="H163" s="2" t="s">
        <v>21</v>
      </c>
      <c r="I163" s="2">
        <v>51</v>
      </c>
      <c r="J163" s="2" t="s">
        <v>38</v>
      </c>
      <c r="K163" s="8">
        <v>45181</v>
      </c>
      <c r="L163" s="2" t="s">
        <v>23</v>
      </c>
      <c r="M163" s="2" t="s">
        <v>24</v>
      </c>
      <c r="N163" s="2" t="s">
        <v>25</v>
      </c>
      <c r="O163" s="2">
        <v>9</v>
      </c>
      <c r="P163" s="2">
        <v>7</v>
      </c>
      <c r="Q163" s="2">
        <v>7</v>
      </c>
      <c r="R163" s="9" t="s">
        <v>30</v>
      </c>
      <c r="S163" s="9">
        <f t="shared" si="4"/>
        <v>9</v>
      </c>
      <c r="T163" s="10" t="str">
        <f t="shared" si="5"/>
        <v>High</v>
      </c>
    </row>
    <row r="164" spans="1:20">
      <c r="A164" s="2">
        <v>500166</v>
      </c>
      <c r="B164" s="2">
        <v>109289</v>
      </c>
      <c r="C164" s="8">
        <v>45587</v>
      </c>
      <c r="D164" s="2">
        <v>2007</v>
      </c>
      <c r="E164" s="2">
        <v>3</v>
      </c>
      <c r="F164" s="2">
        <v>0</v>
      </c>
      <c r="G164" s="2" t="s">
        <v>20</v>
      </c>
      <c r="H164" s="2" t="s">
        <v>21</v>
      </c>
      <c r="I164" s="2">
        <v>41</v>
      </c>
      <c r="J164" s="2" t="s">
        <v>45</v>
      </c>
      <c r="K164" s="8">
        <v>45314</v>
      </c>
      <c r="L164" s="2" t="s">
        <v>41</v>
      </c>
      <c r="M164" s="2" t="s">
        <v>61</v>
      </c>
      <c r="N164" s="2" t="s">
        <v>34</v>
      </c>
      <c r="O164" s="2">
        <v>75</v>
      </c>
      <c r="P164" s="2">
        <v>225</v>
      </c>
      <c r="Q164" s="2">
        <v>225</v>
      </c>
      <c r="R164" s="9" t="s">
        <v>30</v>
      </c>
      <c r="S164" s="9">
        <f t="shared" si="4"/>
        <v>225</v>
      </c>
      <c r="T164" s="10" t="str">
        <f t="shared" si="5"/>
        <v>Low</v>
      </c>
    </row>
    <row r="165" spans="1:20">
      <c r="A165" s="2">
        <v>500167</v>
      </c>
      <c r="B165" s="2">
        <v>109697</v>
      </c>
      <c r="C165" s="8">
        <v>45575</v>
      </c>
      <c r="D165" s="2">
        <v>2004</v>
      </c>
      <c r="E165" s="2">
        <v>2</v>
      </c>
      <c r="F165" s="2">
        <v>0</v>
      </c>
      <c r="G165" s="2" t="s">
        <v>56</v>
      </c>
      <c r="H165" s="2" t="s">
        <v>47</v>
      </c>
      <c r="I165" s="2">
        <v>38</v>
      </c>
      <c r="J165" s="2" t="s">
        <v>32</v>
      </c>
      <c r="K165" s="8">
        <v>45255</v>
      </c>
      <c r="L165" s="2" t="s">
        <v>41</v>
      </c>
      <c r="M165" s="2" t="s">
        <v>46</v>
      </c>
      <c r="N165" s="2" t="s">
        <v>34</v>
      </c>
      <c r="O165" s="2">
        <v>35</v>
      </c>
      <c r="P165" s="2">
        <v>70</v>
      </c>
      <c r="Q165" s="2">
        <v>70</v>
      </c>
      <c r="R165" s="9" t="s">
        <v>30</v>
      </c>
      <c r="S165" s="9">
        <f t="shared" si="4"/>
        <v>70</v>
      </c>
      <c r="T165" s="10" t="str">
        <f t="shared" si="5"/>
        <v>Low</v>
      </c>
    </row>
    <row r="166" spans="1:20">
      <c r="A166" s="2">
        <v>500168</v>
      </c>
      <c r="B166" s="2">
        <v>100360</v>
      </c>
      <c r="C166" s="8">
        <v>45922</v>
      </c>
      <c r="D166" s="2">
        <v>2008</v>
      </c>
      <c r="E166" s="2">
        <v>5</v>
      </c>
      <c r="F166" s="2">
        <v>0</v>
      </c>
      <c r="G166" s="2" t="s">
        <v>20</v>
      </c>
      <c r="H166" s="2" t="s">
        <v>21</v>
      </c>
      <c r="I166" s="2">
        <v>53</v>
      </c>
      <c r="J166" s="2" t="s">
        <v>22</v>
      </c>
      <c r="K166" s="8">
        <v>45172</v>
      </c>
      <c r="L166" s="2" t="s">
        <v>23</v>
      </c>
      <c r="M166" s="2" t="s">
        <v>39</v>
      </c>
      <c r="N166" s="2" t="s">
        <v>25</v>
      </c>
      <c r="O166" s="2">
        <v>14</v>
      </c>
      <c r="P166" s="2">
        <v>70</v>
      </c>
      <c r="Q166" s="2">
        <v>70</v>
      </c>
      <c r="R166" s="9" t="s">
        <v>26</v>
      </c>
      <c r="S166" s="9">
        <f t="shared" si="4"/>
        <v>70</v>
      </c>
      <c r="T166" s="10" t="str">
        <f t="shared" si="5"/>
        <v>Low</v>
      </c>
    </row>
    <row r="167" spans="1:20">
      <c r="A167" s="2">
        <v>500169</v>
      </c>
      <c r="B167" s="2">
        <v>104134</v>
      </c>
      <c r="C167" s="8">
        <v>45744</v>
      </c>
      <c r="D167" s="2">
        <v>2003</v>
      </c>
      <c r="E167" s="2">
        <v>1</v>
      </c>
      <c r="F167" s="2">
        <v>0</v>
      </c>
      <c r="G167" s="2" t="s">
        <v>27</v>
      </c>
      <c r="H167" s="2" t="s">
        <v>21</v>
      </c>
      <c r="I167" s="2">
        <v>42</v>
      </c>
      <c r="J167" s="2" t="s">
        <v>35</v>
      </c>
      <c r="K167" s="8">
        <v>45251</v>
      </c>
      <c r="L167" s="2" t="s">
        <v>41</v>
      </c>
      <c r="M167" s="2" t="s">
        <v>24</v>
      </c>
      <c r="N167" s="2" t="s">
        <v>25</v>
      </c>
      <c r="O167" s="2">
        <v>9</v>
      </c>
      <c r="P167" s="2">
        <v>9</v>
      </c>
      <c r="Q167" s="2">
        <v>9</v>
      </c>
      <c r="R167" s="9" t="s">
        <v>26</v>
      </c>
      <c r="S167" s="9">
        <f t="shared" si="4"/>
        <v>9</v>
      </c>
      <c r="T167" s="10" t="str">
        <f t="shared" si="5"/>
        <v>Low</v>
      </c>
    </row>
    <row r="168" spans="1:20">
      <c r="A168" s="2">
        <v>500170</v>
      </c>
      <c r="B168" s="2">
        <v>105228</v>
      </c>
      <c r="C168" s="8">
        <v>45522</v>
      </c>
      <c r="D168" s="2">
        <v>2008</v>
      </c>
      <c r="E168" s="2">
        <v>1</v>
      </c>
      <c r="F168" s="2">
        <v>10</v>
      </c>
      <c r="G168" s="2" t="s">
        <v>56</v>
      </c>
      <c r="H168" s="2" t="s">
        <v>21</v>
      </c>
      <c r="I168" s="2">
        <v>55</v>
      </c>
      <c r="J168" s="2" t="s">
        <v>32</v>
      </c>
      <c r="K168" s="8">
        <v>45589</v>
      </c>
      <c r="L168" s="2" t="s">
        <v>23</v>
      </c>
      <c r="M168" s="2" t="s">
        <v>39</v>
      </c>
      <c r="N168" s="2" t="s">
        <v>25</v>
      </c>
      <c r="O168" s="2">
        <v>14</v>
      </c>
      <c r="P168" s="2">
        <v>13</v>
      </c>
      <c r="Q168" s="2">
        <v>13</v>
      </c>
      <c r="R168" s="9" t="s">
        <v>30</v>
      </c>
      <c r="S168" s="9">
        <f t="shared" si="4"/>
        <v>14</v>
      </c>
      <c r="T168" s="10" t="str">
        <f t="shared" si="5"/>
        <v>Average</v>
      </c>
    </row>
    <row r="169" spans="1:20">
      <c r="A169" s="2">
        <v>500171</v>
      </c>
      <c r="B169" s="2">
        <v>105936</v>
      </c>
      <c r="C169" s="8">
        <v>45491</v>
      </c>
      <c r="D169" s="2">
        <v>2011</v>
      </c>
      <c r="E169" s="2">
        <v>2</v>
      </c>
      <c r="F169" s="2">
        <v>0</v>
      </c>
      <c r="G169" s="2" t="s">
        <v>31</v>
      </c>
      <c r="H169" s="2" t="s">
        <v>21</v>
      </c>
      <c r="I169" s="2">
        <v>31</v>
      </c>
      <c r="J169" s="2" t="s">
        <v>32</v>
      </c>
      <c r="K169" s="8">
        <v>45529</v>
      </c>
      <c r="L169" s="2" t="s">
        <v>41</v>
      </c>
      <c r="M169" s="2" t="s">
        <v>42</v>
      </c>
      <c r="N169" s="2" t="s">
        <v>37</v>
      </c>
      <c r="O169" s="2">
        <v>32</v>
      </c>
      <c r="P169" s="2">
        <v>64</v>
      </c>
      <c r="Q169" s="2">
        <v>64</v>
      </c>
      <c r="R169" s="9" t="s">
        <v>30</v>
      </c>
      <c r="S169" s="9">
        <f t="shared" si="4"/>
        <v>64</v>
      </c>
      <c r="T169" s="10" t="str">
        <f t="shared" si="5"/>
        <v>Low</v>
      </c>
    </row>
    <row r="170" spans="1:20">
      <c r="A170" s="2">
        <v>500172</v>
      </c>
      <c r="B170" s="2">
        <v>104045</v>
      </c>
      <c r="C170" s="8">
        <v>45687</v>
      </c>
      <c r="D170" s="2">
        <v>2001</v>
      </c>
      <c r="E170" s="2">
        <v>1</v>
      </c>
      <c r="F170" s="2">
        <v>5</v>
      </c>
      <c r="G170" s="2" t="s">
        <v>20</v>
      </c>
      <c r="H170" s="2" t="s">
        <v>21</v>
      </c>
      <c r="I170" s="2">
        <v>37</v>
      </c>
      <c r="J170" s="2" t="s">
        <v>45</v>
      </c>
      <c r="K170" s="8">
        <v>45378</v>
      </c>
      <c r="L170" s="2" t="s">
        <v>49</v>
      </c>
      <c r="M170" s="2" t="s">
        <v>50</v>
      </c>
      <c r="N170" s="2" t="s">
        <v>34</v>
      </c>
      <c r="O170" s="2">
        <v>18</v>
      </c>
      <c r="P170" s="2">
        <v>17</v>
      </c>
      <c r="Q170" s="2">
        <v>17</v>
      </c>
      <c r="R170" s="9" t="s">
        <v>26</v>
      </c>
      <c r="S170" s="9">
        <f t="shared" si="4"/>
        <v>18</v>
      </c>
      <c r="T170" s="10" t="str">
        <f t="shared" si="5"/>
        <v>Low</v>
      </c>
    </row>
    <row r="171" spans="1:20">
      <c r="A171" s="2">
        <v>500173</v>
      </c>
      <c r="B171" s="2">
        <v>106613</v>
      </c>
      <c r="C171" s="8">
        <v>45867</v>
      </c>
      <c r="D171" s="2">
        <v>2008</v>
      </c>
      <c r="E171" s="2">
        <v>1</v>
      </c>
      <c r="F171" s="2">
        <v>15</v>
      </c>
      <c r="G171" s="2" t="s">
        <v>20</v>
      </c>
      <c r="H171" s="2" t="s">
        <v>47</v>
      </c>
      <c r="I171" s="2">
        <v>62</v>
      </c>
      <c r="J171" s="2" t="s">
        <v>32</v>
      </c>
      <c r="K171" s="8">
        <v>45042</v>
      </c>
      <c r="L171" s="2" t="s">
        <v>41</v>
      </c>
      <c r="M171" s="2" t="s">
        <v>39</v>
      </c>
      <c r="N171" s="2" t="s">
        <v>25</v>
      </c>
      <c r="O171" s="2">
        <v>14</v>
      </c>
      <c r="P171" s="2">
        <v>12</v>
      </c>
      <c r="Q171" s="2">
        <v>12</v>
      </c>
      <c r="R171" s="9" t="s">
        <v>26</v>
      </c>
      <c r="S171" s="9">
        <f t="shared" si="4"/>
        <v>14</v>
      </c>
      <c r="T171" s="10" t="str">
        <f t="shared" si="5"/>
        <v>High</v>
      </c>
    </row>
    <row r="172" spans="1:20">
      <c r="A172" s="2">
        <v>500174</v>
      </c>
      <c r="B172" s="2">
        <v>106216</v>
      </c>
      <c r="C172" s="8">
        <v>45731</v>
      </c>
      <c r="D172" s="2">
        <v>2016</v>
      </c>
      <c r="E172" s="2">
        <v>1</v>
      </c>
      <c r="F172" s="2">
        <v>10</v>
      </c>
      <c r="G172" s="2" t="s">
        <v>20</v>
      </c>
      <c r="H172" s="2" t="s">
        <v>21</v>
      </c>
      <c r="I172" s="2">
        <v>41</v>
      </c>
      <c r="J172" s="2" t="s">
        <v>32</v>
      </c>
      <c r="K172" s="8">
        <v>45417</v>
      </c>
      <c r="L172" s="2" t="s">
        <v>41</v>
      </c>
      <c r="M172" s="2" t="s">
        <v>67</v>
      </c>
      <c r="N172" s="2" t="s">
        <v>34</v>
      </c>
      <c r="O172" s="2">
        <v>21</v>
      </c>
      <c r="P172" s="2">
        <v>19</v>
      </c>
      <c r="Q172" s="2">
        <v>19</v>
      </c>
      <c r="R172" s="9" t="s">
        <v>26</v>
      </c>
      <c r="S172" s="9">
        <f t="shared" si="4"/>
        <v>21</v>
      </c>
      <c r="T172" s="10" t="str">
        <f t="shared" si="5"/>
        <v>Average</v>
      </c>
    </row>
    <row r="173" spans="1:20">
      <c r="A173" s="2">
        <v>500175</v>
      </c>
      <c r="B173" s="2">
        <v>105281</v>
      </c>
      <c r="C173" s="8">
        <v>45517</v>
      </c>
      <c r="D173" s="2">
        <v>2005</v>
      </c>
      <c r="E173" s="2">
        <v>4</v>
      </c>
      <c r="F173" s="2">
        <v>0</v>
      </c>
      <c r="G173" s="2" t="s">
        <v>20</v>
      </c>
      <c r="H173" s="2" t="s">
        <v>21</v>
      </c>
      <c r="I173" s="2">
        <v>52</v>
      </c>
      <c r="J173" s="2" t="s">
        <v>48</v>
      </c>
      <c r="K173" s="8">
        <v>45668</v>
      </c>
      <c r="L173" s="2" t="s">
        <v>23</v>
      </c>
      <c r="M173" s="2" t="s">
        <v>51</v>
      </c>
      <c r="N173" s="2" t="s">
        <v>25</v>
      </c>
      <c r="O173" s="2">
        <v>28</v>
      </c>
      <c r="P173" s="2">
        <v>112</v>
      </c>
      <c r="Q173" s="2">
        <v>112</v>
      </c>
      <c r="R173" s="9" t="s">
        <v>30</v>
      </c>
      <c r="S173" s="9">
        <f t="shared" si="4"/>
        <v>112</v>
      </c>
      <c r="T173" s="10" t="str">
        <f t="shared" si="5"/>
        <v>Low</v>
      </c>
    </row>
    <row r="174" spans="1:20">
      <c r="A174" s="2">
        <v>500176</v>
      </c>
      <c r="B174" s="2">
        <v>101073</v>
      </c>
      <c r="C174" s="8">
        <v>45827</v>
      </c>
      <c r="D174" s="2">
        <v>2017</v>
      </c>
      <c r="E174" s="2">
        <v>1</v>
      </c>
      <c r="F174" s="2">
        <v>5</v>
      </c>
      <c r="G174" s="2" t="s">
        <v>56</v>
      </c>
      <c r="H174" s="2" t="s">
        <v>21</v>
      </c>
      <c r="I174" s="2">
        <v>54</v>
      </c>
      <c r="J174" s="2" t="s">
        <v>32</v>
      </c>
      <c r="K174" s="8">
        <v>45574</v>
      </c>
      <c r="L174" s="2" t="s">
        <v>23</v>
      </c>
      <c r="M174" s="2" t="s">
        <v>44</v>
      </c>
      <c r="N174" s="2" t="s">
        <v>25</v>
      </c>
      <c r="O174" s="2">
        <v>11</v>
      </c>
      <c r="P174" s="2">
        <v>10</v>
      </c>
      <c r="Q174" s="2">
        <v>10</v>
      </c>
      <c r="R174" s="9" t="s">
        <v>26</v>
      </c>
      <c r="S174" s="9">
        <f t="shared" si="4"/>
        <v>11</v>
      </c>
      <c r="T174" s="10" t="str">
        <f t="shared" si="5"/>
        <v>Low</v>
      </c>
    </row>
    <row r="175" spans="1:20">
      <c r="A175" s="2">
        <v>500177</v>
      </c>
      <c r="B175" s="2">
        <v>102785</v>
      </c>
      <c r="C175" s="8">
        <v>46202</v>
      </c>
      <c r="D175" s="2">
        <v>2002</v>
      </c>
      <c r="E175" s="2">
        <v>2</v>
      </c>
      <c r="F175" s="2">
        <v>10</v>
      </c>
      <c r="G175" s="2" t="s">
        <v>31</v>
      </c>
      <c r="H175" s="2" t="s">
        <v>21</v>
      </c>
      <c r="I175" s="2">
        <v>61</v>
      </c>
      <c r="J175" s="2" t="s">
        <v>45</v>
      </c>
      <c r="K175" s="8">
        <v>44981</v>
      </c>
      <c r="L175" s="2" t="s">
        <v>41</v>
      </c>
      <c r="M175" s="2" t="s">
        <v>33</v>
      </c>
      <c r="N175" s="2" t="s">
        <v>34</v>
      </c>
      <c r="O175" s="2">
        <v>62</v>
      </c>
      <c r="P175" s="2">
        <v>112</v>
      </c>
      <c r="Q175" s="2">
        <v>112</v>
      </c>
      <c r="R175" s="9" t="s">
        <v>26</v>
      </c>
      <c r="S175" s="9">
        <f t="shared" si="4"/>
        <v>124</v>
      </c>
      <c r="T175" s="10" t="str">
        <f t="shared" si="5"/>
        <v>Average</v>
      </c>
    </row>
    <row r="176" spans="1:20">
      <c r="A176" s="2">
        <v>500178</v>
      </c>
      <c r="B176" s="2">
        <v>101517</v>
      </c>
      <c r="C176" s="8">
        <v>45444</v>
      </c>
      <c r="D176" s="2">
        <v>2013</v>
      </c>
      <c r="E176" s="2">
        <v>1</v>
      </c>
      <c r="F176" s="2">
        <v>15</v>
      </c>
      <c r="G176" s="2" t="s">
        <v>27</v>
      </c>
      <c r="H176" s="2" t="s">
        <v>21</v>
      </c>
      <c r="I176" s="2">
        <v>41</v>
      </c>
      <c r="J176" s="2" t="s">
        <v>38</v>
      </c>
      <c r="K176" s="8">
        <v>45221</v>
      </c>
      <c r="L176" s="2" t="s">
        <v>23</v>
      </c>
      <c r="M176" s="2" t="s">
        <v>53</v>
      </c>
      <c r="N176" s="2" t="s">
        <v>54</v>
      </c>
      <c r="O176" s="2">
        <v>7</v>
      </c>
      <c r="P176" s="2">
        <v>6</v>
      </c>
      <c r="Q176" s="2">
        <v>6</v>
      </c>
      <c r="R176" s="9" t="s">
        <v>30</v>
      </c>
      <c r="S176" s="9">
        <f t="shared" si="4"/>
        <v>7</v>
      </c>
      <c r="T176" s="10" t="str">
        <f t="shared" si="5"/>
        <v>High</v>
      </c>
    </row>
    <row r="177" spans="1:20">
      <c r="A177" s="2">
        <v>500179</v>
      </c>
      <c r="B177" s="2">
        <v>103489</v>
      </c>
      <c r="C177" s="8">
        <v>45748</v>
      </c>
      <c r="D177" s="2">
        <v>2008</v>
      </c>
      <c r="E177" s="2">
        <v>1</v>
      </c>
      <c r="F177" s="2">
        <v>0</v>
      </c>
      <c r="G177" s="2" t="s">
        <v>20</v>
      </c>
      <c r="H177" s="2" t="s">
        <v>21</v>
      </c>
      <c r="I177" s="2">
        <v>39</v>
      </c>
      <c r="J177" s="2" t="s">
        <v>22</v>
      </c>
      <c r="K177" s="8">
        <v>45739</v>
      </c>
      <c r="L177" s="2" t="s">
        <v>23</v>
      </c>
      <c r="M177" s="2" t="s">
        <v>39</v>
      </c>
      <c r="N177" s="2" t="s">
        <v>25</v>
      </c>
      <c r="O177" s="2">
        <v>14</v>
      </c>
      <c r="P177" s="2">
        <v>14</v>
      </c>
      <c r="Q177" s="2">
        <v>14</v>
      </c>
      <c r="R177" s="9" t="s">
        <v>26</v>
      </c>
      <c r="S177" s="9">
        <f t="shared" si="4"/>
        <v>14</v>
      </c>
      <c r="T177" s="10" t="str">
        <f t="shared" si="5"/>
        <v>Low</v>
      </c>
    </row>
    <row r="178" spans="1:20">
      <c r="A178" s="2">
        <v>500180</v>
      </c>
      <c r="B178" s="2">
        <v>105531</v>
      </c>
      <c r="C178" s="8">
        <v>45616</v>
      </c>
      <c r="D178" s="2">
        <v>2014</v>
      </c>
      <c r="E178" s="2">
        <v>1</v>
      </c>
      <c r="F178" s="2">
        <v>5</v>
      </c>
      <c r="G178" s="2" t="s">
        <v>31</v>
      </c>
      <c r="H178" s="2" t="s">
        <v>21</v>
      </c>
      <c r="I178" s="2">
        <v>46</v>
      </c>
      <c r="J178" s="2" t="s">
        <v>38</v>
      </c>
      <c r="K178" s="8">
        <v>45447</v>
      </c>
      <c r="L178" s="2" t="s">
        <v>41</v>
      </c>
      <c r="M178" s="2" t="s">
        <v>29</v>
      </c>
      <c r="N178" s="2" t="s">
        <v>25</v>
      </c>
      <c r="O178" s="2">
        <v>42</v>
      </c>
      <c r="P178" s="2">
        <v>40</v>
      </c>
      <c r="Q178" s="2">
        <v>40</v>
      </c>
      <c r="R178" s="9" t="s">
        <v>30</v>
      </c>
      <c r="S178" s="9">
        <f t="shared" si="4"/>
        <v>42</v>
      </c>
      <c r="T178" s="10" t="str">
        <f t="shared" si="5"/>
        <v>Low</v>
      </c>
    </row>
    <row r="179" spans="1:20">
      <c r="A179" s="2">
        <v>500181</v>
      </c>
      <c r="B179" s="2">
        <v>103745</v>
      </c>
      <c r="C179" s="8">
        <v>45480</v>
      </c>
      <c r="D179" s="2">
        <v>2010</v>
      </c>
      <c r="E179" s="2">
        <v>2</v>
      </c>
      <c r="F179" s="2">
        <v>0</v>
      </c>
      <c r="G179" s="2" t="s">
        <v>20</v>
      </c>
      <c r="H179" s="2" t="s">
        <v>21</v>
      </c>
      <c r="I179" s="2">
        <v>29</v>
      </c>
      <c r="J179" s="2" t="s">
        <v>35</v>
      </c>
      <c r="K179" s="8">
        <v>45158</v>
      </c>
      <c r="L179" s="2" t="s">
        <v>23</v>
      </c>
      <c r="M179" s="2" t="s">
        <v>58</v>
      </c>
      <c r="N179" s="2" t="s">
        <v>59</v>
      </c>
      <c r="O179" s="2">
        <v>55</v>
      </c>
      <c r="P179" s="2">
        <v>110</v>
      </c>
      <c r="Q179" s="2">
        <v>110</v>
      </c>
      <c r="R179" s="9" t="s">
        <v>30</v>
      </c>
      <c r="S179" s="9">
        <f t="shared" si="4"/>
        <v>110</v>
      </c>
      <c r="T179" s="10" t="str">
        <f t="shared" si="5"/>
        <v>Low</v>
      </c>
    </row>
    <row r="180" spans="1:20">
      <c r="A180" s="2">
        <v>500182</v>
      </c>
      <c r="B180" s="2">
        <v>104872</v>
      </c>
      <c r="C180" s="8">
        <v>46048</v>
      </c>
      <c r="D180" s="2">
        <v>2003</v>
      </c>
      <c r="E180" s="2">
        <v>1</v>
      </c>
      <c r="F180" s="2">
        <v>10</v>
      </c>
      <c r="G180" s="2" t="s">
        <v>56</v>
      </c>
      <c r="H180" s="2" t="s">
        <v>21</v>
      </c>
      <c r="I180" s="2">
        <v>63</v>
      </c>
      <c r="J180" s="2" t="s">
        <v>22</v>
      </c>
      <c r="K180" s="8">
        <v>45842</v>
      </c>
      <c r="L180" s="2" t="s">
        <v>23</v>
      </c>
      <c r="M180" s="2" t="s">
        <v>24</v>
      </c>
      <c r="N180" s="2" t="s">
        <v>25</v>
      </c>
      <c r="O180" s="2">
        <v>9</v>
      </c>
      <c r="P180" s="2">
        <v>8</v>
      </c>
      <c r="Q180" s="2">
        <v>8</v>
      </c>
      <c r="R180" s="9" t="s">
        <v>26</v>
      </c>
      <c r="S180" s="9">
        <f t="shared" si="4"/>
        <v>9</v>
      </c>
      <c r="T180" s="10" t="str">
        <f t="shared" si="5"/>
        <v>Average</v>
      </c>
    </row>
    <row r="181" spans="1:20">
      <c r="A181" s="2">
        <v>500183</v>
      </c>
      <c r="B181" s="2">
        <v>102886</v>
      </c>
      <c r="C181" s="8">
        <v>46150</v>
      </c>
      <c r="D181" s="2">
        <v>2016</v>
      </c>
      <c r="E181" s="2">
        <v>1</v>
      </c>
      <c r="F181" s="2">
        <v>5</v>
      </c>
      <c r="G181" s="2" t="s">
        <v>20</v>
      </c>
      <c r="H181" s="2" t="s">
        <v>21</v>
      </c>
      <c r="I181" s="2">
        <v>25</v>
      </c>
      <c r="J181" s="2" t="s">
        <v>45</v>
      </c>
      <c r="K181" s="8">
        <v>45174</v>
      </c>
      <c r="L181" s="2" t="s">
        <v>23</v>
      </c>
      <c r="M181" s="2" t="s">
        <v>67</v>
      </c>
      <c r="N181" s="2" t="s">
        <v>34</v>
      </c>
      <c r="O181" s="2">
        <v>21</v>
      </c>
      <c r="P181" s="2">
        <v>20</v>
      </c>
      <c r="Q181" s="2">
        <v>20</v>
      </c>
      <c r="R181" s="9" t="s">
        <v>26</v>
      </c>
      <c r="S181" s="9">
        <f t="shared" si="4"/>
        <v>21</v>
      </c>
      <c r="T181" s="10" t="str">
        <f t="shared" si="5"/>
        <v>Low</v>
      </c>
    </row>
    <row r="182" spans="1:20">
      <c r="A182" s="2">
        <v>500184</v>
      </c>
      <c r="B182" s="2">
        <v>106987</v>
      </c>
      <c r="C182" s="8">
        <v>45594</v>
      </c>
      <c r="D182" s="2">
        <v>2017</v>
      </c>
      <c r="E182" s="2">
        <v>3</v>
      </c>
      <c r="F182" s="2">
        <v>5</v>
      </c>
      <c r="G182" s="2" t="s">
        <v>20</v>
      </c>
      <c r="H182" s="2" t="s">
        <v>21</v>
      </c>
      <c r="I182" s="2">
        <v>43</v>
      </c>
      <c r="J182" s="2" t="s">
        <v>32</v>
      </c>
      <c r="K182" s="8">
        <v>45018</v>
      </c>
      <c r="L182" s="2" t="s">
        <v>41</v>
      </c>
      <c r="M182" s="2" t="s">
        <v>44</v>
      </c>
      <c r="N182" s="2" t="s">
        <v>25</v>
      </c>
      <c r="O182" s="2">
        <v>11</v>
      </c>
      <c r="P182" s="2">
        <v>31</v>
      </c>
      <c r="Q182" s="2">
        <v>31</v>
      </c>
      <c r="R182" s="9" t="s">
        <v>30</v>
      </c>
      <c r="S182" s="9">
        <f t="shared" si="4"/>
        <v>33</v>
      </c>
      <c r="T182" s="10" t="str">
        <f t="shared" si="5"/>
        <v>Low</v>
      </c>
    </row>
    <row r="183" spans="1:20">
      <c r="A183" s="2">
        <v>500185</v>
      </c>
      <c r="B183" s="2">
        <v>105068</v>
      </c>
      <c r="C183" s="8">
        <v>45592</v>
      </c>
      <c r="D183" s="2">
        <v>2013</v>
      </c>
      <c r="E183" s="2">
        <v>1</v>
      </c>
      <c r="F183" s="2">
        <v>0</v>
      </c>
      <c r="G183" s="2" t="s">
        <v>20</v>
      </c>
      <c r="H183" s="2" t="s">
        <v>21</v>
      </c>
      <c r="I183" s="2">
        <v>18</v>
      </c>
      <c r="J183" s="2" t="s">
        <v>28</v>
      </c>
      <c r="K183" s="8">
        <v>45190</v>
      </c>
      <c r="L183" s="2" t="s">
        <v>41</v>
      </c>
      <c r="M183" s="2" t="s">
        <v>53</v>
      </c>
      <c r="N183" s="2" t="s">
        <v>54</v>
      </c>
      <c r="O183" s="2">
        <v>7</v>
      </c>
      <c r="P183" s="2">
        <v>7</v>
      </c>
      <c r="Q183" s="2">
        <v>7</v>
      </c>
      <c r="R183" s="9" t="s">
        <v>30</v>
      </c>
      <c r="S183" s="9">
        <f t="shared" si="4"/>
        <v>7</v>
      </c>
      <c r="T183" s="10" t="str">
        <f t="shared" si="5"/>
        <v>Low</v>
      </c>
    </row>
    <row r="184" spans="1:20">
      <c r="A184" s="2">
        <v>500186</v>
      </c>
      <c r="B184" s="2">
        <v>107190</v>
      </c>
      <c r="C184" s="8">
        <v>45371</v>
      </c>
      <c r="D184" s="2">
        <v>2007</v>
      </c>
      <c r="E184" s="2">
        <v>1</v>
      </c>
      <c r="F184" s="2">
        <v>0</v>
      </c>
      <c r="G184" s="2" t="s">
        <v>20</v>
      </c>
      <c r="H184" s="2" t="s">
        <v>21</v>
      </c>
      <c r="I184" s="2">
        <v>20</v>
      </c>
      <c r="J184" s="2" t="s">
        <v>32</v>
      </c>
      <c r="K184" s="8">
        <v>44995</v>
      </c>
      <c r="L184" s="2" t="s">
        <v>23</v>
      </c>
      <c r="M184" s="2" t="s">
        <v>61</v>
      </c>
      <c r="N184" s="2" t="s">
        <v>34</v>
      </c>
      <c r="O184" s="2">
        <v>75</v>
      </c>
      <c r="P184" s="2">
        <v>75</v>
      </c>
      <c r="Q184" s="2">
        <v>75</v>
      </c>
      <c r="R184" s="9" t="s">
        <v>30</v>
      </c>
      <c r="S184" s="9">
        <f t="shared" si="4"/>
        <v>75</v>
      </c>
      <c r="T184" s="10" t="str">
        <f t="shared" si="5"/>
        <v>Low</v>
      </c>
    </row>
    <row r="185" spans="1:20">
      <c r="A185" s="2">
        <v>500187</v>
      </c>
      <c r="B185" s="2">
        <v>100617</v>
      </c>
      <c r="C185" s="8">
        <v>45825</v>
      </c>
      <c r="D185" s="2">
        <v>2003</v>
      </c>
      <c r="E185" s="2">
        <v>3</v>
      </c>
      <c r="F185" s="2">
        <v>20</v>
      </c>
      <c r="G185" s="2" t="s">
        <v>20</v>
      </c>
      <c r="H185" s="2" t="s">
        <v>21</v>
      </c>
      <c r="I185" s="2">
        <v>41</v>
      </c>
      <c r="J185" s="2" t="s">
        <v>43</v>
      </c>
      <c r="K185" s="8">
        <v>45649</v>
      </c>
      <c r="L185" s="2" t="s">
        <v>23</v>
      </c>
      <c r="M185" s="2" t="s">
        <v>24</v>
      </c>
      <c r="N185" s="2" t="s">
        <v>25</v>
      </c>
      <c r="O185" s="2">
        <v>9</v>
      </c>
      <c r="P185" s="2">
        <v>22</v>
      </c>
      <c r="Q185" s="2">
        <v>22</v>
      </c>
      <c r="R185" s="9" t="s">
        <v>26</v>
      </c>
      <c r="S185" s="9">
        <f t="shared" si="4"/>
        <v>27</v>
      </c>
      <c r="T185" s="10" t="str">
        <f t="shared" si="5"/>
        <v>High</v>
      </c>
    </row>
    <row r="186" spans="1:20">
      <c r="A186" s="2">
        <v>500188</v>
      </c>
      <c r="B186" s="2">
        <v>108226</v>
      </c>
      <c r="C186" s="8">
        <v>45315</v>
      </c>
      <c r="D186" s="2">
        <v>2002</v>
      </c>
      <c r="E186" s="2">
        <v>1</v>
      </c>
      <c r="F186" s="2">
        <v>5</v>
      </c>
      <c r="G186" s="2" t="s">
        <v>56</v>
      </c>
      <c r="H186" s="2" t="s">
        <v>21</v>
      </c>
      <c r="I186" s="2">
        <v>41</v>
      </c>
      <c r="J186" s="2" t="s">
        <v>45</v>
      </c>
      <c r="K186" s="8">
        <v>45624</v>
      </c>
      <c r="L186" s="2" t="s">
        <v>23</v>
      </c>
      <c r="M186" s="2" t="s">
        <v>33</v>
      </c>
      <c r="N186" s="2" t="s">
        <v>34</v>
      </c>
      <c r="O186" s="2">
        <v>62</v>
      </c>
      <c r="P186" s="2">
        <v>59</v>
      </c>
      <c r="Q186" s="2">
        <v>59</v>
      </c>
      <c r="R186" s="9" t="s">
        <v>30</v>
      </c>
      <c r="S186" s="9">
        <f t="shared" si="4"/>
        <v>62</v>
      </c>
      <c r="T186" s="10" t="str">
        <f t="shared" si="5"/>
        <v>Low</v>
      </c>
    </row>
    <row r="187" spans="1:20">
      <c r="A187" s="2">
        <v>500189</v>
      </c>
      <c r="B187" s="2">
        <v>107802</v>
      </c>
      <c r="C187" s="8">
        <v>45720</v>
      </c>
      <c r="D187" s="2">
        <v>2014</v>
      </c>
      <c r="E187" s="2">
        <v>2</v>
      </c>
      <c r="F187" s="2">
        <v>15</v>
      </c>
      <c r="G187" s="2" t="s">
        <v>20</v>
      </c>
      <c r="H187" s="2" t="s">
        <v>21</v>
      </c>
      <c r="I187" s="2">
        <v>24</v>
      </c>
      <c r="J187" s="2" t="s">
        <v>48</v>
      </c>
      <c r="K187" s="8">
        <v>45698</v>
      </c>
      <c r="L187" s="2" t="s">
        <v>23</v>
      </c>
      <c r="M187" s="2" t="s">
        <v>29</v>
      </c>
      <c r="N187" s="2" t="s">
        <v>25</v>
      </c>
      <c r="O187" s="2">
        <v>42</v>
      </c>
      <c r="P187" s="2">
        <v>71</v>
      </c>
      <c r="Q187" s="2">
        <v>71</v>
      </c>
      <c r="R187" s="9" t="s">
        <v>26</v>
      </c>
      <c r="S187" s="9">
        <f t="shared" si="4"/>
        <v>84</v>
      </c>
      <c r="T187" s="10" t="str">
        <f t="shared" si="5"/>
        <v>High</v>
      </c>
    </row>
    <row r="188" spans="1:20">
      <c r="A188" s="2">
        <v>500190</v>
      </c>
      <c r="B188" s="2">
        <v>107506</v>
      </c>
      <c r="C188" s="8">
        <v>45424</v>
      </c>
      <c r="D188" s="2">
        <v>2004</v>
      </c>
      <c r="E188" s="2">
        <v>1</v>
      </c>
      <c r="F188" s="2">
        <v>10</v>
      </c>
      <c r="G188" s="2" t="s">
        <v>27</v>
      </c>
      <c r="H188" s="2" t="s">
        <v>21</v>
      </c>
      <c r="I188" s="2">
        <v>39</v>
      </c>
      <c r="J188" s="2" t="s">
        <v>32</v>
      </c>
      <c r="K188" s="8">
        <v>45934</v>
      </c>
      <c r="L188" s="2" t="s">
        <v>49</v>
      </c>
      <c r="M188" s="2" t="s">
        <v>46</v>
      </c>
      <c r="N188" s="2" t="s">
        <v>34</v>
      </c>
      <c r="O188" s="2">
        <v>35</v>
      </c>
      <c r="P188" s="2">
        <v>32</v>
      </c>
      <c r="Q188" s="2">
        <v>32</v>
      </c>
      <c r="R188" s="9" t="s">
        <v>30</v>
      </c>
      <c r="S188" s="9">
        <f t="shared" si="4"/>
        <v>35</v>
      </c>
      <c r="T188" s="10" t="str">
        <f t="shared" si="5"/>
        <v>Average</v>
      </c>
    </row>
    <row r="189" spans="1:20">
      <c r="A189" s="2">
        <v>500191</v>
      </c>
      <c r="B189" s="2">
        <v>100026</v>
      </c>
      <c r="C189" s="8">
        <v>45872</v>
      </c>
      <c r="D189" s="2">
        <v>2012</v>
      </c>
      <c r="E189" s="2">
        <v>2</v>
      </c>
      <c r="F189" s="2">
        <v>0</v>
      </c>
      <c r="G189" s="2" t="s">
        <v>56</v>
      </c>
      <c r="H189" s="2" t="s">
        <v>21</v>
      </c>
      <c r="I189" s="2">
        <v>48</v>
      </c>
      <c r="J189" s="2" t="s">
        <v>48</v>
      </c>
      <c r="K189" s="8">
        <v>45819</v>
      </c>
      <c r="L189" s="2" t="s">
        <v>41</v>
      </c>
      <c r="M189" s="2" t="s">
        <v>36</v>
      </c>
      <c r="N189" s="2" t="s">
        <v>37</v>
      </c>
      <c r="O189" s="2">
        <v>180</v>
      </c>
      <c r="P189" s="2">
        <v>360</v>
      </c>
      <c r="Q189" s="2">
        <v>360</v>
      </c>
      <c r="R189" s="9" t="s">
        <v>26</v>
      </c>
      <c r="S189" s="9">
        <f t="shared" si="4"/>
        <v>360</v>
      </c>
      <c r="T189" s="10" t="str">
        <f t="shared" si="5"/>
        <v>Low</v>
      </c>
    </row>
    <row r="190" spans="1:20">
      <c r="A190" s="2">
        <v>500192</v>
      </c>
      <c r="B190" s="2">
        <v>109461</v>
      </c>
      <c r="C190" s="8">
        <v>46113</v>
      </c>
      <c r="D190" s="2">
        <v>2015</v>
      </c>
      <c r="E190" s="2">
        <v>1</v>
      </c>
      <c r="F190" s="2">
        <v>10</v>
      </c>
      <c r="G190" s="2" t="s">
        <v>27</v>
      </c>
      <c r="H190" s="2" t="s">
        <v>21</v>
      </c>
      <c r="I190" s="2">
        <v>25</v>
      </c>
      <c r="J190" s="2" t="s">
        <v>48</v>
      </c>
      <c r="K190" s="8">
        <v>45524</v>
      </c>
      <c r="L190" s="2" t="s">
        <v>23</v>
      </c>
      <c r="M190" s="2" t="s">
        <v>66</v>
      </c>
      <c r="N190" s="2" t="s">
        <v>34</v>
      </c>
      <c r="O190" s="2">
        <v>58</v>
      </c>
      <c r="P190" s="2">
        <v>52</v>
      </c>
      <c r="Q190" s="2">
        <v>52</v>
      </c>
      <c r="R190" s="9" t="s">
        <v>26</v>
      </c>
      <c r="S190" s="9">
        <f t="shared" si="4"/>
        <v>58</v>
      </c>
      <c r="T190" s="10" t="str">
        <f t="shared" si="5"/>
        <v>Average</v>
      </c>
    </row>
    <row r="191" spans="1:20">
      <c r="A191" s="2">
        <v>500193</v>
      </c>
      <c r="B191" s="2">
        <v>106441</v>
      </c>
      <c r="C191" s="8">
        <v>45368</v>
      </c>
      <c r="D191" s="2">
        <v>2008</v>
      </c>
      <c r="E191" s="2">
        <v>1</v>
      </c>
      <c r="F191" s="2">
        <v>5</v>
      </c>
      <c r="G191" s="2" t="s">
        <v>20</v>
      </c>
      <c r="H191" s="2" t="s">
        <v>21</v>
      </c>
      <c r="I191" s="2">
        <v>58</v>
      </c>
      <c r="J191" s="2" t="s">
        <v>45</v>
      </c>
      <c r="K191" s="8">
        <v>45998</v>
      </c>
      <c r="L191" s="2" t="s">
        <v>41</v>
      </c>
      <c r="M191" s="2" t="s">
        <v>39</v>
      </c>
      <c r="N191" s="2" t="s">
        <v>25</v>
      </c>
      <c r="O191" s="2">
        <v>14</v>
      </c>
      <c r="P191" s="2">
        <v>13</v>
      </c>
      <c r="Q191" s="2">
        <v>13</v>
      </c>
      <c r="R191" s="9" t="s">
        <v>30</v>
      </c>
      <c r="S191" s="9">
        <f t="shared" si="4"/>
        <v>14</v>
      </c>
      <c r="T191" s="10" t="str">
        <f t="shared" si="5"/>
        <v>Low</v>
      </c>
    </row>
    <row r="192" spans="1:20">
      <c r="A192" s="2">
        <v>500194</v>
      </c>
      <c r="B192" s="2">
        <v>105983</v>
      </c>
      <c r="C192" s="8">
        <v>45963</v>
      </c>
      <c r="D192" s="2">
        <v>2013</v>
      </c>
      <c r="E192" s="2">
        <v>2</v>
      </c>
      <c r="F192" s="2">
        <v>5</v>
      </c>
      <c r="G192" s="2" t="s">
        <v>31</v>
      </c>
      <c r="H192" s="2" t="s">
        <v>21</v>
      </c>
      <c r="I192" s="2">
        <v>62</v>
      </c>
      <c r="J192" s="2" t="s">
        <v>32</v>
      </c>
      <c r="K192" s="8">
        <v>45846</v>
      </c>
      <c r="L192" s="2" t="s">
        <v>23</v>
      </c>
      <c r="M192" s="2" t="s">
        <v>53</v>
      </c>
      <c r="N192" s="2" t="s">
        <v>54</v>
      </c>
      <c r="O192" s="2">
        <v>7</v>
      </c>
      <c r="P192" s="2">
        <v>13</v>
      </c>
      <c r="Q192" s="2">
        <v>13</v>
      </c>
      <c r="R192" s="9" t="s">
        <v>26</v>
      </c>
      <c r="S192" s="9">
        <f t="shared" si="4"/>
        <v>14</v>
      </c>
      <c r="T192" s="10" t="str">
        <f t="shared" si="5"/>
        <v>Low</v>
      </c>
    </row>
    <row r="193" spans="1:20">
      <c r="A193" s="2">
        <v>500195</v>
      </c>
      <c r="B193" s="2">
        <v>100659</v>
      </c>
      <c r="C193" s="8">
        <v>46009</v>
      </c>
      <c r="D193" s="2">
        <v>2005</v>
      </c>
      <c r="E193" s="2">
        <v>1</v>
      </c>
      <c r="F193" s="2">
        <v>5</v>
      </c>
      <c r="G193" s="2" t="s">
        <v>31</v>
      </c>
      <c r="H193" s="2" t="s">
        <v>21</v>
      </c>
      <c r="I193" s="2">
        <v>21</v>
      </c>
      <c r="J193" s="2" t="s">
        <v>32</v>
      </c>
      <c r="K193" s="8">
        <v>45986</v>
      </c>
      <c r="L193" s="2" t="s">
        <v>41</v>
      </c>
      <c r="M193" s="2" t="s">
        <v>51</v>
      </c>
      <c r="N193" s="2" t="s">
        <v>25</v>
      </c>
      <c r="O193" s="2">
        <v>28</v>
      </c>
      <c r="P193" s="2">
        <v>27</v>
      </c>
      <c r="Q193" s="2">
        <v>27</v>
      </c>
      <c r="R193" s="9" t="s">
        <v>26</v>
      </c>
      <c r="S193" s="9">
        <f t="shared" si="4"/>
        <v>28</v>
      </c>
      <c r="T193" s="10" t="str">
        <f t="shared" si="5"/>
        <v>Low</v>
      </c>
    </row>
    <row r="194" spans="1:20">
      <c r="A194" s="2">
        <v>500196</v>
      </c>
      <c r="B194" s="2">
        <v>107716</v>
      </c>
      <c r="C194" s="8">
        <v>45444</v>
      </c>
      <c r="D194" s="2">
        <v>2008</v>
      </c>
      <c r="E194" s="2">
        <v>1</v>
      </c>
      <c r="F194" s="2">
        <v>5</v>
      </c>
      <c r="G194" s="2" t="s">
        <v>20</v>
      </c>
      <c r="H194" s="2" t="s">
        <v>21</v>
      </c>
      <c r="I194" s="2">
        <v>39</v>
      </c>
      <c r="J194" s="2" t="s">
        <v>32</v>
      </c>
      <c r="K194" s="8">
        <v>45978</v>
      </c>
      <c r="L194" s="2" t="s">
        <v>23</v>
      </c>
      <c r="M194" s="2" t="s">
        <v>39</v>
      </c>
      <c r="N194" s="2" t="s">
        <v>25</v>
      </c>
      <c r="O194" s="2">
        <v>14</v>
      </c>
      <c r="P194" s="2">
        <v>13</v>
      </c>
      <c r="Q194" s="2">
        <v>13</v>
      </c>
      <c r="R194" s="9" t="s">
        <v>30</v>
      </c>
      <c r="S194" s="9">
        <f t="shared" ref="S194:S257" si="6">SUM(E194*O194)</f>
        <v>14</v>
      </c>
      <c r="T194" s="10" t="str">
        <f t="shared" ref="T194:T257" si="7">IF(F194&lt;=5,"Low",IF(F194&lt;=10,"Average",IF(F194&gt;10,"High")))</f>
        <v>Low</v>
      </c>
    </row>
    <row r="195" spans="1:20">
      <c r="A195" s="2">
        <v>500197</v>
      </c>
      <c r="B195" s="2">
        <v>109561</v>
      </c>
      <c r="C195" s="8">
        <v>46105</v>
      </c>
      <c r="D195" s="2">
        <v>2008</v>
      </c>
      <c r="E195" s="2">
        <v>2</v>
      </c>
      <c r="F195" s="2">
        <v>10</v>
      </c>
      <c r="G195" s="2" t="s">
        <v>31</v>
      </c>
      <c r="H195" s="2" t="s">
        <v>40</v>
      </c>
      <c r="I195" s="2">
        <v>44</v>
      </c>
      <c r="J195" s="2" t="s">
        <v>35</v>
      </c>
      <c r="K195" s="8">
        <v>45360</v>
      </c>
      <c r="L195" s="2" t="s">
        <v>23</v>
      </c>
      <c r="M195" s="2" t="s">
        <v>39</v>
      </c>
      <c r="N195" s="2" t="s">
        <v>25</v>
      </c>
      <c r="O195" s="2">
        <v>14</v>
      </c>
      <c r="P195" s="2">
        <v>25</v>
      </c>
      <c r="Q195" s="2">
        <v>25</v>
      </c>
      <c r="R195" s="9" t="s">
        <v>26</v>
      </c>
      <c r="S195" s="9">
        <f t="shared" si="6"/>
        <v>28</v>
      </c>
      <c r="T195" s="10" t="str">
        <f t="shared" si="7"/>
        <v>Average</v>
      </c>
    </row>
    <row r="196" spans="1:20">
      <c r="A196" s="2">
        <v>500198</v>
      </c>
      <c r="B196" s="2">
        <v>109142</v>
      </c>
      <c r="C196" s="8">
        <v>45828</v>
      </c>
      <c r="D196" s="2">
        <v>2011</v>
      </c>
      <c r="E196" s="2">
        <v>1</v>
      </c>
      <c r="F196" s="2">
        <v>5</v>
      </c>
      <c r="G196" s="2" t="s">
        <v>20</v>
      </c>
      <c r="H196" s="2" t="s">
        <v>21</v>
      </c>
      <c r="I196" s="2">
        <v>32</v>
      </c>
      <c r="J196" s="2" t="s">
        <v>32</v>
      </c>
      <c r="K196" s="8">
        <v>46006</v>
      </c>
      <c r="L196" s="2" t="s">
        <v>23</v>
      </c>
      <c r="M196" s="2" t="s">
        <v>42</v>
      </c>
      <c r="N196" s="2" t="s">
        <v>37</v>
      </c>
      <c r="O196" s="2">
        <v>32</v>
      </c>
      <c r="P196" s="2">
        <v>30</v>
      </c>
      <c r="Q196" s="2">
        <v>30</v>
      </c>
      <c r="R196" s="9" t="s">
        <v>26</v>
      </c>
      <c r="S196" s="9">
        <f t="shared" si="6"/>
        <v>32</v>
      </c>
      <c r="T196" s="10" t="str">
        <f t="shared" si="7"/>
        <v>Low</v>
      </c>
    </row>
    <row r="197" spans="1:20">
      <c r="A197" s="2">
        <v>500199</v>
      </c>
      <c r="B197" s="2">
        <v>105852</v>
      </c>
      <c r="C197" s="8">
        <v>45754</v>
      </c>
      <c r="D197" s="2">
        <v>2011</v>
      </c>
      <c r="E197" s="2">
        <v>2</v>
      </c>
      <c r="F197" s="2">
        <v>0</v>
      </c>
      <c r="G197" s="2" t="s">
        <v>20</v>
      </c>
      <c r="H197" s="2" t="s">
        <v>21</v>
      </c>
      <c r="I197" s="2">
        <v>46</v>
      </c>
      <c r="J197" s="2" t="s">
        <v>43</v>
      </c>
      <c r="K197" s="8">
        <v>45382</v>
      </c>
      <c r="L197" s="2" t="s">
        <v>41</v>
      </c>
      <c r="M197" s="2" t="s">
        <v>42</v>
      </c>
      <c r="N197" s="2" t="s">
        <v>37</v>
      </c>
      <c r="O197" s="2">
        <v>32</v>
      </c>
      <c r="P197" s="2">
        <v>64</v>
      </c>
      <c r="Q197" s="2">
        <v>64</v>
      </c>
      <c r="R197" s="9" t="s">
        <v>26</v>
      </c>
      <c r="S197" s="9">
        <f t="shared" si="6"/>
        <v>64</v>
      </c>
      <c r="T197" s="10" t="str">
        <f t="shared" si="7"/>
        <v>Low</v>
      </c>
    </row>
    <row r="198" spans="1:20">
      <c r="A198" s="2">
        <v>500200</v>
      </c>
      <c r="B198" s="2">
        <v>104768</v>
      </c>
      <c r="C198" s="8">
        <v>45872</v>
      </c>
      <c r="D198" s="2">
        <v>2008</v>
      </c>
      <c r="E198" s="2">
        <v>2</v>
      </c>
      <c r="F198" s="2">
        <v>10</v>
      </c>
      <c r="G198" s="2" t="s">
        <v>31</v>
      </c>
      <c r="H198" s="2" t="s">
        <v>21</v>
      </c>
      <c r="I198" s="2">
        <v>18</v>
      </c>
      <c r="J198" s="2" t="s">
        <v>48</v>
      </c>
      <c r="K198" s="8">
        <v>45806</v>
      </c>
      <c r="L198" s="2" t="s">
        <v>49</v>
      </c>
      <c r="M198" s="2" t="s">
        <v>39</v>
      </c>
      <c r="N198" s="2" t="s">
        <v>25</v>
      </c>
      <c r="O198" s="2">
        <v>14</v>
      </c>
      <c r="P198" s="2">
        <v>25</v>
      </c>
      <c r="Q198" s="2">
        <v>25</v>
      </c>
      <c r="R198" s="9" t="s">
        <v>26</v>
      </c>
      <c r="S198" s="9">
        <f t="shared" si="6"/>
        <v>28</v>
      </c>
      <c r="T198" s="10" t="str">
        <f t="shared" si="7"/>
        <v>Average</v>
      </c>
    </row>
    <row r="199" spans="1:20">
      <c r="A199" s="2">
        <v>500201</v>
      </c>
      <c r="B199" s="2">
        <v>104200</v>
      </c>
      <c r="C199" s="8">
        <v>45541</v>
      </c>
      <c r="D199" s="2">
        <v>2001</v>
      </c>
      <c r="E199" s="2">
        <v>3</v>
      </c>
      <c r="F199" s="2">
        <v>0</v>
      </c>
      <c r="G199" s="2" t="s">
        <v>20</v>
      </c>
      <c r="H199" s="2" t="s">
        <v>21</v>
      </c>
      <c r="I199" s="2">
        <v>29</v>
      </c>
      <c r="J199" s="2" t="s">
        <v>43</v>
      </c>
      <c r="K199" s="8">
        <v>45987</v>
      </c>
      <c r="L199" s="2" t="s">
        <v>41</v>
      </c>
      <c r="M199" s="2" t="s">
        <v>50</v>
      </c>
      <c r="N199" s="2" t="s">
        <v>34</v>
      </c>
      <c r="O199" s="2">
        <v>18</v>
      </c>
      <c r="P199" s="2">
        <v>54</v>
      </c>
      <c r="Q199" s="2">
        <v>54</v>
      </c>
      <c r="R199" s="9" t="s">
        <v>30</v>
      </c>
      <c r="S199" s="9">
        <f t="shared" si="6"/>
        <v>54</v>
      </c>
      <c r="T199" s="10" t="str">
        <f t="shared" si="7"/>
        <v>Low</v>
      </c>
    </row>
    <row r="200" spans="1:20">
      <c r="A200" s="2">
        <v>500202</v>
      </c>
      <c r="B200" s="2">
        <v>101186</v>
      </c>
      <c r="C200" s="8">
        <v>45314</v>
      </c>
      <c r="D200" s="2">
        <v>2009</v>
      </c>
      <c r="E200" s="2">
        <v>2</v>
      </c>
      <c r="F200" s="2">
        <v>0</v>
      </c>
      <c r="G200" s="2" t="s">
        <v>20</v>
      </c>
      <c r="H200" s="2" t="s">
        <v>47</v>
      </c>
      <c r="I200" s="2">
        <v>32</v>
      </c>
      <c r="J200" s="2" t="s">
        <v>38</v>
      </c>
      <c r="K200" s="8">
        <v>45521</v>
      </c>
      <c r="L200" s="2" t="s">
        <v>41</v>
      </c>
      <c r="M200" s="2" t="s">
        <v>65</v>
      </c>
      <c r="N200" s="2" t="s">
        <v>59</v>
      </c>
      <c r="O200" s="2">
        <v>120</v>
      </c>
      <c r="P200" s="2">
        <v>240</v>
      </c>
      <c r="Q200" s="2">
        <v>240</v>
      </c>
      <c r="R200" s="9" t="s">
        <v>30</v>
      </c>
      <c r="S200" s="9">
        <f t="shared" si="6"/>
        <v>240</v>
      </c>
      <c r="T200" s="10" t="str">
        <f t="shared" si="7"/>
        <v>Low</v>
      </c>
    </row>
    <row r="201" spans="1:20">
      <c r="A201" s="2">
        <v>500203</v>
      </c>
      <c r="B201" s="2">
        <v>103758</v>
      </c>
      <c r="C201" s="8">
        <v>45674</v>
      </c>
      <c r="D201" s="2">
        <v>2008</v>
      </c>
      <c r="E201" s="2">
        <v>1</v>
      </c>
      <c r="F201" s="2">
        <v>0</v>
      </c>
      <c r="G201" s="2" t="s">
        <v>56</v>
      </c>
      <c r="H201" s="2" t="s">
        <v>21</v>
      </c>
      <c r="I201" s="2">
        <v>44</v>
      </c>
      <c r="J201" s="2" t="s">
        <v>32</v>
      </c>
      <c r="K201" s="8">
        <v>45263</v>
      </c>
      <c r="L201" s="2" t="s">
        <v>41</v>
      </c>
      <c r="M201" s="2" t="s">
        <v>39</v>
      </c>
      <c r="N201" s="2" t="s">
        <v>25</v>
      </c>
      <c r="O201" s="2">
        <v>14</v>
      </c>
      <c r="P201" s="2">
        <v>14</v>
      </c>
      <c r="Q201" s="2">
        <v>14</v>
      </c>
      <c r="R201" s="9" t="s">
        <v>26</v>
      </c>
      <c r="S201" s="9">
        <f t="shared" si="6"/>
        <v>14</v>
      </c>
      <c r="T201" s="10" t="str">
        <f t="shared" si="7"/>
        <v>Low</v>
      </c>
    </row>
    <row r="202" spans="1:20">
      <c r="A202" s="2">
        <v>500204</v>
      </c>
      <c r="B202" s="2">
        <v>108390</v>
      </c>
      <c r="C202" s="8">
        <v>45934</v>
      </c>
      <c r="D202" s="2">
        <v>2013</v>
      </c>
      <c r="E202" s="2">
        <v>1</v>
      </c>
      <c r="F202" s="2">
        <v>15</v>
      </c>
      <c r="G202" s="2" t="s">
        <v>20</v>
      </c>
      <c r="H202" s="2" t="s">
        <v>21</v>
      </c>
      <c r="I202" s="2">
        <v>31</v>
      </c>
      <c r="J202" s="2" t="s">
        <v>28</v>
      </c>
      <c r="K202" s="8">
        <v>45956</v>
      </c>
      <c r="L202" s="2" t="s">
        <v>41</v>
      </c>
      <c r="M202" s="2" t="s">
        <v>53</v>
      </c>
      <c r="N202" s="2" t="s">
        <v>54</v>
      </c>
      <c r="O202" s="2">
        <v>7</v>
      </c>
      <c r="P202" s="2">
        <v>6</v>
      </c>
      <c r="Q202" s="2">
        <v>6</v>
      </c>
      <c r="R202" s="9" t="s">
        <v>26</v>
      </c>
      <c r="S202" s="9">
        <f t="shared" si="6"/>
        <v>7</v>
      </c>
      <c r="T202" s="10" t="str">
        <f t="shared" si="7"/>
        <v>High</v>
      </c>
    </row>
    <row r="203" spans="1:20">
      <c r="A203" s="2">
        <v>500205</v>
      </c>
      <c r="B203" s="2">
        <v>109364</v>
      </c>
      <c r="C203" s="8">
        <v>46100</v>
      </c>
      <c r="D203" s="2">
        <v>2003</v>
      </c>
      <c r="E203" s="2">
        <v>1</v>
      </c>
      <c r="F203" s="2">
        <v>0</v>
      </c>
      <c r="G203" s="2" t="s">
        <v>31</v>
      </c>
      <c r="H203" s="2" t="s">
        <v>21</v>
      </c>
      <c r="I203" s="2">
        <v>20</v>
      </c>
      <c r="J203" s="2" t="s">
        <v>35</v>
      </c>
      <c r="K203" s="8">
        <v>45897</v>
      </c>
      <c r="L203" s="2" t="s">
        <v>49</v>
      </c>
      <c r="M203" s="2" t="s">
        <v>24</v>
      </c>
      <c r="N203" s="2" t="s">
        <v>25</v>
      </c>
      <c r="O203" s="2">
        <v>9</v>
      </c>
      <c r="P203" s="2">
        <v>9</v>
      </c>
      <c r="Q203" s="2">
        <v>9</v>
      </c>
      <c r="R203" s="9" t="s">
        <v>26</v>
      </c>
      <c r="S203" s="9">
        <f t="shared" si="6"/>
        <v>9</v>
      </c>
      <c r="T203" s="10" t="str">
        <f t="shared" si="7"/>
        <v>Low</v>
      </c>
    </row>
    <row r="204" spans="1:20">
      <c r="A204" s="2">
        <v>500206</v>
      </c>
      <c r="B204" s="2">
        <v>101183</v>
      </c>
      <c r="C204" s="8">
        <v>45663</v>
      </c>
      <c r="D204" s="2">
        <v>2020</v>
      </c>
      <c r="E204" s="2">
        <v>2</v>
      </c>
      <c r="F204" s="2">
        <v>0</v>
      </c>
      <c r="G204" s="2" t="s">
        <v>31</v>
      </c>
      <c r="H204" s="2" t="s">
        <v>21</v>
      </c>
      <c r="I204" s="2">
        <v>51</v>
      </c>
      <c r="J204" s="2" t="s">
        <v>22</v>
      </c>
      <c r="K204" s="8">
        <v>45636</v>
      </c>
      <c r="L204" s="2" t="s">
        <v>23</v>
      </c>
      <c r="M204" s="2" t="s">
        <v>62</v>
      </c>
      <c r="N204" s="2" t="s">
        <v>63</v>
      </c>
      <c r="O204" s="2">
        <v>68</v>
      </c>
      <c r="P204" s="2">
        <v>136</v>
      </c>
      <c r="Q204" s="2">
        <v>136</v>
      </c>
      <c r="R204" s="9" t="s">
        <v>26</v>
      </c>
      <c r="S204" s="9">
        <f t="shared" si="6"/>
        <v>136</v>
      </c>
      <c r="T204" s="10" t="str">
        <f t="shared" si="7"/>
        <v>Low</v>
      </c>
    </row>
    <row r="205" spans="1:20">
      <c r="A205" s="2">
        <v>500207</v>
      </c>
      <c r="B205" s="2">
        <v>101856</v>
      </c>
      <c r="C205" s="8">
        <v>45520</v>
      </c>
      <c r="D205" s="2">
        <v>2018</v>
      </c>
      <c r="E205" s="2">
        <v>1</v>
      </c>
      <c r="F205" s="2">
        <v>5</v>
      </c>
      <c r="G205" s="2" t="s">
        <v>20</v>
      </c>
      <c r="H205" s="2" t="s">
        <v>21</v>
      </c>
      <c r="I205" s="2">
        <v>58</v>
      </c>
      <c r="J205" s="2" t="s">
        <v>45</v>
      </c>
      <c r="K205" s="8">
        <v>45677</v>
      </c>
      <c r="L205" s="2" t="s">
        <v>23</v>
      </c>
      <c r="M205" s="2" t="s">
        <v>64</v>
      </c>
      <c r="N205" s="2" t="s">
        <v>34</v>
      </c>
      <c r="O205" s="2">
        <v>85</v>
      </c>
      <c r="P205" s="2">
        <v>81</v>
      </c>
      <c r="Q205" s="2">
        <v>81</v>
      </c>
      <c r="R205" s="9" t="s">
        <v>30</v>
      </c>
      <c r="S205" s="9">
        <f t="shared" si="6"/>
        <v>85</v>
      </c>
      <c r="T205" s="10" t="str">
        <f t="shared" si="7"/>
        <v>Low</v>
      </c>
    </row>
    <row r="206" spans="1:20">
      <c r="A206" s="2">
        <v>500208</v>
      </c>
      <c r="B206" s="2">
        <v>103338</v>
      </c>
      <c r="C206" s="8">
        <v>45405</v>
      </c>
      <c r="D206" s="2">
        <v>2014</v>
      </c>
      <c r="E206" s="2">
        <v>3</v>
      </c>
      <c r="F206" s="2">
        <v>5</v>
      </c>
      <c r="G206" s="2" t="s">
        <v>27</v>
      </c>
      <c r="H206" s="2" t="s">
        <v>21</v>
      </c>
      <c r="I206" s="2">
        <v>20</v>
      </c>
      <c r="J206" s="2" t="s">
        <v>32</v>
      </c>
      <c r="K206" s="8">
        <v>45467</v>
      </c>
      <c r="L206" s="2" t="s">
        <v>41</v>
      </c>
      <c r="M206" s="2" t="s">
        <v>29</v>
      </c>
      <c r="N206" s="2" t="s">
        <v>25</v>
      </c>
      <c r="O206" s="2">
        <v>42</v>
      </c>
      <c r="P206" s="2">
        <v>120</v>
      </c>
      <c r="Q206" s="2">
        <v>120</v>
      </c>
      <c r="R206" s="9" t="s">
        <v>30</v>
      </c>
      <c r="S206" s="9">
        <f t="shared" si="6"/>
        <v>126</v>
      </c>
      <c r="T206" s="10" t="str">
        <f t="shared" si="7"/>
        <v>Low</v>
      </c>
    </row>
    <row r="207" spans="1:20">
      <c r="A207" s="2">
        <v>500209</v>
      </c>
      <c r="B207" s="2">
        <v>104657</v>
      </c>
      <c r="C207" s="8">
        <v>46122</v>
      </c>
      <c r="D207" s="2">
        <v>2006</v>
      </c>
      <c r="E207" s="2">
        <v>1</v>
      </c>
      <c r="F207" s="2">
        <v>15</v>
      </c>
      <c r="G207" s="2" t="s">
        <v>56</v>
      </c>
      <c r="H207" s="2" t="s">
        <v>21</v>
      </c>
      <c r="I207" s="2">
        <v>24</v>
      </c>
      <c r="J207" s="2" t="s">
        <v>43</v>
      </c>
      <c r="K207" s="8">
        <v>45816</v>
      </c>
      <c r="L207" s="2" t="s">
        <v>23</v>
      </c>
      <c r="M207" s="2" t="s">
        <v>57</v>
      </c>
      <c r="N207" s="2" t="s">
        <v>34</v>
      </c>
      <c r="O207" s="2">
        <v>48</v>
      </c>
      <c r="P207" s="2">
        <v>41</v>
      </c>
      <c r="Q207" s="2">
        <v>41</v>
      </c>
      <c r="R207" s="9" t="s">
        <v>26</v>
      </c>
      <c r="S207" s="9">
        <f t="shared" si="6"/>
        <v>48</v>
      </c>
      <c r="T207" s="10" t="str">
        <f t="shared" si="7"/>
        <v>High</v>
      </c>
    </row>
    <row r="208" spans="1:20">
      <c r="A208" s="2">
        <v>500211</v>
      </c>
      <c r="B208" s="2">
        <v>105761</v>
      </c>
      <c r="C208" s="8">
        <v>46090</v>
      </c>
      <c r="D208" s="2">
        <v>2009</v>
      </c>
      <c r="E208" s="2">
        <v>1</v>
      </c>
      <c r="F208" s="2">
        <v>0</v>
      </c>
      <c r="G208" s="2" t="s">
        <v>27</v>
      </c>
      <c r="H208" s="2" t="s">
        <v>21</v>
      </c>
      <c r="I208" s="2">
        <v>23</v>
      </c>
      <c r="J208" s="2" t="s">
        <v>32</v>
      </c>
      <c r="K208" s="8">
        <v>45576</v>
      </c>
      <c r="L208" s="2" t="s">
        <v>23</v>
      </c>
      <c r="M208" s="2" t="s">
        <v>65</v>
      </c>
      <c r="N208" s="2" t="s">
        <v>59</v>
      </c>
      <c r="O208" s="2">
        <v>120</v>
      </c>
      <c r="P208" s="2">
        <v>120</v>
      </c>
      <c r="Q208" s="2">
        <v>120</v>
      </c>
      <c r="R208" s="9" t="s">
        <v>26</v>
      </c>
      <c r="S208" s="9">
        <f t="shared" si="6"/>
        <v>120</v>
      </c>
      <c r="T208" s="10" t="str">
        <f t="shared" si="7"/>
        <v>Low</v>
      </c>
    </row>
    <row r="209" spans="1:20">
      <c r="A209" s="2">
        <v>500212</v>
      </c>
      <c r="B209" s="2">
        <v>102102</v>
      </c>
      <c r="C209" s="8">
        <v>45450</v>
      </c>
      <c r="D209" s="2">
        <v>2014</v>
      </c>
      <c r="E209" s="2">
        <v>2</v>
      </c>
      <c r="F209" s="2">
        <v>0</v>
      </c>
      <c r="G209" s="2" t="s">
        <v>20</v>
      </c>
      <c r="H209" s="2" t="s">
        <v>21</v>
      </c>
      <c r="I209" s="2">
        <v>50</v>
      </c>
      <c r="J209" s="2" t="s">
        <v>32</v>
      </c>
      <c r="K209" s="8">
        <v>45713</v>
      </c>
      <c r="L209" s="2" t="s">
        <v>41</v>
      </c>
      <c r="M209" s="2" t="s">
        <v>29</v>
      </c>
      <c r="N209" s="2" t="s">
        <v>25</v>
      </c>
      <c r="O209" s="2">
        <v>42</v>
      </c>
      <c r="P209" s="2">
        <v>84</v>
      </c>
      <c r="Q209" s="2">
        <v>84</v>
      </c>
      <c r="R209" s="9" t="s">
        <v>30</v>
      </c>
      <c r="S209" s="9">
        <f t="shared" si="6"/>
        <v>84</v>
      </c>
      <c r="T209" s="10" t="str">
        <f t="shared" si="7"/>
        <v>Low</v>
      </c>
    </row>
    <row r="210" spans="1:20">
      <c r="A210" s="2">
        <v>500213</v>
      </c>
      <c r="B210" s="2">
        <v>101342</v>
      </c>
      <c r="C210" s="8">
        <v>45307</v>
      </c>
      <c r="D210" s="2">
        <v>2008</v>
      </c>
      <c r="E210" s="2">
        <v>1</v>
      </c>
      <c r="F210" s="2">
        <v>10</v>
      </c>
      <c r="G210" s="2" t="s">
        <v>20</v>
      </c>
      <c r="H210" s="2" t="s">
        <v>21</v>
      </c>
      <c r="I210" s="2">
        <v>24</v>
      </c>
      <c r="J210" s="2" t="s">
        <v>32</v>
      </c>
      <c r="K210" s="8">
        <v>45826</v>
      </c>
      <c r="L210" s="2" t="s">
        <v>41</v>
      </c>
      <c r="M210" s="2" t="s">
        <v>39</v>
      </c>
      <c r="N210" s="2" t="s">
        <v>25</v>
      </c>
      <c r="O210" s="2">
        <v>14</v>
      </c>
      <c r="P210" s="2">
        <v>13</v>
      </c>
      <c r="Q210" s="2">
        <v>13</v>
      </c>
      <c r="R210" s="9" t="s">
        <v>30</v>
      </c>
      <c r="S210" s="9">
        <f t="shared" si="6"/>
        <v>14</v>
      </c>
      <c r="T210" s="10" t="str">
        <f t="shared" si="7"/>
        <v>Average</v>
      </c>
    </row>
    <row r="211" spans="1:20">
      <c r="A211" s="2">
        <v>500214</v>
      </c>
      <c r="B211" s="2">
        <v>102133</v>
      </c>
      <c r="C211" s="8">
        <v>45485</v>
      </c>
      <c r="D211" s="2">
        <v>2008</v>
      </c>
      <c r="E211" s="2">
        <v>1</v>
      </c>
      <c r="F211" s="2">
        <v>10</v>
      </c>
      <c r="G211" s="2" t="s">
        <v>20</v>
      </c>
      <c r="H211" s="2" t="s">
        <v>21</v>
      </c>
      <c r="I211" s="2">
        <v>42</v>
      </c>
      <c r="J211" s="2" t="s">
        <v>32</v>
      </c>
      <c r="K211" s="8">
        <v>45417</v>
      </c>
      <c r="L211" s="2" t="s">
        <v>23</v>
      </c>
      <c r="M211" s="2" t="s">
        <v>39</v>
      </c>
      <c r="N211" s="2" t="s">
        <v>25</v>
      </c>
      <c r="O211" s="2">
        <v>14</v>
      </c>
      <c r="P211" s="2">
        <v>13</v>
      </c>
      <c r="Q211" s="2">
        <v>13</v>
      </c>
      <c r="R211" s="9" t="s">
        <v>30</v>
      </c>
      <c r="S211" s="9">
        <f t="shared" si="6"/>
        <v>14</v>
      </c>
      <c r="T211" s="10" t="str">
        <f t="shared" si="7"/>
        <v>Average</v>
      </c>
    </row>
    <row r="212" spans="1:20">
      <c r="A212" s="2">
        <v>500215</v>
      </c>
      <c r="B212" s="2">
        <v>101884</v>
      </c>
      <c r="C212" s="8">
        <v>45717</v>
      </c>
      <c r="D212" s="2">
        <v>2014</v>
      </c>
      <c r="E212" s="2">
        <v>1</v>
      </c>
      <c r="F212" s="2">
        <v>10</v>
      </c>
      <c r="G212" s="2" t="s">
        <v>20</v>
      </c>
      <c r="H212" s="2" t="s">
        <v>21</v>
      </c>
      <c r="I212" s="2">
        <v>58</v>
      </c>
      <c r="J212" s="2" t="s">
        <v>22</v>
      </c>
      <c r="K212" s="8">
        <v>45633</v>
      </c>
      <c r="L212" s="2" t="s">
        <v>23</v>
      </c>
      <c r="M212" s="2" t="s">
        <v>29</v>
      </c>
      <c r="N212" s="2" t="s">
        <v>25</v>
      </c>
      <c r="O212" s="2">
        <v>42</v>
      </c>
      <c r="P212" s="2">
        <v>38</v>
      </c>
      <c r="Q212" s="2">
        <v>38</v>
      </c>
      <c r="R212" s="9" t="s">
        <v>26</v>
      </c>
      <c r="S212" s="9">
        <f t="shared" si="6"/>
        <v>42</v>
      </c>
      <c r="T212" s="10" t="str">
        <f t="shared" si="7"/>
        <v>Average</v>
      </c>
    </row>
    <row r="213" spans="1:20">
      <c r="A213" s="2">
        <v>500216</v>
      </c>
      <c r="B213" s="2">
        <v>108279</v>
      </c>
      <c r="C213" s="8">
        <v>45593</v>
      </c>
      <c r="D213" s="2">
        <v>2008</v>
      </c>
      <c r="E213" s="2">
        <v>1</v>
      </c>
      <c r="F213" s="2">
        <v>10</v>
      </c>
      <c r="G213" s="2" t="s">
        <v>27</v>
      </c>
      <c r="H213" s="2" t="s">
        <v>21</v>
      </c>
      <c r="I213" s="2">
        <v>26</v>
      </c>
      <c r="J213" s="2" t="s">
        <v>45</v>
      </c>
      <c r="K213" s="8">
        <v>45828</v>
      </c>
      <c r="L213" s="2" t="s">
        <v>49</v>
      </c>
      <c r="M213" s="2" t="s">
        <v>39</v>
      </c>
      <c r="N213" s="2" t="s">
        <v>25</v>
      </c>
      <c r="O213" s="2">
        <v>14</v>
      </c>
      <c r="P213" s="2">
        <v>13</v>
      </c>
      <c r="Q213" s="2">
        <v>13</v>
      </c>
      <c r="R213" s="9" t="s">
        <v>30</v>
      </c>
      <c r="S213" s="9">
        <f t="shared" si="6"/>
        <v>14</v>
      </c>
      <c r="T213" s="10" t="str">
        <f t="shared" si="7"/>
        <v>Average</v>
      </c>
    </row>
    <row r="214" spans="1:20">
      <c r="A214" s="2">
        <v>500217</v>
      </c>
      <c r="B214" s="2">
        <v>101096</v>
      </c>
      <c r="C214" s="8">
        <v>46086</v>
      </c>
      <c r="D214" s="2">
        <v>2014</v>
      </c>
      <c r="E214" s="2">
        <v>3</v>
      </c>
      <c r="F214" s="2">
        <v>10</v>
      </c>
      <c r="G214" s="2" t="s">
        <v>20</v>
      </c>
      <c r="H214" s="2" t="s">
        <v>21</v>
      </c>
      <c r="I214" s="2">
        <v>21</v>
      </c>
      <c r="J214" s="2" t="s">
        <v>45</v>
      </c>
      <c r="K214" s="8">
        <v>45315</v>
      </c>
      <c r="L214" s="2" t="s">
        <v>41</v>
      </c>
      <c r="M214" s="2" t="s">
        <v>29</v>
      </c>
      <c r="N214" s="2" t="s">
        <v>25</v>
      </c>
      <c r="O214" s="2">
        <v>42</v>
      </c>
      <c r="P214" s="2">
        <v>113</v>
      </c>
      <c r="Q214" s="2">
        <v>113</v>
      </c>
      <c r="R214" s="9" t="s">
        <v>26</v>
      </c>
      <c r="S214" s="9">
        <f t="shared" si="6"/>
        <v>126</v>
      </c>
      <c r="T214" s="10" t="str">
        <f t="shared" si="7"/>
        <v>Average</v>
      </c>
    </row>
    <row r="215" spans="1:20">
      <c r="A215" s="2">
        <v>500218</v>
      </c>
      <c r="B215" s="2">
        <v>103404</v>
      </c>
      <c r="C215" s="8">
        <v>45763</v>
      </c>
      <c r="D215" s="2">
        <v>2013</v>
      </c>
      <c r="E215" s="2">
        <v>1</v>
      </c>
      <c r="F215" s="2">
        <v>5</v>
      </c>
      <c r="G215" s="2" t="s">
        <v>20</v>
      </c>
      <c r="H215" s="2" t="s">
        <v>21</v>
      </c>
      <c r="I215" s="2">
        <v>65</v>
      </c>
      <c r="J215" s="2" t="s">
        <v>55</v>
      </c>
      <c r="K215" s="8">
        <v>45013</v>
      </c>
      <c r="L215" s="2" t="s">
        <v>49</v>
      </c>
      <c r="M215" s="2" t="s">
        <v>53</v>
      </c>
      <c r="N215" s="2" t="s">
        <v>54</v>
      </c>
      <c r="O215" s="2">
        <v>7</v>
      </c>
      <c r="P215" s="2">
        <v>7</v>
      </c>
      <c r="Q215" s="2">
        <v>7</v>
      </c>
      <c r="R215" s="9" t="s">
        <v>26</v>
      </c>
      <c r="S215" s="9">
        <f t="shared" si="6"/>
        <v>7</v>
      </c>
      <c r="T215" s="10" t="str">
        <f t="shared" si="7"/>
        <v>Low</v>
      </c>
    </row>
    <row r="216" spans="1:20">
      <c r="A216" s="2">
        <v>500220</v>
      </c>
      <c r="B216" s="2">
        <v>105098</v>
      </c>
      <c r="C216" s="8">
        <v>45832</v>
      </c>
      <c r="D216" s="2">
        <v>2007</v>
      </c>
      <c r="E216" s="2">
        <v>1</v>
      </c>
      <c r="F216" s="2">
        <v>15</v>
      </c>
      <c r="G216" s="2" t="s">
        <v>20</v>
      </c>
      <c r="H216" s="2" t="s">
        <v>21</v>
      </c>
      <c r="I216" s="2">
        <v>33</v>
      </c>
      <c r="J216" s="2" t="s">
        <v>32</v>
      </c>
      <c r="K216" s="8">
        <v>45520</v>
      </c>
      <c r="L216" s="2" t="s">
        <v>23</v>
      </c>
      <c r="M216" s="2" t="s">
        <v>61</v>
      </c>
      <c r="N216" s="2" t="s">
        <v>34</v>
      </c>
      <c r="O216" s="2">
        <v>75</v>
      </c>
      <c r="P216" s="2">
        <v>64</v>
      </c>
      <c r="Q216" s="2">
        <v>64</v>
      </c>
      <c r="R216" s="9" t="s">
        <v>26</v>
      </c>
      <c r="S216" s="9">
        <f t="shared" si="6"/>
        <v>75</v>
      </c>
      <c r="T216" s="10" t="str">
        <f t="shared" si="7"/>
        <v>High</v>
      </c>
    </row>
    <row r="217" spans="1:20">
      <c r="A217" s="2">
        <v>500221</v>
      </c>
      <c r="B217" s="2">
        <v>100444</v>
      </c>
      <c r="C217" s="8">
        <v>45628</v>
      </c>
      <c r="D217" s="2">
        <v>2014</v>
      </c>
      <c r="E217" s="2">
        <v>2</v>
      </c>
      <c r="F217" s="2">
        <v>0</v>
      </c>
      <c r="G217" s="2" t="s">
        <v>31</v>
      </c>
      <c r="H217" s="2" t="s">
        <v>21</v>
      </c>
      <c r="I217" s="2">
        <v>41</v>
      </c>
      <c r="J217" s="2" t="s">
        <v>38</v>
      </c>
      <c r="K217" s="8">
        <v>45635</v>
      </c>
      <c r="L217" s="2" t="s">
        <v>23</v>
      </c>
      <c r="M217" s="2" t="s">
        <v>29</v>
      </c>
      <c r="N217" s="2" t="s">
        <v>25</v>
      </c>
      <c r="O217" s="2">
        <v>42</v>
      </c>
      <c r="P217" s="2">
        <v>84</v>
      </c>
      <c r="Q217" s="2">
        <v>84</v>
      </c>
      <c r="R217" s="9" t="s">
        <v>30</v>
      </c>
      <c r="S217" s="9">
        <f t="shared" si="6"/>
        <v>84</v>
      </c>
      <c r="T217" s="10" t="str">
        <f t="shared" si="7"/>
        <v>Low</v>
      </c>
    </row>
    <row r="218" spans="1:20">
      <c r="A218" s="2">
        <v>500222</v>
      </c>
      <c r="B218" s="2">
        <v>102621</v>
      </c>
      <c r="C218" s="8">
        <v>45878</v>
      </c>
      <c r="D218" s="2">
        <v>2013</v>
      </c>
      <c r="E218" s="2">
        <v>1</v>
      </c>
      <c r="F218" s="2">
        <v>15</v>
      </c>
      <c r="G218" s="2" t="s">
        <v>27</v>
      </c>
      <c r="H218" s="2" t="s">
        <v>47</v>
      </c>
      <c r="I218" s="2">
        <v>58</v>
      </c>
      <c r="J218" s="2" t="s">
        <v>45</v>
      </c>
      <c r="K218" s="8">
        <v>45853</v>
      </c>
      <c r="L218" s="2" t="s">
        <v>23</v>
      </c>
      <c r="M218" s="2" t="s">
        <v>53</v>
      </c>
      <c r="N218" s="2" t="s">
        <v>54</v>
      </c>
      <c r="O218" s="2">
        <v>7</v>
      </c>
      <c r="P218" s="2">
        <v>6</v>
      </c>
      <c r="Q218" s="2">
        <v>6</v>
      </c>
      <c r="R218" s="9" t="s">
        <v>26</v>
      </c>
      <c r="S218" s="9">
        <f t="shared" si="6"/>
        <v>7</v>
      </c>
      <c r="T218" s="10" t="str">
        <f t="shared" si="7"/>
        <v>High</v>
      </c>
    </row>
    <row r="219" spans="1:20">
      <c r="A219" s="2">
        <v>500223</v>
      </c>
      <c r="B219" s="2">
        <v>101921</v>
      </c>
      <c r="C219" s="8">
        <v>45971</v>
      </c>
      <c r="D219" s="2">
        <v>2015</v>
      </c>
      <c r="E219" s="2">
        <v>2</v>
      </c>
      <c r="F219" s="2">
        <v>15</v>
      </c>
      <c r="G219" s="2" t="s">
        <v>31</v>
      </c>
      <c r="H219" s="2" t="s">
        <v>21</v>
      </c>
      <c r="I219" s="2">
        <v>36</v>
      </c>
      <c r="J219" s="2" t="s">
        <v>38</v>
      </c>
      <c r="K219" s="8">
        <v>45063</v>
      </c>
      <c r="L219" s="2" t="s">
        <v>41</v>
      </c>
      <c r="M219" s="2" t="s">
        <v>66</v>
      </c>
      <c r="N219" s="2" t="s">
        <v>34</v>
      </c>
      <c r="O219" s="2">
        <v>58</v>
      </c>
      <c r="P219" s="2">
        <v>99</v>
      </c>
      <c r="Q219" s="2">
        <v>99</v>
      </c>
      <c r="R219" s="9" t="s">
        <v>26</v>
      </c>
      <c r="S219" s="9">
        <f t="shared" si="6"/>
        <v>116</v>
      </c>
      <c r="T219" s="10" t="str">
        <f t="shared" si="7"/>
        <v>High</v>
      </c>
    </row>
    <row r="220" spans="1:20">
      <c r="A220" s="2">
        <v>500224</v>
      </c>
      <c r="B220" s="2">
        <v>103652</v>
      </c>
      <c r="C220" s="8">
        <v>46185</v>
      </c>
      <c r="D220" s="2">
        <v>2007</v>
      </c>
      <c r="E220" s="2">
        <v>4</v>
      </c>
      <c r="F220" s="2">
        <v>15</v>
      </c>
      <c r="G220" s="2" t="s">
        <v>20</v>
      </c>
      <c r="H220" s="2" t="s">
        <v>21</v>
      </c>
      <c r="I220" s="2">
        <v>21</v>
      </c>
      <c r="J220" s="2" t="s">
        <v>52</v>
      </c>
      <c r="K220" s="8">
        <v>45531</v>
      </c>
      <c r="L220" s="2" t="s">
        <v>23</v>
      </c>
      <c r="M220" s="2" t="s">
        <v>61</v>
      </c>
      <c r="N220" s="2" t="s">
        <v>34</v>
      </c>
      <c r="O220" s="2">
        <v>75</v>
      </c>
      <c r="P220" s="2">
        <v>255</v>
      </c>
      <c r="Q220" s="2">
        <v>255</v>
      </c>
      <c r="R220" s="9" t="s">
        <v>26</v>
      </c>
      <c r="S220" s="9">
        <f t="shared" si="6"/>
        <v>300</v>
      </c>
      <c r="T220" s="10" t="str">
        <f t="shared" si="7"/>
        <v>High</v>
      </c>
    </row>
    <row r="221" spans="1:20">
      <c r="A221" s="2">
        <v>500225</v>
      </c>
      <c r="B221" s="2">
        <v>105062</v>
      </c>
      <c r="C221" s="8">
        <v>45790</v>
      </c>
      <c r="D221" s="2">
        <v>2005</v>
      </c>
      <c r="E221" s="2">
        <v>3</v>
      </c>
      <c r="F221" s="2">
        <v>15</v>
      </c>
      <c r="G221" s="2" t="s">
        <v>20</v>
      </c>
      <c r="H221" s="2" t="s">
        <v>21</v>
      </c>
      <c r="I221" s="2">
        <v>47</v>
      </c>
      <c r="J221" s="2" t="s">
        <v>43</v>
      </c>
      <c r="K221" s="8">
        <v>45667</v>
      </c>
      <c r="L221" s="2" t="s">
        <v>49</v>
      </c>
      <c r="M221" s="2" t="s">
        <v>51</v>
      </c>
      <c r="N221" s="2" t="s">
        <v>25</v>
      </c>
      <c r="O221" s="2">
        <v>28</v>
      </c>
      <c r="P221" s="2">
        <v>71</v>
      </c>
      <c r="Q221" s="2">
        <v>71</v>
      </c>
      <c r="R221" s="9" t="s">
        <v>26</v>
      </c>
      <c r="S221" s="9">
        <f t="shared" si="6"/>
        <v>84</v>
      </c>
      <c r="T221" s="10" t="str">
        <f t="shared" si="7"/>
        <v>High</v>
      </c>
    </row>
    <row r="222" spans="1:20">
      <c r="A222" s="2">
        <v>500226</v>
      </c>
      <c r="B222" s="2">
        <v>107826</v>
      </c>
      <c r="C222" s="8">
        <v>45608</v>
      </c>
      <c r="D222" s="2">
        <v>2001</v>
      </c>
      <c r="E222" s="2">
        <v>1</v>
      </c>
      <c r="F222" s="2">
        <v>0</v>
      </c>
      <c r="G222" s="2" t="s">
        <v>31</v>
      </c>
      <c r="H222" s="2" t="s">
        <v>21</v>
      </c>
      <c r="I222" s="2">
        <v>59</v>
      </c>
      <c r="J222" s="2" t="s">
        <v>55</v>
      </c>
      <c r="K222" s="8">
        <v>46006</v>
      </c>
      <c r="L222" s="2" t="s">
        <v>41</v>
      </c>
      <c r="M222" s="2" t="s">
        <v>50</v>
      </c>
      <c r="N222" s="2" t="s">
        <v>34</v>
      </c>
      <c r="O222" s="2">
        <v>18</v>
      </c>
      <c r="P222" s="2">
        <v>18</v>
      </c>
      <c r="Q222" s="2">
        <v>18</v>
      </c>
      <c r="R222" s="9" t="s">
        <v>30</v>
      </c>
      <c r="S222" s="9">
        <f t="shared" si="6"/>
        <v>18</v>
      </c>
      <c r="T222" s="10" t="str">
        <f t="shared" si="7"/>
        <v>Low</v>
      </c>
    </row>
    <row r="223" spans="1:20">
      <c r="A223" s="2">
        <v>500227</v>
      </c>
      <c r="B223" s="2">
        <v>109447</v>
      </c>
      <c r="C223" s="8">
        <v>45666</v>
      </c>
      <c r="D223" s="2">
        <v>2010</v>
      </c>
      <c r="E223" s="2">
        <v>1</v>
      </c>
      <c r="F223" s="2">
        <v>10</v>
      </c>
      <c r="G223" s="2" t="s">
        <v>20</v>
      </c>
      <c r="H223" s="2" t="s">
        <v>21</v>
      </c>
      <c r="I223" s="2">
        <v>64</v>
      </c>
      <c r="J223" s="2" t="s">
        <v>38</v>
      </c>
      <c r="K223" s="8">
        <v>45465</v>
      </c>
      <c r="L223" s="2" t="s">
        <v>23</v>
      </c>
      <c r="M223" s="2" t="s">
        <v>58</v>
      </c>
      <c r="N223" s="2" t="s">
        <v>59</v>
      </c>
      <c r="O223" s="2">
        <v>55</v>
      </c>
      <c r="P223" s="2">
        <v>50</v>
      </c>
      <c r="Q223" s="2">
        <v>50</v>
      </c>
      <c r="R223" s="9" t="s">
        <v>26</v>
      </c>
      <c r="S223" s="9">
        <f t="shared" si="6"/>
        <v>55</v>
      </c>
      <c r="T223" s="10" t="str">
        <f t="shared" si="7"/>
        <v>Average</v>
      </c>
    </row>
    <row r="224" spans="1:20">
      <c r="A224" s="2">
        <v>500228</v>
      </c>
      <c r="B224" s="2">
        <v>108616</v>
      </c>
      <c r="C224" s="8">
        <v>45639</v>
      </c>
      <c r="D224" s="2">
        <v>2014</v>
      </c>
      <c r="E224" s="2">
        <v>2</v>
      </c>
      <c r="F224" s="2">
        <v>10</v>
      </c>
      <c r="G224" s="2" t="s">
        <v>56</v>
      </c>
      <c r="H224" s="2" t="s">
        <v>47</v>
      </c>
      <c r="I224" s="2">
        <v>34</v>
      </c>
      <c r="J224" s="2" t="s">
        <v>32</v>
      </c>
      <c r="K224" s="8">
        <v>45107</v>
      </c>
      <c r="L224" s="2" t="s">
        <v>23</v>
      </c>
      <c r="M224" s="2" t="s">
        <v>29</v>
      </c>
      <c r="N224" s="2" t="s">
        <v>25</v>
      </c>
      <c r="O224" s="2">
        <v>42</v>
      </c>
      <c r="P224" s="2">
        <v>76</v>
      </c>
      <c r="Q224" s="2">
        <v>76</v>
      </c>
      <c r="R224" s="9" t="s">
        <v>30</v>
      </c>
      <c r="S224" s="9">
        <f t="shared" si="6"/>
        <v>84</v>
      </c>
      <c r="T224" s="10" t="str">
        <f t="shared" si="7"/>
        <v>Average</v>
      </c>
    </row>
    <row r="225" spans="1:20">
      <c r="A225" s="2">
        <v>500229</v>
      </c>
      <c r="B225" s="2">
        <v>105005</v>
      </c>
      <c r="C225" s="8">
        <v>45681</v>
      </c>
      <c r="D225" s="2">
        <v>2013</v>
      </c>
      <c r="E225" s="2">
        <v>1</v>
      </c>
      <c r="F225" s="2">
        <v>15</v>
      </c>
      <c r="G225" s="2" t="s">
        <v>20</v>
      </c>
      <c r="H225" s="2" t="s">
        <v>21</v>
      </c>
      <c r="I225" s="2">
        <v>55</v>
      </c>
      <c r="J225" s="2" t="s">
        <v>45</v>
      </c>
      <c r="K225" s="8">
        <v>44979</v>
      </c>
      <c r="L225" s="2" t="s">
        <v>23</v>
      </c>
      <c r="M225" s="2" t="s">
        <v>53</v>
      </c>
      <c r="N225" s="2" t="s">
        <v>54</v>
      </c>
      <c r="O225" s="2">
        <v>7</v>
      </c>
      <c r="P225" s="2">
        <v>6</v>
      </c>
      <c r="Q225" s="2">
        <v>6</v>
      </c>
      <c r="R225" s="9" t="s">
        <v>26</v>
      </c>
      <c r="S225" s="9">
        <f t="shared" si="6"/>
        <v>7</v>
      </c>
      <c r="T225" s="10" t="str">
        <f t="shared" si="7"/>
        <v>High</v>
      </c>
    </row>
    <row r="226" spans="1:20">
      <c r="A226" s="2">
        <v>500230</v>
      </c>
      <c r="B226" s="2">
        <v>104694</v>
      </c>
      <c r="C226" s="8">
        <v>45318</v>
      </c>
      <c r="D226" s="2">
        <v>2013</v>
      </c>
      <c r="E226" s="2">
        <v>1</v>
      </c>
      <c r="F226" s="2">
        <v>0</v>
      </c>
      <c r="G226" s="2" t="s">
        <v>20</v>
      </c>
      <c r="H226" s="2" t="s">
        <v>21</v>
      </c>
      <c r="I226" s="2">
        <v>59</v>
      </c>
      <c r="J226" s="2" t="s">
        <v>32</v>
      </c>
      <c r="K226" s="8">
        <v>45645</v>
      </c>
      <c r="L226" s="2" t="s">
        <v>41</v>
      </c>
      <c r="M226" s="2" t="s">
        <v>53</v>
      </c>
      <c r="N226" s="2" t="s">
        <v>54</v>
      </c>
      <c r="O226" s="2">
        <v>7</v>
      </c>
      <c r="P226" s="2">
        <v>7</v>
      </c>
      <c r="Q226" s="2">
        <v>7</v>
      </c>
      <c r="R226" s="9" t="s">
        <v>30</v>
      </c>
      <c r="S226" s="9">
        <f t="shared" si="6"/>
        <v>7</v>
      </c>
      <c r="T226" s="10" t="str">
        <f t="shared" si="7"/>
        <v>Low</v>
      </c>
    </row>
    <row r="227" spans="1:20">
      <c r="A227" s="2">
        <v>500231</v>
      </c>
      <c r="B227" s="2">
        <v>103813</v>
      </c>
      <c r="C227" s="8">
        <v>45505</v>
      </c>
      <c r="D227" s="2">
        <v>2006</v>
      </c>
      <c r="E227" s="2">
        <v>2</v>
      </c>
      <c r="F227" s="2">
        <v>5</v>
      </c>
      <c r="G227" s="2" t="s">
        <v>27</v>
      </c>
      <c r="H227" s="2" t="s">
        <v>21</v>
      </c>
      <c r="I227" s="2">
        <v>50</v>
      </c>
      <c r="J227" s="2" t="s">
        <v>35</v>
      </c>
      <c r="K227" s="8">
        <v>45172</v>
      </c>
      <c r="L227" s="2" t="s">
        <v>41</v>
      </c>
      <c r="M227" s="2" t="s">
        <v>57</v>
      </c>
      <c r="N227" s="2" t="s">
        <v>34</v>
      </c>
      <c r="O227" s="2">
        <v>48</v>
      </c>
      <c r="P227" s="2">
        <v>91</v>
      </c>
      <c r="Q227" s="2">
        <v>91</v>
      </c>
      <c r="R227" s="9" t="s">
        <v>30</v>
      </c>
      <c r="S227" s="9">
        <f t="shared" si="6"/>
        <v>96</v>
      </c>
      <c r="T227" s="10" t="str">
        <f t="shared" si="7"/>
        <v>Low</v>
      </c>
    </row>
    <row r="228" spans="1:20">
      <c r="A228" s="2">
        <v>500232</v>
      </c>
      <c r="B228" s="2">
        <v>105008</v>
      </c>
      <c r="C228" s="8">
        <v>46188</v>
      </c>
      <c r="D228" s="2">
        <v>2020</v>
      </c>
      <c r="E228" s="2">
        <v>2</v>
      </c>
      <c r="F228" s="2">
        <v>0</v>
      </c>
      <c r="G228" s="2" t="s">
        <v>20</v>
      </c>
      <c r="H228" s="2" t="s">
        <v>21</v>
      </c>
      <c r="I228" s="2">
        <v>57</v>
      </c>
      <c r="J228" s="2" t="s">
        <v>28</v>
      </c>
      <c r="K228" s="8">
        <v>45548</v>
      </c>
      <c r="L228" s="2" t="s">
        <v>23</v>
      </c>
      <c r="M228" s="2" t="s">
        <v>62</v>
      </c>
      <c r="N228" s="2" t="s">
        <v>63</v>
      </c>
      <c r="O228" s="2">
        <v>68</v>
      </c>
      <c r="P228" s="2">
        <v>136</v>
      </c>
      <c r="Q228" s="2">
        <v>136</v>
      </c>
      <c r="R228" s="9" t="s">
        <v>26</v>
      </c>
      <c r="S228" s="9">
        <f t="shared" si="6"/>
        <v>136</v>
      </c>
      <c r="T228" s="10" t="str">
        <f t="shared" si="7"/>
        <v>Low</v>
      </c>
    </row>
    <row r="229" spans="1:20">
      <c r="A229" s="2">
        <v>500233</v>
      </c>
      <c r="B229" s="2">
        <v>101359</v>
      </c>
      <c r="C229" s="8">
        <v>46112</v>
      </c>
      <c r="D229" s="2">
        <v>2001</v>
      </c>
      <c r="E229" s="2">
        <v>1</v>
      </c>
      <c r="F229" s="2">
        <v>15</v>
      </c>
      <c r="G229" s="2" t="s">
        <v>31</v>
      </c>
      <c r="H229" s="2" t="s">
        <v>21</v>
      </c>
      <c r="I229" s="2">
        <v>22</v>
      </c>
      <c r="J229" s="2" t="s">
        <v>43</v>
      </c>
      <c r="K229" s="8">
        <v>45841</v>
      </c>
      <c r="L229" s="2" t="s">
        <v>41</v>
      </c>
      <c r="M229" s="2" t="s">
        <v>50</v>
      </c>
      <c r="N229" s="2" t="s">
        <v>34</v>
      </c>
      <c r="O229" s="2">
        <v>18</v>
      </c>
      <c r="P229" s="2">
        <v>15</v>
      </c>
      <c r="Q229" s="2">
        <v>15</v>
      </c>
      <c r="R229" s="9" t="s">
        <v>26</v>
      </c>
      <c r="S229" s="9">
        <f t="shared" si="6"/>
        <v>18</v>
      </c>
      <c r="T229" s="10" t="str">
        <f t="shared" si="7"/>
        <v>High</v>
      </c>
    </row>
    <row r="230" spans="1:20">
      <c r="A230" s="2">
        <v>500234</v>
      </c>
      <c r="B230" s="2">
        <v>106814</v>
      </c>
      <c r="C230" s="8">
        <v>45333</v>
      </c>
      <c r="D230" s="2">
        <v>2002</v>
      </c>
      <c r="E230" s="2">
        <v>1</v>
      </c>
      <c r="F230" s="2">
        <v>5</v>
      </c>
      <c r="G230" s="2" t="s">
        <v>27</v>
      </c>
      <c r="H230" s="2" t="s">
        <v>21</v>
      </c>
      <c r="I230" s="2">
        <v>42</v>
      </c>
      <c r="J230" s="2" t="s">
        <v>28</v>
      </c>
      <c r="K230" s="8">
        <v>45336</v>
      </c>
      <c r="L230" s="2" t="s">
        <v>41</v>
      </c>
      <c r="M230" s="2" t="s">
        <v>33</v>
      </c>
      <c r="N230" s="2" t="s">
        <v>34</v>
      </c>
      <c r="O230" s="2">
        <v>62</v>
      </c>
      <c r="P230" s="2">
        <v>59</v>
      </c>
      <c r="Q230" s="2">
        <v>59</v>
      </c>
      <c r="R230" s="9" t="s">
        <v>30</v>
      </c>
      <c r="S230" s="9">
        <f t="shared" si="6"/>
        <v>62</v>
      </c>
      <c r="T230" s="10" t="str">
        <f t="shared" si="7"/>
        <v>Low</v>
      </c>
    </row>
    <row r="231" spans="1:20">
      <c r="A231" s="2">
        <v>500235</v>
      </c>
      <c r="B231" s="2">
        <v>101208</v>
      </c>
      <c r="C231" s="8">
        <v>46178</v>
      </c>
      <c r="D231" s="2">
        <v>2014</v>
      </c>
      <c r="E231" s="2">
        <v>3</v>
      </c>
      <c r="F231" s="2">
        <v>0</v>
      </c>
      <c r="G231" s="2" t="s">
        <v>31</v>
      </c>
      <c r="H231" s="2" t="s">
        <v>21</v>
      </c>
      <c r="I231" s="2">
        <v>52</v>
      </c>
      <c r="J231" s="2" t="s">
        <v>45</v>
      </c>
      <c r="K231" s="8">
        <v>44956</v>
      </c>
      <c r="L231" s="2" t="s">
        <v>23</v>
      </c>
      <c r="M231" s="2" t="s">
        <v>29</v>
      </c>
      <c r="N231" s="2" t="s">
        <v>25</v>
      </c>
      <c r="O231" s="2">
        <v>42</v>
      </c>
      <c r="P231" s="2">
        <v>126</v>
      </c>
      <c r="Q231" s="2">
        <v>126</v>
      </c>
      <c r="R231" s="9" t="s">
        <v>26</v>
      </c>
      <c r="S231" s="9">
        <f t="shared" si="6"/>
        <v>126</v>
      </c>
      <c r="T231" s="10" t="str">
        <f t="shared" si="7"/>
        <v>Low</v>
      </c>
    </row>
    <row r="232" spans="1:20">
      <c r="A232" s="2">
        <v>500236</v>
      </c>
      <c r="B232" s="2">
        <v>102833</v>
      </c>
      <c r="C232" s="8">
        <v>45976</v>
      </c>
      <c r="D232" s="2">
        <v>2005</v>
      </c>
      <c r="E232" s="2">
        <v>2</v>
      </c>
      <c r="F232" s="2">
        <v>10</v>
      </c>
      <c r="G232" s="2" t="s">
        <v>31</v>
      </c>
      <c r="H232" s="2" t="s">
        <v>21</v>
      </c>
      <c r="I232" s="2">
        <v>32</v>
      </c>
      <c r="J232" s="2" t="s">
        <v>32</v>
      </c>
      <c r="K232" s="8">
        <v>45465</v>
      </c>
      <c r="L232" s="2" t="s">
        <v>41</v>
      </c>
      <c r="M232" s="2" t="s">
        <v>51</v>
      </c>
      <c r="N232" s="2" t="s">
        <v>25</v>
      </c>
      <c r="O232" s="2">
        <v>28</v>
      </c>
      <c r="P232" s="2">
        <v>50</v>
      </c>
      <c r="Q232" s="2">
        <v>50</v>
      </c>
      <c r="R232" s="9" t="s">
        <v>26</v>
      </c>
      <c r="S232" s="9">
        <f t="shared" si="6"/>
        <v>56</v>
      </c>
      <c r="T232" s="10" t="str">
        <f t="shared" si="7"/>
        <v>Average</v>
      </c>
    </row>
    <row r="233" spans="1:20">
      <c r="A233" s="2">
        <v>500237</v>
      </c>
      <c r="B233" s="2">
        <v>108171</v>
      </c>
      <c r="C233" s="8">
        <v>45294</v>
      </c>
      <c r="D233" s="2">
        <v>2003</v>
      </c>
      <c r="E233" s="2">
        <v>2</v>
      </c>
      <c r="F233" s="2">
        <v>0</v>
      </c>
      <c r="G233" s="2" t="s">
        <v>56</v>
      </c>
      <c r="H233" s="2" t="s">
        <v>21</v>
      </c>
      <c r="I233" s="2">
        <v>60</v>
      </c>
      <c r="J233" s="2" t="s">
        <v>28</v>
      </c>
      <c r="K233" s="8">
        <v>45360</v>
      </c>
      <c r="L233" s="2" t="s">
        <v>23</v>
      </c>
      <c r="M233" s="2" t="s">
        <v>24</v>
      </c>
      <c r="N233" s="2" t="s">
        <v>25</v>
      </c>
      <c r="O233" s="2">
        <v>9</v>
      </c>
      <c r="P233" s="2">
        <v>18</v>
      </c>
      <c r="Q233" s="2">
        <v>18</v>
      </c>
      <c r="R233" s="9" t="s">
        <v>30</v>
      </c>
      <c r="S233" s="9">
        <f t="shared" si="6"/>
        <v>18</v>
      </c>
      <c r="T233" s="10" t="str">
        <f t="shared" si="7"/>
        <v>Low</v>
      </c>
    </row>
    <row r="234" spans="1:20">
      <c r="A234" s="2">
        <v>500238</v>
      </c>
      <c r="B234" s="2">
        <v>107568</v>
      </c>
      <c r="C234" s="8">
        <v>46094</v>
      </c>
      <c r="D234" s="2">
        <v>2007</v>
      </c>
      <c r="E234" s="2">
        <v>1</v>
      </c>
      <c r="F234" s="2">
        <v>10</v>
      </c>
      <c r="G234" s="2" t="s">
        <v>20</v>
      </c>
      <c r="H234" s="2" t="s">
        <v>21</v>
      </c>
      <c r="I234" s="2">
        <v>28</v>
      </c>
      <c r="J234" s="2" t="s">
        <v>45</v>
      </c>
      <c r="K234" s="8">
        <v>44987</v>
      </c>
      <c r="L234" s="2" t="s">
        <v>41</v>
      </c>
      <c r="M234" s="2" t="s">
        <v>61</v>
      </c>
      <c r="N234" s="2" t="s">
        <v>34</v>
      </c>
      <c r="O234" s="2">
        <v>75</v>
      </c>
      <c r="P234" s="2">
        <v>68</v>
      </c>
      <c r="Q234" s="2">
        <v>68</v>
      </c>
      <c r="R234" s="9" t="s">
        <v>26</v>
      </c>
      <c r="S234" s="9">
        <f t="shared" si="6"/>
        <v>75</v>
      </c>
      <c r="T234" s="10" t="str">
        <f t="shared" si="7"/>
        <v>Average</v>
      </c>
    </row>
    <row r="235" spans="1:20">
      <c r="A235" s="2">
        <v>500239</v>
      </c>
      <c r="B235" s="2">
        <v>103653</v>
      </c>
      <c r="C235" s="8">
        <v>46153</v>
      </c>
      <c r="D235" s="2">
        <v>2001</v>
      </c>
      <c r="E235" s="2">
        <v>2</v>
      </c>
      <c r="F235" s="2">
        <v>20</v>
      </c>
      <c r="G235" s="2" t="s">
        <v>20</v>
      </c>
      <c r="H235" s="2" t="s">
        <v>47</v>
      </c>
      <c r="I235" s="2">
        <v>37</v>
      </c>
      <c r="J235" s="2" t="s">
        <v>28</v>
      </c>
      <c r="K235" s="8">
        <v>45559</v>
      </c>
      <c r="L235" s="2" t="s">
        <v>23</v>
      </c>
      <c r="M235" s="2" t="s">
        <v>50</v>
      </c>
      <c r="N235" s="2" t="s">
        <v>34</v>
      </c>
      <c r="O235" s="2">
        <v>18</v>
      </c>
      <c r="P235" s="2">
        <v>29</v>
      </c>
      <c r="Q235" s="2">
        <v>29</v>
      </c>
      <c r="R235" s="9" t="s">
        <v>26</v>
      </c>
      <c r="S235" s="9">
        <f t="shared" si="6"/>
        <v>36</v>
      </c>
      <c r="T235" s="10" t="str">
        <f t="shared" si="7"/>
        <v>High</v>
      </c>
    </row>
    <row r="236" spans="1:20">
      <c r="A236" s="2">
        <v>500240</v>
      </c>
      <c r="B236" s="2">
        <v>109458</v>
      </c>
      <c r="C236" s="8">
        <v>45835</v>
      </c>
      <c r="D236" s="2">
        <v>2011</v>
      </c>
      <c r="E236" s="2">
        <v>2</v>
      </c>
      <c r="F236" s="2">
        <v>10</v>
      </c>
      <c r="G236" s="2" t="s">
        <v>56</v>
      </c>
      <c r="H236" s="2" t="s">
        <v>21</v>
      </c>
      <c r="I236" s="2">
        <v>47</v>
      </c>
      <c r="J236" s="2" t="s">
        <v>32</v>
      </c>
      <c r="K236" s="8">
        <v>44953</v>
      </c>
      <c r="L236" s="2" t="s">
        <v>49</v>
      </c>
      <c r="M236" s="2" t="s">
        <v>42</v>
      </c>
      <c r="N236" s="2" t="s">
        <v>37</v>
      </c>
      <c r="O236" s="2">
        <v>32</v>
      </c>
      <c r="P236" s="2">
        <v>58</v>
      </c>
      <c r="Q236" s="2">
        <v>58</v>
      </c>
      <c r="R236" s="9" t="s">
        <v>26</v>
      </c>
      <c r="S236" s="9">
        <f t="shared" si="6"/>
        <v>64</v>
      </c>
      <c r="T236" s="10" t="str">
        <f t="shared" si="7"/>
        <v>Average</v>
      </c>
    </row>
    <row r="237" spans="1:20">
      <c r="A237" s="2">
        <v>500241</v>
      </c>
      <c r="B237" s="2">
        <v>104794</v>
      </c>
      <c r="C237" s="8">
        <v>45973</v>
      </c>
      <c r="D237" s="2">
        <v>2008</v>
      </c>
      <c r="E237" s="2">
        <v>1</v>
      </c>
      <c r="F237" s="2">
        <v>0</v>
      </c>
      <c r="G237" s="2" t="s">
        <v>20</v>
      </c>
      <c r="H237" s="2" t="s">
        <v>21</v>
      </c>
      <c r="I237" s="2">
        <v>30</v>
      </c>
      <c r="J237" s="2" t="s">
        <v>32</v>
      </c>
      <c r="K237" s="8">
        <v>44931</v>
      </c>
      <c r="L237" s="2" t="s">
        <v>23</v>
      </c>
      <c r="M237" s="2" t="s">
        <v>39</v>
      </c>
      <c r="N237" s="2" t="s">
        <v>25</v>
      </c>
      <c r="O237" s="2">
        <v>14</v>
      </c>
      <c r="P237" s="2">
        <v>14</v>
      </c>
      <c r="Q237" s="2">
        <v>14</v>
      </c>
      <c r="R237" s="9" t="s">
        <v>26</v>
      </c>
      <c r="S237" s="9">
        <f t="shared" si="6"/>
        <v>14</v>
      </c>
      <c r="T237" s="10" t="str">
        <f t="shared" si="7"/>
        <v>Low</v>
      </c>
    </row>
    <row r="238" spans="1:20">
      <c r="A238" s="2">
        <v>500242</v>
      </c>
      <c r="B238" s="2">
        <v>101714</v>
      </c>
      <c r="C238" s="8">
        <v>45579</v>
      </c>
      <c r="D238" s="2">
        <v>2004</v>
      </c>
      <c r="E238" s="2">
        <v>2</v>
      </c>
      <c r="F238" s="2">
        <v>0</v>
      </c>
      <c r="G238" s="2" t="s">
        <v>27</v>
      </c>
      <c r="H238" s="2" t="s">
        <v>40</v>
      </c>
      <c r="I238" s="2">
        <v>53</v>
      </c>
      <c r="J238" s="2" t="s">
        <v>48</v>
      </c>
      <c r="K238" s="8">
        <v>45758</v>
      </c>
      <c r="L238" s="2" t="s">
        <v>23</v>
      </c>
      <c r="M238" s="2" t="s">
        <v>46</v>
      </c>
      <c r="N238" s="2" t="s">
        <v>34</v>
      </c>
      <c r="O238" s="2">
        <v>35</v>
      </c>
      <c r="P238" s="2">
        <v>70</v>
      </c>
      <c r="Q238" s="2">
        <v>70</v>
      </c>
      <c r="R238" s="9" t="s">
        <v>30</v>
      </c>
      <c r="S238" s="9">
        <f t="shared" si="6"/>
        <v>70</v>
      </c>
      <c r="T238" s="10" t="str">
        <f t="shared" si="7"/>
        <v>Low</v>
      </c>
    </row>
    <row r="239" spans="1:20">
      <c r="A239" s="2">
        <v>500243</v>
      </c>
      <c r="B239" s="2">
        <v>109391</v>
      </c>
      <c r="C239" s="8">
        <v>45786</v>
      </c>
      <c r="D239" s="2">
        <v>2015</v>
      </c>
      <c r="E239" s="2">
        <v>1</v>
      </c>
      <c r="F239" s="2">
        <v>0</v>
      </c>
      <c r="G239" s="2" t="s">
        <v>20</v>
      </c>
      <c r="H239" s="2" t="s">
        <v>21</v>
      </c>
      <c r="I239" s="2">
        <v>36</v>
      </c>
      <c r="J239" s="2" t="s">
        <v>38</v>
      </c>
      <c r="K239" s="8">
        <v>45363</v>
      </c>
      <c r="L239" s="2" t="s">
        <v>23</v>
      </c>
      <c r="M239" s="2" t="s">
        <v>66</v>
      </c>
      <c r="N239" s="2" t="s">
        <v>34</v>
      </c>
      <c r="O239" s="2">
        <v>58</v>
      </c>
      <c r="P239" s="2">
        <v>58</v>
      </c>
      <c r="Q239" s="2">
        <v>58</v>
      </c>
      <c r="R239" s="9" t="s">
        <v>26</v>
      </c>
      <c r="S239" s="9">
        <f t="shared" si="6"/>
        <v>58</v>
      </c>
      <c r="T239" s="10" t="str">
        <f t="shared" si="7"/>
        <v>Low</v>
      </c>
    </row>
    <row r="240" spans="1:20">
      <c r="A240" s="2">
        <v>500244</v>
      </c>
      <c r="B240" s="2">
        <v>103669</v>
      </c>
      <c r="C240" s="8">
        <v>45924</v>
      </c>
      <c r="D240" s="2">
        <v>2013</v>
      </c>
      <c r="E240" s="2">
        <v>1</v>
      </c>
      <c r="F240" s="2">
        <v>0</v>
      </c>
      <c r="G240" s="2" t="s">
        <v>56</v>
      </c>
      <c r="H240" s="2" t="s">
        <v>21</v>
      </c>
      <c r="I240" s="2">
        <v>38</v>
      </c>
      <c r="J240" s="2" t="s">
        <v>35</v>
      </c>
      <c r="K240" s="8">
        <v>45582</v>
      </c>
      <c r="L240" s="2" t="s">
        <v>23</v>
      </c>
      <c r="M240" s="2" t="s">
        <v>53</v>
      </c>
      <c r="N240" s="2" t="s">
        <v>54</v>
      </c>
      <c r="O240" s="2">
        <v>7</v>
      </c>
      <c r="P240" s="2">
        <v>7</v>
      </c>
      <c r="Q240" s="2">
        <v>7</v>
      </c>
      <c r="R240" s="9" t="s">
        <v>26</v>
      </c>
      <c r="S240" s="9">
        <f t="shared" si="6"/>
        <v>7</v>
      </c>
      <c r="T240" s="10" t="str">
        <f t="shared" si="7"/>
        <v>Low</v>
      </c>
    </row>
    <row r="241" spans="1:20">
      <c r="A241" s="2">
        <v>500245</v>
      </c>
      <c r="B241" s="2">
        <v>103959</v>
      </c>
      <c r="C241" s="8">
        <v>45776</v>
      </c>
      <c r="D241" s="2">
        <v>2013</v>
      </c>
      <c r="E241" s="2">
        <v>2</v>
      </c>
      <c r="F241" s="2">
        <v>5</v>
      </c>
      <c r="G241" s="2" t="s">
        <v>56</v>
      </c>
      <c r="H241" s="2" t="s">
        <v>21</v>
      </c>
      <c r="I241" s="2">
        <v>22</v>
      </c>
      <c r="J241" s="2" t="s">
        <v>32</v>
      </c>
      <c r="K241" s="8">
        <v>45669</v>
      </c>
      <c r="L241" s="2" t="s">
        <v>23</v>
      </c>
      <c r="M241" s="2" t="s">
        <v>53</v>
      </c>
      <c r="N241" s="2" t="s">
        <v>54</v>
      </c>
      <c r="O241" s="2">
        <v>7</v>
      </c>
      <c r="P241" s="2">
        <v>13</v>
      </c>
      <c r="Q241" s="2">
        <v>13</v>
      </c>
      <c r="R241" s="9" t="s">
        <v>26</v>
      </c>
      <c r="S241" s="9">
        <f t="shared" si="6"/>
        <v>14</v>
      </c>
      <c r="T241" s="10" t="str">
        <f t="shared" si="7"/>
        <v>Low</v>
      </c>
    </row>
    <row r="242" spans="1:20">
      <c r="A242" s="2">
        <v>500246</v>
      </c>
      <c r="B242" s="2">
        <v>101327</v>
      </c>
      <c r="C242" s="8">
        <v>45555</v>
      </c>
      <c r="D242" s="2">
        <v>2018</v>
      </c>
      <c r="E242" s="2">
        <v>1</v>
      </c>
      <c r="F242" s="2">
        <v>0</v>
      </c>
      <c r="G242" s="2" t="s">
        <v>20</v>
      </c>
      <c r="H242" s="2" t="s">
        <v>21</v>
      </c>
      <c r="I242" s="2">
        <v>50</v>
      </c>
      <c r="J242" s="2" t="s">
        <v>55</v>
      </c>
      <c r="K242" s="8">
        <v>45195</v>
      </c>
      <c r="L242" s="2" t="s">
        <v>23</v>
      </c>
      <c r="M242" s="2" t="s">
        <v>64</v>
      </c>
      <c r="N242" s="2" t="s">
        <v>34</v>
      </c>
      <c r="O242" s="2">
        <v>85</v>
      </c>
      <c r="P242" s="2">
        <v>85</v>
      </c>
      <c r="Q242" s="2">
        <v>85</v>
      </c>
      <c r="R242" s="9" t="s">
        <v>30</v>
      </c>
      <c r="S242" s="9">
        <f t="shared" si="6"/>
        <v>85</v>
      </c>
      <c r="T242" s="10" t="str">
        <f t="shared" si="7"/>
        <v>Low</v>
      </c>
    </row>
    <row r="243" spans="1:20">
      <c r="A243" s="2">
        <v>500247</v>
      </c>
      <c r="B243" s="2">
        <v>102218</v>
      </c>
      <c r="C243" s="8">
        <v>45852</v>
      </c>
      <c r="D243" s="2">
        <v>2005</v>
      </c>
      <c r="E243" s="2">
        <v>3</v>
      </c>
      <c r="F243" s="2">
        <v>0</v>
      </c>
      <c r="G243" s="2" t="s">
        <v>56</v>
      </c>
      <c r="H243" s="2" t="s">
        <v>21</v>
      </c>
      <c r="I243" s="2">
        <v>65</v>
      </c>
      <c r="J243" s="2" t="s">
        <v>45</v>
      </c>
      <c r="K243" s="8">
        <v>45879</v>
      </c>
      <c r="L243" s="2" t="s">
        <v>23</v>
      </c>
      <c r="M243" s="2" t="s">
        <v>51</v>
      </c>
      <c r="N243" s="2" t="s">
        <v>25</v>
      </c>
      <c r="O243" s="2">
        <v>28</v>
      </c>
      <c r="P243" s="2">
        <v>84</v>
      </c>
      <c r="Q243" s="2">
        <v>84</v>
      </c>
      <c r="R243" s="9" t="s">
        <v>26</v>
      </c>
      <c r="S243" s="9">
        <f t="shared" si="6"/>
        <v>84</v>
      </c>
      <c r="T243" s="10" t="str">
        <f t="shared" si="7"/>
        <v>Low</v>
      </c>
    </row>
    <row r="244" spans="1:20">
      <c r="A244" s="2">
        <v>500248</v>
      </c>
      <c r="B244" s="2">
        <v>101098</v>
      </c>
      <c r="C244" s="8">
        <v>46016</v>
      </c>
      <c r="D244" s="2">
        <v>2005</v>
      </c>
      <c r="E244" s="2">
        <v>1</v>
      </c>
      <c r="F244" s="2">
        <v>15</v>
      </c>
      <c r="G244" s="2" t="s">
        <v>31</v>
      </c>
      <c r="H244" s="2" t="s">
        <v>21</v>
      </c>
      <c r="I244" s="2">
        <v>41</v>
      </c>
      <c r="J244" s="2" t="s">
        <v>35</v>
      </c>
      <c r="K244" s="8">
        <v>45745</v>
      </c>
      <c r="L244" s="2" t="s">
        <v>23</v>
      </c>
      <c r="M244" s="2" t="s">
        <v>51</v>
      </c>
      <c r="N244" s="2" t="s">
        <v>25</v>
      </c>
      <c r="O244" s="2">
        <v>28</v>
      </c>
      <c r="P244" s="2">
        <v>24</v>
      </c>
      <c r="Q244" s="2">
        <v>24</v>
      </c>
      <c r="R244" s="9" t="s">
        <v>26</v>
      </c>
      <c r="S244" s="9">
        <f t="shared" si="6"/>
        <v>28</v>
      </c>
      <c r="T244" s="10" t="str">
        <f t="shared" si="7"/>
        <v>High</v>
      </c>
    </row>
    <row r="245" spans="1:20">
      <c r="A245" s="2">
        <v>500249</v>
      </c>
      <c r="B245" s="2">
        <v>104925</v>
      </c>
      <c r="C245" s="8">
        <v>46014</v>
      </c>
      <c r="D245" s="2">
        <v>2014</v>
      </c>
      <c r="E245" s="2">
        <v>2</v>
      </c>
      <c r="F245" s="2">
        <v>0</v>
      </c>
      <c r="G245" s="2" t="s">
        <v>20</v>
      </c>
      <c r="H245" s="2" t="s">
        <v>21</v>
      </c>
      <c r="I245" s="2">
        <v>33</v>
      </c>
      <c r="J245" s="2" t="s">
        <v>32</v>
      </c>
      <c r="K245" s="8">
        <v>45986</v>
      </c>
      <c r="L245" s="2" t="s">
        <v>23</v>
      </c>
      <c r="M245" s="2" t="s">
        <v>29</v>
      </c>
      <c r="N245" s="2" t="s">
        <v>25</v>
      </c>
      <c r="O245" s="2">
        <v>42</v>
      </c>
      <c r="P245" s="2">
        <v>84</v>
      </c>
      <c r="Q245" s="2">
        <v>84</v>
      </c>
      <c r="R245" s="9" t="s">
        <v>26</v>
      </c>
      <c r="S245" s="9">
        <f t="shared" si="6"/>
        <v>84</v>
      </c>
      <c r="T245" s="10" t="str">
        <f t="shared" si="7"/>
        <v>Low</v>
      </c>
    </row>
    <row r="246" spans="1:20">
      <c r="A246" s="2">
        <v>500250</v>
      </c>
      <c r="B246" s="2">
        <v>105894</v>
      </c>
      <c r="C246" s="8">
        <v>45406</v>
      </c>
      <c r="D246" s="2">
        <v>2004</v>
      </c>
      <c r="E246" s="2">
        <v>1</v>
      </c>
      <c r="F246" s="2">
        <v>5</v>
      </c>
      <c r="G246" s="2" t="s">
        <v>20</v>
      </c>
      <c r="H246" s="2" t="s">
        <v>21</v>
      </c>
      <c r="I246" s="2">
        <v>33</v>
      </c>
      <c r="J246" s="2" t="s">
        <v>43</v>
      </c>
      <c r="K246" s="8">
        <v>45300</v>
      </c>
      <c r="L246" s="2" t="s">
        <v>23</v>
      </c>
      <c r="M246" s="2" t="s">
        <v>46</v>
      </c>
      <c r="N246" s="2" t="s">
        <v>34</v>
      </c>
      <c r="O246" s="2">
        <v>35</v>
      </c>
      <c r="P246" s="2">
        <v>33</v>
      </c>
      <c r="Q246" s="2">
        <v>33</v>
      </c>
      <c r="R246" s="9" t="s">
        <v>30</v>
      </c>
      <c r="S246" s="9">
        <f t="shared" si="6"/>
        <v>35</v>
      </c>
      <c r="T246" s="10" t="str">
        <f t="shared" si="7"/>
        <v>Low</v>
      </c>
    </row>
    <row r="247" spans="1:20">
      <c r="A247" s="2">
        <v>500251</v>
      </c>
      <c r="B247" s="2">
        <v>105319</v>
      </c>
      <c r="C247" s="8">
        <v>45676</v>
      </c>
      <c r="D247" s="2">
        <v>2019</v>
      </c>
      <c r="E247" s="2">
        <v>1</v>
      </c>
      <c r="F247" s="2">
        <v>0</v>
      </c>
      <c r="G247" s="2" t="s">
        <v>31</v>
      </c>
      <c r="H247" s="2" t="s">
        <v>47</v>
      </c>
      <c r="I247" s="2">
        <v>54</v>
      </c>
      <c r="J247" s="2" t="s">
        <v>28</v>
      </c>
      <c r="K247" s="8">
        <v>45162</v>
      </c>
      <c r="L247" s="2" t="s">
        <v>49</v>
      </c>
      <c r="M247" s="2" t="s">
        <v>60</v>
      </c>
      <c r="N247" s="2" t="s">
        <v>34</v>
      </c>
      <c r="O247" s="2">
        <v>260</v>
      </c>
      <c r="P247" s="2">
        <v>260</v>
      </c>
      <c r="Q247" s="2">
        <v>260</v>
      </c>
      <c r="R247" s="9" t="s">
        <v>26</v>
      </c>
      <c r="S247" s="9">
        <f t="shared" si="6"/>
        <v>260</v>
      </c>
      <c r="T247" s="10" t="str">
        <f t="shared" si="7"/>
        <v>Low</v>
      </c>
    </row>
    <row r="248" spans="1:20">
      <c r="A248" s="2">
        <v>500252</v>
      </c>
      <c r="B248" s="2">
        <v>102797</v>
      </c>
      <c r="C248" s="8">
        <v>45325</v>
      </c>
      <c r="D248" s="2">
        <v>2004</v>
      </c>
      <c r="E248" s="2">
        <v>2</v>
      </c>
      <c r="F248" s="2">
        <v>5</v>
      </c>
      <c r="G248" s="2" t="s">
        <v>31</v>
      </c>
      <c r="H248" s="2" t="s">
        <v>21</v>
      </c>
      <c r="I248" s="2">
        <v>59</v>
      </c>
      <c r="J248" s="2" t="s">
        <v>32</v>
      </c>
      <c r="K248" s="8">
        <v>45862</v>
      </c>
      <c r="L248" s="2" t="s">
        <v>49</v>
      </c>
      <c r="M248" s="2" t="s">
        <v>46</v>
      </c>
      <c r="N248" s="2" t="s">
        <v>34</v>
      </c>
      <c r="O248" s="2">
        <v>35</v>
      </c>
      <c r="P248" s="2">
        <v>66</v>
      </c>
      <c r="Q248" s="2">
        <v>66</v>
      </c>
      <c r="R248" s="9" t="s">
        <v>30</v>
      </c>
      <c r="S248" s="9">
        <f t="shared" si="6"/>
        <v>70</v>
      </c>
      <c r="T248" s="10" t="str">
        <f t="shared" si="7"/>
        <v>Low</v>
      </c>
    </row>
    <row r="249" spans="1:20">
      <c r="A249" s="2">
        <v>500253</v>
      </c>
      <c r="B249" s="2">
        <v>100061</v>
      </c>
      <c r="C249" s="8">
        <v>45838</v>
      </c>
      <c r="D249" s="2">
        <v>2003</v>
      </c>
      <c r="E249" s="2">
        <v>3</v>
      </c>
      <c r="F249" s="2">
        <v>5</v>
      </c>
      <c r="G249" s="2" t="s">
        <v>31</v>
      </c>
      <c r="H249" s="2" t="s">
        <v>21</v>
      </c>
      <c r="I249" s="2">
        <v>62</v>
      </c>
      <c r="J249" s="2" t="s">
        <v>32</v>
      </c>
      <c r="K249" s="8">
        <v>45322</v>
      </c>
      <c r="L249" s="2" t="s">
        <v>23</v>
      </c>
      <c r="M249" s="2" t="s">
        <v>24</v>
      </c>
      <c r="N249" s="2" t="s">
        <v>25</v>
      </c>
      <c r="O249" s="2">
        <v>9</v>
      </c>
      <c r="P249" s="2">
        <v>26</v>
      </c>
      <c r="Q249" s="2">
        <v>26</v>
      </c>
      <c r="R249" s="9" t="s">
        <v>26</v>
      </c>
      <c r="S249" s="9">
        <f t="shared" si="6"/>
        <v>27</v>
      </c>
      <c r="T249" s="10" t="str">
        <f t="shared" si="7"/>
        <v>Low</v>
      </c>
    </row>
    <row r="250" spans="1:20">
      <c r="A250" s="2">
        <v>500254</v>
      </c>
      <c r="B250" s="2">
        <v>102612</v>
      </c>
      <c r="C250" s="8">
        <v>45501</v>
      </c>
      <c r="D250" s="2">
        <v>2008</v>
      </c>
      <c r="E250" s="2">
        <v>1</v>
      </c>
      <c r="F250" s="2">
        <v>5</v>
      </c>
      <c r="G250" s="2" t="s">
        <v>56</v>
      </c>
      <c r="H250" s="2" t="s">
        <v>21</v>
      </c>
      <c r="I250" s="2">
        <v>62</v>
      </c>
      <c r="J250" s="2" t="s">
        <v>38</v>
      </c>
      <c r="K250" s="8">
        <v>45758</v>
      </c>
      <c r="L250" s="2" t="s">
        <v>41</v>
      </c>
      <c r="M250" s="2" t="s">
        <v>39</v>
      </c>
      <c r="N250" s="2" t="s">
        <v>25</v>
      </c>
      <c r="O250" s="2">
        <v>14</v>
      </c>
      <c r="P250" s="2">
        <v>13</v>
      </c>
      <c r="Q250" s="2">
        <v>13</v>
      </c>
      <c r="R250" s="9" t="s">
        <v>30</v>
      </c>
      <c r="S250" s="9">
        <f t="shared" si="6"/>
        <v>14</v>
      </c>
      <c r="T250" s="10" t="str">
        <f t="shared" si="7"/>
        <v>Low</v>
      </c>
    </row>
    <row r="251" spans="1:20">
      <c r="A251" s="2">
        <v>500255</v>
      </c>
      <c r="B251" s="2">
        <v>109592</v>
      </c>
      <c r="C251" s="8">
        <v>46115</v>
      </c>
      <c r="D251" s="2">
        <v>2001</v>
      </c>
      <c r="E251" s="2">
        <v>3</v>
      </c>
      <c r="F251" s="2">
        <v>10</v>
      </c>
      <c r="G251" s="2" t="s">
        <v>20</v>
      </c>
      <c r="H251" s="2" t="s">
        <v>21</v>
      </c>
      <c r="I251" s="2">
        <v>26</v>
      </c>
      <c r="J251" s="2" t="s">
        <v>28</v>
      </c>
      <c r="K251" s="8">
        <v>45124</v>
      </c>
      <c r="L251" s="2" t="s">
        <v>23</v>
      </c>
      <c r="M251" s="2" t="s">
        <v>50</v>
      </c>
      <c r="N251" s="2" t="s">
        <v>34</v>
      </c>
      <c r="O251" s="2">
        <v>18</v>
      </c>
      <c r="P251" s="2">
        <v>49</v>
      </c>
      <c r="Q251" s="2">
        <v>49</v>
      </c>
      <c r="R251" s="9" t="s">
        <v>26</v>
      </c>
      <c r="S251" s="9">
        <f t="shared" si="6"/>
        <v>54</v>
      </c>
      <c r="T251" s="10" t="str">
        <f t="shared" si="7"/>
        <v>Average</v>
      </c>
    </row>
    <row r="252" spans="1:20">
      <c r="A252" s="2">
        <v>500256</v>
      </c>
      <c r="B252" s="2">
        <v>103944</v>
      </c>
      <c r="C252" s="8">
        <v>45826</v>
      </c>
      <c r="D252" s="2">
        <v>2013</v>
      </c>
      <c r="E252" s="2">
        <v>4</v>
      </c>
      <c r="F252" s="2">
        <v>0</v>
      </c>
      <c r="G252" s="2" t="s">
        <v>56</v>
      </c>
      <c r="H252" s="2" t="s">
        <v>21</v>
      </c>
      <c r="I252" s="2">
        <v>64</v>
      </c>
      <c r="J252" s="2" t="s">
        <v>38</v>
      </c>
      <c r="K252" s="8">
        <v>45987</v>
      </c>
      <c r="L252" s="2" t="s">
        <v>41</v>
      </c>
      <c r="M252" s="2" t="s">
        <v>53</v>
      </c>
      <c r="N252" s="2" t="s">
        <v>54</v>
      </c>
      <c r="O252" s="2">
        <v>7</v>
      </c>
      <c r="P252" s="2">
        <v>28</v>
      </c>
      <c r="Q252" s="2">
        <v>28</v>
      </c>
      <c r="R252" s="9" t="s">
        <v>26</v>
      </c>
      <c r="S252" s="9">
        <f t="shared" si="6"/>
        <v>28</v>
      </c>
      <c r="T252" s="10" t="str">
        <f t="shared" si="7"/>
        <v>Low</v>
      </c>
    </row>
    <row r="253" spans="1:20">
      <c r="A253" s="2">
        <v>500257</v>
      </c>
      <c r="B253" s="2">
        <v>102347</v>
      </c>
      <c r="C253" s="8">
        <v>45638</v>
      </c>
      <c r="D253" s="2">
        <v>2014</v>
      </c>
      <c r="E253" s="2">
        <v>1</v>
      </c>
      <c r="F253" s="2">
        <v>0</v>
      </c>
      <c r="G253" s="2" t="s">
        <v>27</v>
      </c>
      <c r="H253" s="2" t="s">
        <v>21</v>
      </c>
      <c r="I253" s="2">
        <v>41</v>
      </c>
      <c r="J253" s="2" t="s">
        <v>45</v>
      </c>
      <c r="K253" s="8">
        <v>45210</v>
      </c>
      <c r="L253" s="2" t="s">
        <v>23</v>
      </c>
      <c r="M253" s="2" t="s">
        <v>29</v>
      </c>
      <c r="N253" s="2" t="s">
        <v>25</v>
      </c>
      <c r="O253" s="2">
        <v>42</v>
      </c>
      <c r="P253" s="2">
        <v>42</v>
      </c>
      <c r="Q253" s="2">
        <v>42</v>
      </c>
      <c r="R253" s="9" t="s">
        <v>30</v>
      </c>
      <c r="S253" s="9">
        <f t="shared" si="6"/>
        <v>42</v>
      </c>
      <c r="T253" s="10" t="str">
        <f t="shared" si="7"/>
        <v>Low</v>
      </c>
    </row>
    <row r="254" spans="1:20">
      <c r="A254" s="2">
        <v>500258</v>
      </c>
      <c r="B254" s="2">
        <v>106912</v>
      </c>
      <c r="C254" s="8">
        <v>45924</v>
      </c>
      <c r="D254" s="2">
        <v>2007</v>
      </c>
      <c r="E254" s="2">
        <v>1</v>
      </c>
      <c r="F254" s="2">
        <v>0</v>
      </c>
      <c r="G254" s="2" t="s">
        <v>20</v>
      </c>
      <c r="H254" s="2" t="s">
        <v>21</v>
      </c>
      <c r="I254" s="2">
        <v>55</v>
      </c>
      <c r="J254" s="2" t="s">
        <v>55</v>
      </c>
      <c r="K254" s="8">
        <v>45945</v>
      </c>
      <c r="L254" s="2" t="s">
        <v>49</v>
      </c>
      <c r="M254" s="2" t="s">
        <v>61</v>
      </c>
      <c r="N254" s="2" t="s">
        <v>34</v>
      </c>
      <c r="O254" s="2">
        <v>75</v>
      </c>
      <c r="P254" s="2">
        <v>75</v>
      </c>
      <c r="Q254" s="2">
        <v>75</v>
      </c>
      <c r="R254" s="9" t="s">
        <v>26</v>
      </c>
      <c r="S254" s="9">
        <f t="shared" si="6"/>
        <v>75</v>
      </c>
      <c r="T254" s="10" t="str">
        <f t="shared" si="7"/>
        <v>Low</v>
      </c>
    </row>
    <row r="255" spans="1:20">
      <c r="A255" s="2">
        <v>500259</v>
      </c>
      <c r="B255" s="2">
        <v>104801</v>
      </c>
      <c r="C255" s="8">
        <v>45471</v>
      </c>
      <c r="D255" s="2">
        <v>2006</v>
      </c>
      <c r="E255" s="2">
        <v>2</v>
      </c>
      <c r="F255" s="2">
        <v>10</v>
      </c>
      <c r="G255" s="2" t="s">
        <v>20</v>
      </c>
      <c r="H255" s="2" t="s">
        <v>47</v>
      </c>
      <c r="I255" s="2">
        <v>47</v>
      </c>
      <c r="J255" s="2" t="s">
        <v>32</v>
      </c>
      <c r="K255" s="8">
        <v>45160</v>
      </c>
      <c r="L255" s="2" t="s">
        <v>41</v>
      </c>
      <c r="M255" s="2" t="s">
        <v>57</v>
      </c>
      <c r="N255" s="2" t="s">
        <v>34</v>
      </c>
      <c r="O255" s="2">
        <v>48</v>
      </c>
      <c r="P255" s="2">
        <v>86</v>
      </c>
      <c r="Q255" s="2">
        <v>86</v>
      </c>
      <c r="R255" s="9" t="s">
        <v>30</v>
      </c>
      <c r="S255" s="9">
        <f t="shared" si="6"/>
        <v>96</v>
      </c>
      <c r="T255" s="10" t="str">
        <f t="shared" si="7"/>
        <v>Average</v>
      </c>
    </row>
    <row r="256" spans="1:20">
      <c r="A256" s="2">
        <v>500260</v>
      </c>
      <c r="B256" s="2">
        <v>102947</v>
      </c>
      <c r="C256" s="8">
        <v>45371</v>
      </c>
      <c r="D256" s="2">
        <v>2013</v>
      </c>
      <c r="E256" s="2">
        <v>1</v>
      </c>
      <c r="F256" s="2">
        <v>0</v>
      </c>
      <c r="G256" s="2" t="s">
        <v>20</v>
      </c>
      <c r="H256" s="2" t="s">
        <v>21</v>
      </c>
      <c r="I256" s="2">
        <v>46</v>
      </c>
      <c r="J256" s="2" t="s">
        <v>52</v>
      </c>
      <c r="K256" s="8">
        <v>45133</v>
      </c>
      <c r="L256" s="2" t="s">
        <v>23</v>
      </c>
      <c r="M256" s="2" t="s">
        <v>53</v>
      </c>
      <c r="N256" s="2" t="s">
        <v>54</v>
      </c>
      <c r="O256" s="2">
        <v>7</v>
      </c>
      <c r="P256" s="2">
        <v>7</v>
      </c>
      <c r="Q256" s="2">
        <v>7</v>
      </c>
      <c r="R256" s="9" t="s">
        <v>30</v>
      </c>
      <c r="S256" s="9">
        <f t="shared" si="6"/>
        <v>7</v>
      </c>
      <c r="T256" s="10" t="str">
        <f t="shared" si="7"/>
        <v>Low</v>
      </c>
    </row>
    <row r="257" spans="1:20">
      <c r="A257" s="2">
        <v>500261</v>
      </c>
      <c r="B257" s="2">
        <v>102880</v>
      </c>
      <c r="C257" s="8">
        <v>45367</v>
      </c>
      <c r="D257" s="2">
        <v>2009</v>
      </c>
      <c r="E257" s="2">
        <v>3</v>
      </c>
      <c r="F257" s="2">
        <v>0</v>
      </c>
      <c r="G257" s="2" t="s">
        <v>31</v>
      </c>
      <c r="H257" s="2" t="s">
        <v>21</v>
      </c>
      <c r="I257" s="2">
        <v>64</v>
      </c>
      <c r="J257" s="2" t="s">
        <v>52</v>
      </c>
      <c r="K257" s="8">
        <v>45341</v>
      </c>
      <c r="L257" s="2" t="s">
        <v>23</v>
      </c>
      <c r="M257" s="2" t="s">
        <v>65</v>
      </c>
      <c r="N257" s="2" t="s">
        <v>59</v>
      </c>
      <c r="O257" s="2">
        <v>120</v>
      </c>
      <c r="P257" s="2">
        <v>360</v>
      </c>
      <c r="Q257" s="2">
        <v>360</v>
      </c>
      <c r="R257" s="9" t="s">
        <v>30</v>
      </c>
      <c r="S257" s="9">
        <f t="shared" si="6"/>
        <v>360</v>
      </c>
      <c r="T257" s="10" t="str">
        <f t="shared" si="7"/>
        <v>Low</v>
      </c>
    </row>
    <row r="258" spans="1:20">
      <c r="A258" s="2">
        <v>500262</v>
      </c>
      <c r="B258" s="2">
        <v>105309</v>
      </c>
      <c r="C258" s="8">
        <v>45795</v>
      </c>
      <c r="D258" s="2">
        <v>2008</v>
      </c>
      <c r="E258" s="2">
        <v>1</v>
      </c>
      <c r="F258" s="2">
        <v>10</v>
      </c>
      <c r="G258" s="2" t="s">
        <v>31</v>
      </c>
      <c r="H258" s="2" t="s">
        <v>21</v>
      </c>
      <c r="I258" s="2">
        <v>21</v>
      </c>
      <c r="J258" s="2" t="s">
        <v>38</v>
      </c>
      <c r="K258" s="8">
        <v>45079</v>
      </c>
      <c r="L258" s="2" t="s">
        <v>23</v>
      </c>
      <c r="M258" s="2" t="s">
        <v>39</v>
      </c>
      <c r="N258" s="2" t="s">
        <v>25</v>
      </c>
      <c r="O258" s="2">
        <v>14</v>
      </c>
      <c r="P258" s="2">
        <v>13</v>
      </c>
      <c r="Q258" s="2">
        <v>13</v>
      </c>
      <c r="R258" s="9" t="s">
        <v>26</v>
      </c>
      <c r="S258" s="9">
        <f t="shared" ref="S258:S321" si="8">SUM(E258*O258)</f>
        <v>14</v>
      </c>
      <c r="T258" s="10" t="str">
        <f t="shared" ref="T258:T321" si="9">IF(F258&lt;=5,"Low",IF(F258&lt;=10,"Average",IF(F258&gt;10,"High")))</f>
        <v>Average</v>
      </c>
    </row>
    <row r="259" spans="1:20">
      <c r="A259" s="2">
        <v>500263</v>
      </c>
      <c r="B259" s="2">
        <v>109946</v>
      </c>
      <c r="C259" s="8">
        <v>46062</v>
      </c>
      <c r="D259" s="2">
        <v>2008</v>
      </c>
      <c r="E259" s="2">
        <v>3</v>
      </c>
      <c r="F259" s="2">
        <v>0</v>
      </c>
      <c r="G259" s="2" t="s">
        <v>20</v>
      </c>
      <c r="H259" s="2" t="s">
        <v>21</v>
      </c>
      <c r="I259" s="2">
        <v>33</v>
      </c>
      <c r="J259" s="2" t="s">
        <v>43</v>
      </c>
      <c r="K259" s="8">
        <v>45918</v>
      </c>
      <c r="L259" s="2" t="s">
        <v>23</v>
      </c>
      <c r="M259" s="2" t="s">
        <v>39</v>
      </c>
      <c r="N259" s="2" t="s">
        <v>25</v>
      </c>
      <c r="O259" s="2">
        <v>14</v>
      </c>
      <c r="P259" s="2">
        <v>42</v>
      </c>
      <c r="Q259" s="2">
        <v>42</v>
      </c>
      <c r="R259" s="9" t="s">
        <v>26</v>
      </c>
      <c r="S259" s="9">
        <f t="shared" si="8"/>
        <v>42</v>
      </c>
      <c r="T259" s="10" t="str">
        <f t="shared" si="9"/>
        <v>Low</v>
      </c>
    </row>
    <row r="260" spans="1:20">
      <c r="A260" s="2">
        <v>500264</v>
      </c>
      <c r="B260" s="2">
        <v>108067</v>
      </c>
      <c r="C260" s="8">
        <v>45484</v>
      </c>
      <c r="D260" s="2">
        <v>2017</v>
      </c>
      <c r="E260" s="2">
        <v>5</v>
      </c>
      <c r="F260" s="2">
        <v>10</v>
      </c>
      <c r="G260" s="2" t="s">
        <v>31</v>
      </c>
      <c r="H260" s="2" t="s">
        <v>21</v>
      </c>
      <c r="I260" s="2">
        <v>28</v>
      </c>
      <c r="J260" s="2" t="s">
        <v>22</v>
      </c>
      <c r="K260" s="8">
        <v>45299</v>
      </c>
      <c r="L260" s="2" t="s">
        <v>41</v>
      </c>
      <c r="M260" s="2" t="s">
        <v>44</v>
      </c>
      <c r="N260" s="2" t="s">
        <v>25</v>
      </c>
      <c r="O260" s="2">
        <v>11</v>
      </c>
      <c r="P260" s="2">
        <v>50</v>
      </c>
      <c r="Q260" s="2">
        <v>50</v>
      </c>
      <c r="R260" s="9" t="s">
        <v>30</v>
      </c>
      <c r="S260" s="9">
        <f t="shared" si="8"/>
        <v>55</v>
      </c>
      <c r="T260" s="10" t="str">
        <f t="shared" si="9"/>
        <v>Average</v>
      </c>
    </row>
    <row r="261" spans="1:20">
      <c r="A261" s="2">
        <v>500265</v>
      </c>
      <c r="B261" s="2">
        <v>105435</v>
      </c>
      <c r="C261" s="8">
        <v>45948</v>
      </c>
      <c r="D261" s="2">
        <v>2001</v>
      </c>
      <c r="E261" s="2">
        <v>2</v>
      </c>
      <c r="F261" s="2">
        <v>0</v>
      </c>
      <c r="G261" s="2" t="s">
        <v>20</v>
      </c>
      <c r="H261" s="2" t="s">
        <v>21</v>
      </c>
      <c r="I261" s="2">
        <v>43</v>
      </c>
      <c r="J261" s="2" t="s">
        <v>45</v>
      </c>
      <c r="K261" s="8">
        <v>44979</v>
      </c>
      <c r="L261" s="2" t="s">
        <v>23</v>
      </c>
      <c r="M261" s="2" t="s">
        <v>50</v>
      </c>
      <c r="N261" s="2" t="s">
        <v>34</v>
      </c>
      <c r="O261" s="2">
        <v>18</v>
      </c>
      <c r="P261" s="2">
        <v>36</v>
      </c>
      <c r="Q261" s="2">
        <v>36</v>
      </c>
      <c r="R261" s="9" t="s">
        <v>26</v>
      </c>
      <c r="S261" s="9">
        <f t="shared" si="8"/>
        <v>36</v>
      </c>
      <c r="T261" s="10" t="str">
        <f t="shared" si="9"/>
        <v>Low</v>
      </c>
    </row>
    <row r="262" spans="1:20">
      <c r="A262" s="2">
        <v>500266</v>
      </c>
      <c r="B262" s="2">
        <v>100715</v>
      </c>
      <c r="C262" s="8">
        <v>45324</v>
      </c>
      <c r="D262" s="2">
        <v>2010</v>
      </c>
      <c r="E262" s="2">
        <v>1</v>
      </c>
      <c r="F262" s="2">
        <v>30</v>
      </c>
      <c r="G262" s="2" t="s">
        <v>20</v>
      </c>
      <c r="H262" s="2" t="s">
        <v>21</v>
      </c>
      <c r="I262" s="2">
        <v>62</v>
      </c>
      <c r="J262" s="2" t="s">
        <v>32</v>
      </c>
      <c r="K262" s="8">
        <v>45477</v>
      </c>
      <c r="L262" s="2" t="s">
        <v>23</v>
      </c>
      <c r="M262" s="2" t="s">
        <v>58</v>
      </c>
      <c r="N262" s="2" t="s">
        <v>59</v>
      </c>
      <c r="O262" s="2">
        <v>55</v>
      </c>
      <c r="P262" s="2">
        <v>38</v>
      </c>
      <c r="Q262" s="2">
        <v>38</v>
      </c>
      <c r="R262" s="9" t="s">
        <v>30</v>
      </c>
      <c r="S262" s="9">
        <f t="shared" si="8"/>
        <v>55</v>
      </c>
      <c r="T262" s="10" t="str">
        <f t="shared" si="9"/>
        <v>High</v>
      </c>
    </row>
    <row r="263" spans="1:20">
      <c r="A263" s="2">
        <v>500267</v>
      </c>
      <c r="B263" s="2">
        <v>106864</v>
      </c>
      <c r="C263" s="8">
        <v>45597</v>
      </c>
      <c r="D263" s="2">
        <v>2008</v>
      </c>
      <c r="E263" s="2">
        <v>1</v>
      </c>
      <c r="F263" s="2">
        <v>5</v>
      </c>
      <c r="G263" s="2" t="s">
        <v>20</v>
      </c>
      <c r="H263" s="2" t="s">
        <v>21</v>
      </c>
      <c r="I263" s="2">
        <v>44</v>
      </c>
      <c r="J263" s="2" t="s">
        <v>22</v>
      </c>
      <c r="K263" s="8">
        <v>45562</v>
      </c>
      <c r="L263" s="2" t="s">
        <v>23</v>
      </c>
      <c r="M263" s="2" t="s">
        <v>39</v>
      </c>
      <c r="N263" s="2" t="s">
        <v>25</v>
      </c>
      <c r="O263" s="2">
        <v>14</v>
      </c>
      <c r="P263" s="2">
        <v>13</v>
      </c>
      <c r="Q263" s="2">
        <v>13</v>
      </c>
      <c r="R263" s="9" t="s">
        <v>30</v>
      </c>
      <c r="S263" s="9">
        <f t="shared" si="8"/>
        <v>14</v>
      </c>
      <c r="T263" s="10" t="str">
        <f t="shared" si="9"/>
        <v>Low</v>
      </c>
    </row>
    <row r="264" spans="1:20">
      <c r="A264" s="2">
        <v>500268</v>
      </c>
      <c r="B264" s="2">
        <v>101823</v>
      </c>
      <c r="C264" s="8">
        <v>45856</v>
      </c>
      <c r="D264" s="2">
        <v>2005</v>
      </c>
      <c r="E264" s="2">
        <v>1</v>
      </c>
      <c r="F264" s="2">
        <v>10</v>
      </c>
      <c r="G264" s="2" t="s">
        <v>20</v>
      </c>
      <c r="H264" s="2" t="s">
        <v>21</v>
      </c>
      <c r="I264" s="2">
        <v>32</v>
      </c>
      <c r="J264" s="2" t="s">
        <v>43</v>
      </c>
      <c r="K264" s="8">
        <v>45670</v>
      </c>
      <c r="L264" s="2" t="s">
        <v>41</v>
      </c>
      <c r="M264" s="2" t="s">
        <v>51</v>
      </c>
      <c r="N264" s="2" t="s">
        <v>25</v>
      </c>
      <c r="O264" s="2">
        <v>28</v>
      </c>
      <c r="P264" s="2">
        <v>25</v>
      </c>
      <c r="Q264" s="2">
        <v>25</v>
      </c>
      <c r="R264" s="9" t="s">
        <v>26</v>
      </c>
      <c r="S264" s="9">
        <f t="shared" si="8"/>
        <v>28</v>
      </c>
      <c r="T264" s="10" t="str">
        <f t="shared" si="9"/>
        <v>Average</v>
      </c>
    </row>
    <row r="265" spans="1:20">
      <c r="A265" s="2">
        <v>500269</v>
      </c>
      <c r="B265" s="2">
        <v>108672</v>
      </c>
      <c r="C265" s="8">
        <v>46005</v>
      </c>
      <c r="D265" s="2">
        <v>2005</v>
      </c>
      <c r="E265" s="2">
        <v>4</v>
      </c>
      <c r="F265" s="2">
        <v>5</v>
      </c>
      <c r="G265" s="2" t="s">
        <v>20</v>
      </c>
      <c r="H265" s="2" t="s">
        <v>21</v>
      </c>
      <c r="I265" s="2">
        <v>21</v>
      </c>
      <c r="J265" s="2" t="s">
        <v>52</v>
      </c>
      <c r="K265" s="8">
        <v>45096</v>
      </c>
      <c r="L265" s="2" t="s">
        <v>23</v>
      </c>
      <c r="M265" s="2" t="s">
        <v>51</v>
      </c>
      <c r="N265" s="2" t="s">
        <v>25</v>
      </c>
      <c r="O265" s="2">
        <v>28</v>
      </c>
      <c r="P265" s="2">
        <v>106</v>
      </c>
      <c r="Q265" s="2">
        <v>106</v>
      </c>
      <c r="R265" s="9" t="s">
        <v>26</v>
      </c>
      <c r="S265" s="9">
        <f t="shared" si="8"/>
        <v>112</v>
      </c>
      <c r="T265" s="10" t="str">
        <f t="shared" si="9"/>
        <v>Low</v>
      </c>
    </row>
    <row r="266" spans="1:20">
      <c r="A266" s="2">
        <v>500270</v>
      </c>
      <c r="B266" s="2">
        <v>105282</v>
      </c>
      <c r="C266" s="8">
        <v>46131</v>
      </c>
      <c r="D266" s="2">
        <v>2008</v>
      </c>
      <c r="E266" s="2">
        <v>2</v>
      </c>
      <c r="F266" s="2">
        <v>5</v>
      </c>
      <c r="G266" s="2" t="s">
        <v>20</v>
      </c>
      <c r="H266" s="2" t="s">
        <v>40</v>
      </c>
      <c r="I266" s="2">
        <v>52</v>
      </c>
      <c r="J266" s="2" t="s">
        <v>55</v>
      </c>
      <c r="K266" s="8">
        <v>45746</v>
      </c>
      <c r="L266" s="2" t="s">
        <v>49</v>
      </c>
      <c r="M266" s="2" t="s">
        <v>39</v>
      </c>
      <c r="N266" s="2" t="s">
        <v>25</v>
      </c>
      <c r="O266" s="2">
        <v>14</v>
      </c>
      <c r="P266" s="2">
        <v>27</v>
      </c>
      <c r="Q266" s="2">
        <v>27</v>
      </c>
      <c r="R266" s="9" t="s">
        <v>26</v>
      </c>
      <c r="S266" s="9">
        <f t="shared" si="8"/>
        <v>28</v>
      </c>
      <c r="T266" s="10" t="str">
        <f t="shared" si="9"/>
        <v>Low</v>
      </c>
    </row>
    <row r="267" spans="1:20">
      <c r="A267" s="2">
        <v>500271</v>
      </c>
      <c r="B267" s="2">
        <v>101406</v>
      </c>
      <c r="C267" s="8">
        <v>45838</v>
      </c>
      <c r="D267" s="2">
        <v>2001</v>
      </c>
      <c r="E267" s="2">
        <v>1</v>
      </c>
      <c r="F267" s="2">
        <v>0</v>
      </c>
      <c r="G267" s="2" t="s">
        <v>20</v>
      </c>
      <c r="H267" s="2" t="s">
        <v>21</v>
      </c>
      <c r="I267" s="2">
        <v>25</v>
      </c>
      <c r="J267" s="2" t="s">
        <v>38</v>
      </c>
      <c r="K267" s="8">
        <v>45258</v>
      </c>
      <c r="L267" s="2" t="s">
        <v>41</v>
      </c>
      <c r="M267" s="2" t="s">
        <v>50</v>
      </c>
      <c r="N267" s="2" t="s">
        <v>34</v>
      </c>
      <c r="O267" s="2">
        <v>18</v>
      </c>
      <c r="P267" s="2">
        <v>18</v>
      </c>
      <c r="Q267" s="2">
        <v>18</v>
      </c>
      <c r="R267" s="9" t="s">
        <v>26</v>
      </c>
      <c r="S267" s="9">
        <f t="shared" si="8"/>
        <v>18</v>
      </c>
      <c r="T267" s="10" t="str">
        <f t="shared" si="9"/>
        <v>Low</v>
      </c>
    </row>
    <row r="268" spans="1:20">
      <c r="A268" s="2">
        <v>500272</v>
      </c>
      <c r="B268" s="2">
        <v>102743</v>
      </c>
      <c r="C268" s="8">
        <v>45691</v>
      </c>
      <c r="D268" s="2">
        <v>2008</v>
      </c>
      <c r="E268" s="2">
        <v>1</v>
      </c>
      <c r="F268" s="2">
        <v>5</v>
      </c>
      <c r="G268" s="2" t="s">
        <v>27</v>
      </c>
      <c r="H268" s="2" t="s">
        <v>21</v>
      </c>
      <c r="I268" s="2">
        <v>42</v>
      </c>
      <c r="J268" s="2" t="s">
        <v>22</v>
      </c>
      <c r="K268" s="8">
        <v>45226</v>
      </c>
      <c r="L268" s="2" t="s">
        <v>49</v>
      </c>
      <c r="M268" s="2" t="s">
        <v>39</v>
      </c>
      <c r="N268" s="2" t="s">
        <v>25</v>
      </c>
      <c r="O268" s="2">
        <v>14</v>
      </c>
      <c r="P268" s="2">
        <v>13</v>
      </c>
      <c r="Q268" s="2">
        <v>13</v>
      </c>
      <c r="R268" s="9" t="s">
        <v>26</v>
      </c>
      <c r="S268" s="9">
        <f t="shared" si="8"/>
        <v>14</v>
      </c>
      <c r="T268" s="10" t="str">
        <f t="shared" si="9"/>
        <v>Low</v>
      </c>
    </row>
    <row r="269" spans="1:20">
      <c r="A269" s="2">
        <v>500273</v>
      </c>
      <c r="B269" s="2">
        <v>104179</v>
      </c>
      <c r="C269" s="8">
        <v>45344</v>
      </c>
      <c r="D269" s="2">
        <v>2017</v>
      </c>
      <c r="E269" s="2">
        <v>1</v>
      </c>
      <c r="F269" s="2">
        <v>5</v>
      </c>
      <c r="G269" s="2" t="s">
        <v>20</v>
      </c>
      <c r="H269" s="2" t="s">
        <v>21</v>
      </c>
      <c r="I269" s="2">
        <v>40</v>
      </c>
      <c r="J269" s="2" t="s">
        <v>38</v>
      </c>
      <c r="K269" s="8">
        <v>45540</v>
      </c>
      <c r="L269" s="2" t="s">
        <v>49</v>
      </c>
      <c r="M269" s="2" t="s">
        <v>44</v>
      </c>
      <c r="N269" s="2" t="s">
        <v>25</v>
      </c>
      <c r="O269" s="2">
        <v>11</v>
      </c>
      <c r="P269" s="2">
        <v>10</v>
      </c>
      <c r="Q269" s="2">
        <v>10</v>
      </c>
      <c r="R269" s="9" t="s">
        <v>30</v>
      </c>
      <c r="S269" s="9">
        <f t="shared" si="8"/>
        <v>11</v>
      </c>
      <c r="T269" s="10" t="str">
        <f t="shared" si="9"/>
        <v>Low</v>
      </c>
    </row>
    <row r="270" spans="1:20">
      <c r="A270" s="2">
        <v>500274</v>
      </c>
      <c r="B270" s="2">
        <v>109408</v>
      </c>
      <c r="C270" s="8">
        <v>45530</v>
      </c>
      <c r="D270" s="2">
        <v>2014</v>
      </c>
      <c r="E270" s="2">
        <v>1</v>
      </c>
      <c r="F270" s="2">
        <v>5</v>
      </c>
      <c r="G270" s="2" t="s">
        <v>31</v>
      </c>
      <c r="H270" s="2" t="s">
        <v>40</v>
      </c>
      <c r="I270" s="2">
        <v>35</v>
      </c>
      <c r="J270" s="2" t="s">
        <v>48</v>
      </c>
      <c r="K270" s="8">
        <v>44996</v>
      </c>
      <c r="L270" s="2" t="s">
        <v>23</v>
      </c>
      <c r="M270" s="2" t="s">
        <v>29</v>
      </c>
      <c r="N270" s="2" t="s">
        <v>25</v>
      </c>
      <c r="O270" s="2">
        <v>42</v>
      </c>
      <c r="P270" s="2">
        <v>40</v>
      </c>
      <c r="Q270" s="2">
        <v>40</v>
      </c>
      <c r="R270" s="9" t="s">
        <v>30</v>
      </c>
      <c r="S270" s="9">
        <f t="shared" si="8"/>
        <v>42</v>
      </c>
      <c r="T270" s="10" t="str">
        <f t="shared" si="9"/>
        <v>Low</v>
      </c>
    </row>
    <row r="271" spans="1:20">
      <c r="A271" s="2">
        <v>500275</v>
      </c>
      <c r="B271" s="2">
        <v>106341</v>
      </c>
      <c r="C271" s="8">
        <v>46106</v>
      </c>
      <c r="D271" s="2">
        <v>2005</v>
      </c>
      <c r="E271" s="2">
        <v>1</v>
      </c>
      <c r="F271" s="2">
        <v>10</v>
      </c>
      <c r="G271" s="2" t="s">
        <v>56</v>
      </c>
      <c r="H271" s="2" t="s">
        <v>21</v>
      </c>
      <c r="I271" s="2">
        <v>32</v>
      </c>
      <c r="J271" s="2" t="s">
        <v>48</v>
      </c>
      <c r="K271" s="8">
        <v>45135</v>
      </c>
      <c r="L271" s="2" t="s">
        <v>23</v>
      </c>
      <c r="M271" s="2" t="s">
        <v>51</v>
      </c>
      <c r="N271" s="2" t="s">
        <v>25</v>
      </c>
      <c r="O271" s="2">
        <v>28</v>
      </c>
      <c r="P271" s="2">
        <v>25</v>
      </c>
      <c r="Q271" s="2">
        <v>25</v>
      </c>
      <c r="R271" s="9" t="s">
        <v>26</v>
      </c>
      <c r="S271" s="9">
        <f t="shared" si="8"/>
        <v>28</v>
      </c>
      <c r="T271" s="10" t="str">
        <f t="shared" si="9"/>
        <v>Average</v>
      </c>
    </row>
    <row r="272" spans="1:20">
      <c r="A272" s="2">
        <v>500276</v>
      </c>
      <c r="B272" s="2">
        <v>100708</v>
      </c>
      <c r="C272" s="8">
        <v>45795</v>
      </c>
      <c r="D272" s="2">
        <v>2001</v>
      </c>
      <c r="E272" s="2">
        <v>1</v>
      </c>
      <c r="F272" s="2">
        <v>0</v>
      </c>
      <c r="G272" s="2" t="s">
        <v>20</v>
      </c>
      <c r="H272" s="2" t="s">
        <v>21</v>
      </c>
      <c r="I272" s="2">
        <v>45</v>
      </c>
      <c r="J272" s="2" t="s">
        <v>55</v>
      </c>
      <c r="K272" s="8">
        <v>45732</v>
      </c>
      <c r="L272" s="2" t="s">
        <v>41</v>
      </c>
      <c r="M272" s="2" t="s">
        <v>50</v>
      </c>
      <c r="N272" s="2" t="s">
        <v>34</v>
      </c>
      <c r="O272" s="2">
        <v>18</v>
      </c>
      <c r="P272" s="2">
        <v>18</v>
      </c>
      <c r="Q272" s="2">
        <v>18</v>
      </c>
      <c r="R272" s="9" t="s">
        <v>26</v>
      </c>
      <c r="S272" s="9">
        <f t="shared" si="8"/>
        <v>18</v>
      </c>
      <c r="T272" s="10" t="str">
        <f t="shared" si="9"/>
        <v>Low</v>
      </c>
    </row>
    <row r="273" spans="1:20">
      <c r="A273" s="2">
        <v>500277</v>
      </c>
      <c r="B273" s="2">
        <v>105080</v>
      </c>
      <c r="C273" s="8">
        <v>45588</v>
      </c>
      <c r="D273" s="2">
        <v>2007</v>
      </c>
      <c r="E273" s="2">
        <v>1</v>
      </c>
      <c r="F273" s="2">
        <v>5</v>
      </c>
      <c r="G273" s="2" t="s">
        <v>56</v>
      </c>
      <c r="H273" s="2" t="s">
        <v>21</v>
      </c>
      <c r="I273" s="2">
        <v>42</v>
      </c>
      <c r="J273" s="2" t="s">
        <v>38</v>
      </c>
      <c r="K273" s="8">
        <v>45763</v>
      </c>
      <c r="L273" s="2" t="s">
        <v>23</v>
      </c>
      <c r="M273" s="2" t="s">
        <v>61</v>
      </c>
      <c r="N273" s="2" t="s">
        <v>34</v>
      </c>
      <c r="O273" s="2">
        <v>75</v>
      </c>
      <c r="P273" s="2">
        <v>71</v>
      </c>
      <c r="Q273" s="2">
        <v>71</v>
      </c>
      <c r="R273" s="9" t="s">
        <v>30</v>
      </c>
      <c r="S273" s="9">
        <f t="shared" si="8"/>
        <v>75</v>
      </c>
      <c r="T273" s="10" t="str">
        <f t="shared" si="9"/>
        <v>Low</v>
      </c>
    </row>
    <row r="274" spans="1:20">
      <c r="A274" s="2">
        <v>500278</v>
      </c>
      <c r="B274" s="2">
        <v>103290</v>
      </c>
      <c r="C274" s="8">
        <v>45507</v>
      </c>
      <c r="D274" s="2">
        <v>2006</v>
      </c>
      <c r="E274" s="2">
        <v>1</v>
      </c>
      <c r="F274" s="2">
        <v>0</v>
      </c>
      <c r="G274" s="2" t="s">
        <v>56</v>
      </c>
      <c r="H274" s="2" t="s">
        <v>21</v>
      </c>
      <c r="I274" s="2">
        <v>26</v>
      </c>
      <c r="J274" s="2" t="s">
        <v>32</v>
      </c>
      <c r="K274" s="8">
        <v>45628</v>
      </c>
      <c r="L274" s="2" t="s">
        <v>41</v>
      </c>
      <c r="M274" s="2" t="s">
        <v>57</v>
      </c>
      <c r="N274" s="2" t="s">
        <v>34</v>
      </c>
      <c r="O274" s="2">
        <v>48</v>
      </c>
      <c r="P274" s="2">
        <v>48</v>
      </c>
      <c r="Q274" s="2">
        <v>48</v>
      </c>
      <c r="R274" s="9" t="s">
        <v>30</v>
      </c>
      <c r="S274" s="9">
        <f t="shared" si="8"/>
        <v>48</v>
      </c>
      <c r="T274" s="10" t="str">
        <f t="shared" si="9"/>
        <v>Low</v>
      </c>
    </row>
    <row r="275" spans="1:20">
      <c r="A275" s="2">
        <v>500279</v>
      </c>
      <c r="B275" s="2">
        <v>107941</v>
      </c>
      <c r="C275" s="8">
        <v>45390</v>
      </c>
      <c r="D275" s="2">
        <v>2002</v>
      </c>
      <c r="E275" s="2">
        <v>1</v>
      </c>
      <c r="F275" s="2">
        <v>0</v>
      </c>
      <c r="G275" s="2" t="s">
        <v>56</v>
      </c>
      <c r="H275" s="2" t="s">
        <v>21</v>
      </c>
      <c r="I275" s="2">
        <v>48</v>
      </c>
      <c r="J275" s="2" t="s">
        <v>48</v>
      </c>
      <c r="K275" s="8">
        <v>45862</v>
      </c>
      <c r="L275" s="2" t="s">
        <v>23</v>
      </c>
      <c r="M275" s="2" t="s">
        <v>33</v>
      </c>
      <c r="N275" s="2" t="s">
        <v>34</v>
      </c>
      <c r="O275" s="2">
        <v>62</v>
      </c>
      <c r="P275" s="2">
        <v>62</v>
      </c>
      <c r="Q275" s="2">
        <v>62</v>
      </c>
      <c r="R275" s="9" t="s">
        <v>30</v>
      </c>
      <c r="S275" s="9">
        <f t="shared" si="8"/>
        <v>62</v>
      </c>
      <c r="T275" s="10" t="str">
        <f t="shared" si="9"/>
        <v>Low</v>
      </c>
    </row>
    <row r="276" spans="1:20">
      <c r="A276" s="2">
        <v>500280</v>
      </c>
      <c r="B276" s="2">
        <v>100054</v>
      </c>
      <c r="C276" s="8">
        <v>45941</v>
      </c>
      <c r="D276" s="2">
        <v>2005</v>
      </c>
      <c r="E276" s="2">
        <v>2</v>
      </c>
      <c r="F276" s="2">
        <v>0</v>
      </c>
      <c r="G276" s="2" t="s">
        <v>31</v>
      </c>
      <c r="H276" s="2" t="s">
        <v>21</v>
      </c>
      <c r="I276" s="2">
        <v>40</v>
      </c>
      <c r="J276" s="2" t="s">
        <v>32</v>
      </c>
      <c r="K276" s="8">
        <v>45205</v>
      </c>
      <c r="L276" s="2" t="s">
        <v>41</v>
      </c>
      <c r="M276" s="2" t="s">
        <v>51</v>
      </c>
      <c r="N276" s="2" t="s">
        <v>25</v>
      </c>
      <c r="O276" s="2">
        <v>28</v>
      </c>
      <c r="P276" s="2">
        <v>56</v>
      </c>
      <c r="Q276" s="2">
        <v>56</v>
      </c>
      <c r="R276" s="9" t="s">
        <v>26</v>
      </c>
      <c r="S276" s="9">
        <f t="shared" si="8"/>
        <v>56</v>
      </c>
      <c r="T276" s="10" t="str">
        <f t="shared" si="9"/>
        <v>Low</v>
      </c>
    </row>
    <row r="277" spans="1:20">
      <c r="A277" s="2">
        <v>500281</v>
      </c>
      <c r="B277" s="2">
        <v>108968</v>
      </c>
      <c r="C277" s="8">
        <v>45648</v>
      </c>
      <c r="D277" s="2">
        <v>2020</v>
      </c>
      <c r="E277" s="2">
        <v>1</v>
      </c>
      <c r="F277" s="2">
        <v>0</v>
      </c>
      <c r="G277" s="2" t="s">
        <v>20</v>
      </c>
      <c r="H277" s="2" t="s">
        <v>21</v>
      </c>
      <c r="I277" s="2">
        <v>29</v>
      </c>
      <c r="J277" s="2" t="s">
        <v>38</v>
      </c>
      <c r="K277" s="8">
        <v>45868</v>
      </c>
      <c r="L277" s="2" t="s">
        <v>23</v>
      </c>
      <c r="M277" s="2" t="s">
        <v>62</v>
      </c>
      <c r="N277" s="2" t="s">
        <v>63</v>
      </c>
      <c r="O277" s="2">
        <v>68</v>
      </c>
      <c r="P277" s="2">
        <v>68</v>
      </c>
      <c r="Q277" s="2">
        <v>68</v>
      </c>
      <c r="R277" s="9" t="s">
        <v>30</v>
      </c>
      <c r="S277" s="9">
        <f t="shared" si="8"/>
        <v>68</v>
      </c>
      <c r="T277" s="10" t="str">
        <f t="shared" si="9"/>
        <v>Low</v>
      </c>
    </row>
    <row r="278" spans="1:20">
      <c r="A278" s="2">
        <v>500282</v>
      </c>
      <c r="B278" s="2">
        <v>100055</v>
      </c>
      <c r="C278" s="8">
        <v>46123</v>
      </c>
      <c r="D278" s="2">
        <v>2020</v>
      </c>
      <c r="E278" s="2">
        <v>1</v>
      </c>
      <c r="F278" s="2">
        <v>10</v>
      </c>
      <c r="G278" s="2" t="s">
        <v>56</v>
      </c>
      <c r="H278" s="2" t="s">
        <v>40</v>
      </c>
      <c r="I278" s="2">
        <v>41</v>
      </c>
      <c r="J278" s="2" t="s">
        <v>22</v>
      </c>
      <c r="K278" s="8">
        <v>45663</v>
      </c>
      <c r="L278" s="2" t="s">
        <v>23</v>
      </c>
      <c r="M278" s="2" t="s">
        <v>62</v>
      </c>
      <c r="N278" s="2" t="s">
        <v>63</v>
      </c>
      <c r="O278" s="2">
        <v>68</v>
      </c>
      <c r="P278" s="2">
        <v>61</v>
      </c>
      <c r="Q278" s="2">
        <v>61</v>
      </c>
      <c r="R278" s="9" t="s">
        <v>26</v>
      </c>
      <c r="S278" s="9">
        <f t="shared" si="8"/>
        <v>68</v>
      </c>
      <c r="T278" s="10" t="str">
        <f t="shared" si="9"/>
        <v>Average</v>
      </c>
    </row>
    <row r="279" spans="1:20">
      <c r="A279" s="2">
        <v>500283</v>
      </c>
      <c r="B279" s="2">
        <v>105484</v>
      </c>
      <c r="C279" s="8">
        <v>45684</v>
      </c>
      <c r="D279" s="2">
        <v>2004</v>
      </c>
      <c r="E279" s="2">
        <v>2</v>
      </c>
      <c r="F279" s="2">
        <v>10</v>
      </c>
      <c r="G279" s="2" t="s">
        <v>20</v>
      </c>
      <c r="H279" s="2" t="s">
        <v>21</v>
      </c>
      <c r="I279" s="2">
        <v>58</v>
      </c>
      <c r="J279" s="2" t="s">
        <v>48</v>
      </c>
      <c r="K279" s="8">
        <v>45719</v>
      </c>
      <c r="L279" s="2" t="s">
        <v>41</v>
      </c>
      <c r="M279" s="2" t="s">
        <v>46</v>
      </c>
      <c r="N279" s="2" t="s">
        <v>34</v>
      </c>
      <c r="O279" s="2">
        <v>35</v>
      </c>
      <c r="P279" s="2">
        <v>63</v>
      </c>
      <c r="Q279" s="2">
        <v>63</v>
      </c>
      <c r="R279" s="9" t="s">
        <v>26</v>
      </c>
      <c r="S279" s="9">
        <f t="shared" si="8"/>
        <v>70</v>
      </c>
      <c r="T279" s="10" t="str">
        <f t="shared" si="9"/>
        <v>Average</v>
      </c>
    </row>
    <row r="280" spans="1:20">
      <c r="A280" s="2">
        <v>500284</v>
      </c>
      <c r="B280" s="2">
        <v>100679</v>
      </c>
      <c r="C280" s="8">
        <v>45998</v>
      </c>
      <c r="D280" s="2">
        <v>2004</v>
      </c>
      <c r="E280" s="2">
        <v>4</v>
      </c>
      <c r="F280" s="2">
        <v>0</v>
      </c>
      <c r="G280" s="2" t="s">
        <v>20</v>
      </c>
      <c r="H280" s="2" t="s">
        <v>40</v>
      </c>
      <c r="I280" s="2">
        <v>43</v>
      </c>
      <c r="J280" s="2" t="s">
        <v>38</v>
      </c>
      <c r="K280" s="8">
        <v>45530</v>
      </c>
      <c r="L280" s="2" t="s">
        <v>23</v>
      </c>
      <c r="M280" s="2" t="s">
        <v>46</v>
      </c>
      <c r="N280" s="2" t="s">
        <v>34</v>
      </c>
      <c r="O280" s="2">
        <v>35</v>
      </c>
      <c r="P280" s="2">
        <v>140</v>
      </c>
      <c r="Q280" s="2">
        <v>140</v>
      </c>
      <c r="R280" s="9" t="s">
        <v>26</v>
      </c>
      <c r="S280" s="9">
        <f t="shared" si="8"/>
        <v>140</v>
      </c>
      <c r="T280" s="10" t="str">
        <f t="shared" si="9"/>
        <v>Low</v>
      </c>
    </row>
    <row r="281" spans="1:20">
      <c r="A281" s="2">
        <v>500285</v>
      </c>
      <c r="B281" s="2">
        <v>103840</v>
      </c>
      <c r="C281" s="8">
        <v>45404</v>
      </c>
      <c r="D281" s="2">
        <v>2017</v>
      </c>
      <c r="E281" s="2">
        <v>2</v>
      </c>
      <c r="F281" s="2">
        <v>15</v>
      </c>
      <c r="G281" s="2" t="s">
        <v>27</v>
      </c>
      <c r="H281" s="2" t="s">
        <v>21</v>
      </c>
      <c r="I281" s="2">
        <v>63</v>
      </c>
      <c r="J281" s="2" t="s">
        <v>38</v>
      </c>
      <c r="K281" s="8">
        <v>45051</v>
      </c>
      <c r="L281" s="2" t="s">
        <v>41</v>
      </c>
      <c r="M281" s="2" t="s">
        <v>44</v>
      </c>
      <c r="N281" s="2" t="s">
        <v>25</v>
      </c>
      <c r="O281" s="2">
        <v>11</v>
      </c>
      <c r="P281" s="2">
        <v>19</v>
      </c>
      <c r="Q281" s="2">
        <v>19</v>
      </c>
      <c r="R281" s="9" t="s">
        <v>30</v>
      </c>
      <c r="S281" s="9">
        <f t="shared" si="8"/>
        <v>22</v>
      </c>
      <c r="T281" s="10" t="str">
        <f t="shared" si="9"/>
        <v>High</v>
      </c>
    </row>
    <row r="282" spans="1:20">
      <c r="A282" s="2">
        <v>500286</v>
      </c>
      <c r="B282" s="2">
        <v>104093</v>
      </c>
      <c r="C282" s="8">
        <v>45422</v>
      </c>
      <c r="D282" s="2">
        <v>2014</v>
      </c>
      <c r="E282" s="2">
        <v>3</v>
      </c>
      <c r="F282" s="2">
        <v>0</v>
      </c>
      <c r="G282" s="2" t="s">
        <v>20</v>
      </c>
      <c r="H282" s="2" t="s">
        <v>21</v>
      </c>
      <c r="I282" s="2">
        <v>35</v>
      </c>
      <c r="J282" s="2" t="s">
        <v>32</v>
      </c>
      <c r="K282" s="8">
        <v>45955</v>
      </c>
      <c r="L282" s="2" t="s">
        <v>23</v>
      </c>
      <c r="M282" s="2" t="s">
        <v>29</v>
      </c>
      <c r="N282" s="2" t="s">
        <v>25</v>
      </c>
      <c r="O282" s="2">
        <v>42</v>
      </c>
      <c r="P282" s="2">
        <v>126</v>
      </c>
      <c r="Q282" s="2">
        <v>126</v>
      </c>
      <c r="R282" s="9" t="s">
        <v>30</v>
      </c>
      <c r="S282" s="9">
        <f t="shared" si="8"/>
        <v>126</v>
      </c>
      <c r="T282" s="10" t="str">
        <f t="shared" si="9"/>
        <v>Low</v>
      </c>
    </row>
    <row r="283" spans="1:20">
      <c r="A283" s="2">
        <v>500287</v>
      </c>
      <c r="B283" s="2">
        <v>106045</v>
      </c>
      <c r="C283" s="8">
        <v>45528</v>
      </c>
      <c r="D283" s="2">
        <v>2014</v>
      </c>
      <c r="E283" s="2">
        <v>2</v>
      </c>
      <c r="F283" s="2">
        <v>0</v>
      </c>
      <c r="G283" s="2" t="s">
        <v>20</v>
      </c>
      <c r="H283" s="2" t="s">
        <v>21</v>
      </c>
      <c r="I283" s="2">
        <v>46</v>
      </c>
      <c r="J283" s="2" t="s">
        <v>48</v>
      </c>
      <c r="K283" s="8">
        <v>45400</v>
      </c>
      <c r="L283" s="2" t="s">
        <v>23</v>
      </c>
      <c r="M283" s="2" t="s">
        <v>29</v>
      </c>
      <c r="N283" s="2" t="s">
        <v>25</v>
      </c>
      <c r="O283" s="2">
        <v>42</v>
      </c>
      <c r="P283" s="2">
        <v>84</v>
      </c>
      <c r="Q283" s="2">
        <v>84</v>
      </c>
      <c r="R283" s="9" t="s">
        <v>30</v>
      </c>
      <c r="S283" s="9">
        <f t="shared" si="8"/>
        <v>84</v>
      </c>
      <c r="T283" s="10" t="str">
        <f t="shared" si="9"/>
        <v>Low</v>
      </c>
    </row>
    <row r="284" spans="1:20">
      <c r="A284" s="2">
        <v>500288</v>
      </c>
      <c r="B284" s="2">
        <v>103336</v>
      </c>
      <c r="C284" s="8">
        <v>45457</v>
      </c>
      <c r="D284" s="2">
        <v>2010</v>
      </c>
      <c r="E284" s="2">
        <v>1</v>
      </c>
      <c r="F284" s="2">
        <v>0</v>
      </c>
      <c r="G284" s="2" t="s">
        <v>20</v>
      </c>
      <c r="H284" s="2" t="s">
        <v>21</v>
      </c>
      <c r="I284" s="2">
        <v>28</v>
      </c>
      <c r="J284" s="2" t="s">
        <v>38</v>
      </c>
      <c r="K284" s="8">
        <v>45636</v>
      </c>
      <c r="L284" s="2" t="s">
        <v>23</v>
      </c>
      <c r="M284" s="2" t="s">
        <v>58</v>
      </c>
      <c r="N284" s="2" t="s">
        <v>59</v>
      </c>
      <c r="O284" s="2">
        <v>55</v>
      </c>
      <c r="P284" s="2">
        <v>55</v>
      </c>
      <c r="Q284" s="2">
        <v>55</v>
      </c>
      <c r="R284" s="9" t="s">
        <v>30</v>
      </c>
      <c r="S284" s="9">
        <f t="shared" si="8"/>
        <v>55</v>
      </c>
      <c r="T284" s="10" t="str">
        <f t="shared" si="9"/>
        <v>Low</v>
      </c>
    </row>
    <row r="285" spans="1:20">
      <c r="A285" s="2">
        <v>500289</v>
      </c>
      <c r="B285" s="2">
        <v>109103</v>
      </c>
      <c r="C285" s="8">
        <v>46174</v>
      </c>
      <c r="D285" s="2">
        <v>2008</v>
      </c>
      <c r="E285" s="2">
        <v>2</v>
      </c>
      <c r="F285" s="2">
        <v>10</v>
      </c>
      <c r="G285" s="2" t="s">
        <v>20</v>
      </c>
      <c r="H285" s="2" t="s">
        <v>21</v>
      </c>
      <c r="I285" s="2">
        <v>40</v>
      </c>
      <c r="J285" s="2" t="s">
        <v>52</v>
      </c>
      <c r="K285" s="8">
        <v>45144</v>
      </c>
      <c r="L285" s="2" t="s">
        <v>23</v>
      </c>
      <c r="M285" s="2" t="s">
        <v>39</v>
      </c>
      <c r="N285" s="2" t="s">
        <v>25</v>
      </c>
      <c r="O285" s="2">
        <v>14</v>
      </c>
      <c r="P285" s="2">
        <v>25</v>
      </c>
      <c r="Q285" s="2">
        <v>25</v>
      </c>
      <c r="R285" s="9" t="s">
        <v>26</v>
      </c>
      <c r="S285" s="9">
        <f t="shared" si="8"/>
        <v>28</v>
      </c>
      <c r="T285" s="10" t="str">
        <f t="shared" si="9"/>
        <v>Average</v>
      </c>
    </row>
    <row r="286" spans="1:20">
      <c r="A286" s="2">
        <v>500290</v>
      </c>
      <c r="B286" s="2">
        <v>104232</v>
      </c>
      <c r="C286" s="8">
        <v>45990</v>
      </c>
      <c r="D286" s="2">
        <v>2002</v>
      </c>
      <c r="E286" s="2">
        <v>1</v>
      </c>
      <c r="F286" s="2">
        <v>5</v>
      </c>
      <c r="G286" s="2" t="s">
        <v>20</v>
      </c>
      <c r="H286" s="2" t="s">
        <v>21</v>
      </c>
      <c r="I286" s="2">
        <v>62</v>
      </c>
      <c r="J286" s="2" t="s">
        <v>22</v>
      </c>
      <c r="K286" s="8">
        <v>45829</v>
      </c>
      <c r="L286" s="2" t="s">
        <v>23</v>
      </c>
      <c r="M286" s="2" t="s">
        <v>33</v>
      </c>
      <c r="N286" s="2" t="s">
        <v>34</v>
      </c>
      <c r="O286" s="2">
        <v>62</v>
      </c>
      <c r="P286" s="2">
        <v>59</v>
      </c>
      <c r="Q286" s="2">
        <v>59</v>
      </c>
      <c r="R286" s="9" t="s">
        <v>26</v>
      </c>
      <c r="S286" s="9">
        <f t="shared" si="8"/>
        <v>62</v>
      </c>
      <c r="T286" s="10" t="str">
        <f t="shared" si="9"/>
        <v>Low</v>
      </c>
    </row>
    <row r="287" spans="1:20">
      <c r="A287" s="2">
        <v>500291</v>
      </c>
      <c r="B287" s="2">
        <v>108916</v>
      </c>
      <c r="C287" s="8">
        <v>45592</v>
      </c>
      <c r="D287" s="2">
        <v>2017</v>
      </c>
      <c r="E287" s="2">
        <v>2</v>
      </c>
      <c r="F287" s="2">
        <v>0</v>
      </c>
      <c r="G287" s="2" t="s">
        <v>31</v>
      </c>
      <c r="H287" s="2" t="s">
        <v>21</v>
      </c>
      <c r="I287" s="2">
        <v>46</v>
      </c>
      <c r="J287" s="2" t="s">
        <v>48</v>
      </c>
      <c r="K287" s="8">
        <v>45944</v>
      </c>
      <c r="L287" s="2" t="s">
        <v>41</v>
      </c>
      <c r="M287" s="2" t="s">
        <v>44</v>
      </c>
      <c r="N287" s="2" t="s">
        <v>25</v>
      </c>
      <c r="O287" s="2">
        <v>11</v>
      </c>
      <c r="P287" s="2">
        <v>22</v>
      </c>
      <c r="Q287" s="2">
        <v>22</v>
      </c>
      <c r="R287" s="9" t="s">
        <v>30</v>
      </c>
      <c r="S287" s="9">
        <f t="shared" si="8"/>
        <v>22</v>
      </c>
      <c r="T287" s="10" t="str">
        <f t="shared" si="9"/>
        <v>Low</v>
      </c>
    </row>
    <row r="288" spans="1:20">
      <c r="A288" s="2">
        <v>500292</v>
      </c>
      <c r="B288" s="2">
        <v>103658</v>
      </c>
      <c r="C288" s="8">
        <v>45741</v>
      </c>
      <c r="D288" s="2">
        <v>2017</v>
      </c>
      <c r="E288" s="2">
        <v>1</v>
      </c>
      <c r="F288" s="2">
        <v>10</v>
      </c>
      <c r="G288" s="2" t="s">
        <v>31</v>
      </c>
      <c r="H288" s="2" t="s">
        <v>21</v>
      </c>
      <c r="I288" s="2">
        <v>62</v>
      </c>
      <c r="J288" s="2" t="s">
        <v>43</v>
      </c>
      <c r="K288" s="8">
        <v>45762</v>
      </c>
      <c r="L288" s="2" t="s">
        <v>23</v>
      </c>
      <c r="M288" s="2" t="s">
        <v>44</v>
      </c>
      <c r="N288" s="2" t="s">
        <v>25</v>
      </c>
      <c r="O288" s="2">
        <v>11</v>
      </c>
      <c r="P288" s="2">
        <v>10</v>
      </c>
      <c r="Q288" s="2">
        <v>10</v>
      </c>
      <c r="R288" s="9" t="s">
        <v>26</v>
      </c>
      <c r="S288" s="9">
        <f t="shared" si="8"/>
        <v>11</v>
      </c>
      <c r="T288" s="10" t="str">
        <f t="shared" si="9"/>
        <v>Average</v>
      </c>
    </row>
    <row r="289" spans="1:20">
      <c r="A289" s="2">
        <v>500293</v>
      </c>
      <c r="B289" s="2">
        <v>106736</v>
      </c>
      <c r="C289" s="8">
        <v>45752</v>
      </c>
      <c r="D289" s="2">
        <v>2007</v>
      </c>
      <c r="E289" s="2">
        <v>1</v>
      </c>
      <c r="F289" s="2">
        <v>5</v>
      </c>
      <c r="G289" s="2" t="s">
        <v>27</v>
      </c>
      <c r="H289" s="2" t="s">
        <v>21</v>
      </c>
      <c r="I289" s="2">
        <v>41</v>
      </c>
      <c r="J289" s="2" t="s">
        <v>52</v>
      </c>
      <c r="K289" s="8">
        <v>45498</v>
      </c>
      <c r="L289" s="2" t="s">
        <v>23</v>
      </c>
      <c r="M289" s="2" t="s">
        <v>61</v>
      </c>
      <c r="N289" s="2" t="s">
        <v>34</v>
      </c>
      <c r="O289" s="2">
        <v>75</v>
      </c>
      <c r="P289" s="2">
        <v>71</v>
      </c>
      <c r="Q289" s="2">
        <v>71</v>
      </c>
      <c r="R289" s="9" t="s">
        <v>26</v>
      </c>
      <c r="S289" s="9">
        <f t="shared" si="8"/>
        <v>75</v>
      </c>
      <c r="T289" s="10" t="str">
        <f t="shared" si="9"/>
        <v>Low</v>
      </c>
    </row>
    <row r="290" spans="1:20">
      <c r="A290" s="2">
        <v>500294</v>
      </c>
      <c r="B290" s="2">
        <v>100751</v>
      </c>
      <c r="C290" s="8">
        <v>45816</v>
      </c>
      <c r="D290" s="2">
        <v>2003</v>
      </c>
      <c r="E290" s="2">
        <v>4</v>
      </c>
      <c r="F290" s="2">
        <v>0</v>
      </c>
      <c r="G290" s="2" t="s">
        <v>27</v>
      </c>
      <c r="H290" s="2" t="s">
        <v>21</v>
      </c>
      <c r="I290" s="2">
        <v>64</v>
      </c>
      <c r="J290" s="2" t="s">
        <v>32</v>
      </c>
      <c r="K290" s="8">
        <v>45238</v>
      </c>
      <c r="L290" s="2" t="s">
        <v>23</v>
      </c>
      <c r="M290" s="2" t="s">
        <v>24</v>
      </c>
      <c r="N290" s="2" t="s">
        <v>25</v>
      </c>
      <c r="O290" s="2">
        <v>9</v>
      </c>
      <c r="P290" s="2">
        <v>36</v>
      </c>
      <c r="Q290" s="2">
        <v>36</v>
      </c>
      <c r="R290" s="9" t="s">
        <v>26</v>
      </c>
      <c r="S290" s="9">
        <f t="shared" si="8"/>
        <v>36</v>
      </c>
      <c r="T290" s="10" t="str">
        <f t="shared" si="9"/>
        <v>Low</v>
      </c>
    </row>
    <row r="291" spans="1:20">
      <c r="A291" s="2">
        <v>500295</v>
      </c>
      <c r="B291" s="2">
        <v>103423</v>
      </c>
      <c r="C291" s="8">
        <v>45381</v>
      </c>
      <c r="D291" s="2">
        <v>2008</v>
      </c>
      <c r="E291" s="2">
        <v>2</v>
      </c>
      <c r="F291" s="2">
        <v>0</v>
      </c>
      <c r="G291" s="2" t="s">
        <v>20</v>
      </c>
      <c r="H291" s="2" t="s">
        <v>21</v>
      </c>
      <c r="I291" s="2">
        <v>46</v>
      </c>
      <c r="J291" s="2" t="s">
        <v>48</v>
      </c>
      <c r="K291" s="8">
        <v>46016</v>
      </c>
      <c r="L291" s="2" t="s">
        <v>23</v>
      </c>
      <c r="M291" s="2" t="s">
        <v>39</v>
      </c>
      <c r="N291" s="2" t="s">
        <v>25</v>
      </c>
      <c r="O291" s="2">
        <v>14</v>
      </c>
      <c r="P291" s="2">
        <v>28</v>
      </c>
      <c r="Q291" s="2">
        <v>28</v>
      </c>
      <c r="R291" s="9" t="s">
        <v>30</v>
      </c>
      <c r="S291" s="9">
        <f t="shared" si="8"/>
        <v>28</v>
      </c>
      <c r="T291" s="10" t="str">
        <f t="shared" si="9"/>
        <v>Low</v>
      </c>
    </row>
    <row r="292" spans="1:20">
      <c r="A292" s="2">
        <v>500296</v>
      </c>
      <c r="B292" s="2">
        <v>106060</v>
      </c>
      <c r="C292" s="8">
        <v>45593</v>
      </c>
      <c r="D292" s="2">
        <v>2020</v>
      </c>
      <c r="E292" s="2">
        <v>1</v>
      </c>
      <c r="F292" s="2">
        <v>0</v>
      </c>
      <c r="G292" s="2" t="s">
        <v>27</v>
      </c>
      <c r="H292" s="2" t="s">
        <v>21</v>
      </c>
      <c r="I292" s="2">
        <v>36</v>
      </c>
      <c r="J292" s="2" t="s">
        <v>32</v>
      </c>
      <c r="K292" s="8">
        <v>45656</v>
      </c>
      <c r="L292" s="2" t="s">
        <v>23</v>
      </c>
      <c r="M292" s="2" t="s">
        <v>62</v>
      </c>
      <c r="N292" s="2" t="s">
        <v>63</v>
      </c>
      <c r="O292" s="2">
        <v>68</v>
      </c>
      <c r="P292" s="2">
        <v>68</v>
      </c>
      <c r="Q292" s="2">
        <v>68</v>
      </c>
      <c r="R292" s="9" t="s">
        <v>30</v>
      </c>
      <c r="S292" s="9">
        <f t="shared" si="8"/>
        <v>68</v>
      </c>
      <c r="T292" s="10" t="str">
        <f t="shared" si="9"/>
        <v>Low</v>
      </c>
    </row>
    <row r="293" spans="1:20">
      <c r="A293" s="2">
        <v>500297</v>
      </c>
      <c r="B293" s="2">
        <v>103443</v>
      </c>
      <c r="C293" s="8">
        <v>45366</v>
      </c>
      <c r="D293" s="2">
        <v>2008</v>
      </c>
      <c r="E293" s="2">
        <v>3</v>
      </c>
      <c r="F293" s="2">
        <v>0</v>
      </c>
      <c r="G293" s="2" t="s">
        <v>31</v>
      </c>
      <c r="H293" s="2" t="s">
        <v>21</v>
      </c>
      <c r="I293" s="2">
        <v>39</v>
      </c>
      <c r="J293" s="2" t="s">
        <v>45</v>
      </c>
      <c r="K293" s="8">
        <v>45070</v>
      </c>
      <c r="L293" s="2" t="s">
        <v>49</v>
      </c>
      <c r="M293" s="2" t="s">
        <v>39</v>
      </c>
      <c r="N293" s="2" t="s">
        <v>25</v>
      </c>
      <c r="O293" s="2">
        <v>14</v>
      </c>
      <c r="P293" s="2">
        <v>42</v>
      </c>
      <c r="Q293" s="2">
        <v>42</v>
      </c>
      <c r="R293" s="9" t="s">
        <v>30</v>
      </c>
      <c r="S293" s="9">
        <f t="shared" si="8"/>
        <v>42</v>
      </c>
      <c r="T293" s="10" t="str">
        <f t="shared" si="9"/>
        <v>Low</v>
      </c>
    </row>
    <row r="294" spans="1:20">
      <c r="A294" s="2">
        <v>500298</v>
      </c>
      <c r="B294" s="2">
        <v>103283</v>
      </c>
      <c r="C294" s="8">
        <v>46101</v>
      </c>
      <c r="D294" s="2">
        <v>2017</v>
      </c>
      <c r="E294" s="2">
        <v>4</v>
      </c>
      <c r="F294" s="2">
        <v>20</v>
      </c>
      <c r="G294" s="2" t="s">
        <v>20</v>
      </c>
      <c r="H294" s="2" t="s">
        <v>47</v>
      </c>
      <c r="I294" s="2">
        <v>64</v>
      </c>
      <c r="J294" s="2" t="s">
        <v>45</v>
      </c>
      <c r="K294" s="8">
        <v>45943</v>
      </c>
      <c r="L294" s="2" t="s">
        <v>23</v>
      </c>
      <c r="M294" s="2" t="s">
        <v>44</v>
      </c>
      <c r="N294" s="2" t="s">
        <v>25</v>
      </c>
      <c r="O294" s="2">
        <v>11</v>
      </c>
      <c r="P294" s="2">
        <v>35</v>
      </c>
      <c r="Q294" s="2">
        <v>35</v>
      </c>
      <c r="R294" s="9" t="s">
        <v>26</v>
      </c>
      <c r="S294" s="9">
        <f t="shared" si="8"/>
        <v>44</v>
      </c>
      <c r="T294" s="10" t="str">
        <f t="shared" si="9"/>
        <v>High</v>
      </c>
    </row>
    <row r="295" spans="1:20">
      <c r="A295" s="2">
        <v>500299</v>
      </c>
      <c r="B295" s="2">
        <v>104666</v>
      </c>
      <c r="C295" s="8">
        <v>45640</v>
      </c>
      <c r="D295" s="2">
        <v>2011</v>
      </c>
      <c r="E295" s="2">
        <v>1</v>
      </c>
      <c r="F295" s="2">
        <v>10</v>
      </c>
      <c r="G295" s="2" t="s">
        <v>20</v>
      </c>
      <c r="H295" s="2" t="s">
        <v>40</v>
      </c>
      <c r="I295" s="2">
        <v>57</v>
      </c>
      <c r="J295" s="2" t="s">
        <v>38</v>
      </c>
      <c r="K295" s="8">
        <v>45167</v>
      </c>
      <c r="L295" s="2" t="s">
        <v>41</v>
      </c>
      <c r="M295" s="2" t="s">
        <v>42</v>
      </c>
      <c r="N295" s="2" t="s">
        <v>37</v>
      </c>
      <c r="O295" s="2">
        <v>32</v>
      </c>
      <c r="P295" s="2">
        <v>29</v>
      </c>
      <c r="Q295" s="2">
        <v>29</v>
      </c>
      <c r="R295" s="9" t="s">
        <v>30</v>
      </c>
      <c r="S295" s="9">
        <f t="shared" si="8"/>
        <v>32</v>
      </c>
      <c r="T295" s="10" t="str">
        <f t="shared" si="9"/>
        <v>Average</v>
      </c>
    </row>
    <row r="296" spans="1:20">
      <c r="A296" s="2">
        <v>500300</v>
      </c>
      <c r="B296" s="2">
        <v>105361</v>
      </c>
      <c r="C296" s="8">
        <v>45920</v>
      </c>
      <c r="D296" s="2">
        <v>2009</v>
      </c>
      <c r="E296" s="2">
        <v>1</v>
      </c>
      <c r="F296" s="2">
        <v>0</v>
      </c>
      <c r="G296" s="2" t="s">
        <v>56</v>
      </c>
      <c r="H296" s="2" t="s">
        <v>21</v>
      </c>
      <c r="I296" s="2">
        <v>49</v>
      </c>
      <c r="J296" s="2" t="s">
        <v>22</v>
      </c>
      <c r="K296" s="8">
        <v>45127</v>
      </c>
      <c r="L296" s="2" t="s">
        <v>23</v>
      </c>
      <c r="M296" s="2" t="s">
        <v>65</v>
      </c>
      <c r="N296" s="2" t="s">
        <v>59</v>
      </c>
      <c r="O296" s="2">
        <v>120</v>
      </c>
      <c r="P296" s="2">
        <v>120</v>
      </c>
      <c r="Q296" s="2">
        <v>120</v>
      </c>
      <c r="R296" s="9" t="s">
        <v>26</v>
      </c>
      <c r="S296" s="9">
        <f t="shared" si="8"/>
        <v>120</v>
      </c>
      <c r="T296" s="10" t="str">
        <f t="shared" si="9"/>
        <v>Low</v>
      </c>
    </row>
    <row r="297" spans="1:20">
      <c r="A297" s="2">
        <v>500301</v>
      </c>
      <c r="B297" s="2">
        <v>104588</v>
      </c>
      <c r="C297" s="8">
        <v>46103</v>
      </c>
      <c r="D297" s="2">
        <v>2013</v>
      </c>
      <c r="E297" s="2">
        <v>1</v>
      </c>
      <c r="F297" s="2">
        <v>20</v>
      </c>
      <c r="G297" s="2" t="s">
        <v>20</v>
      </c>
      <c r="H297" s="2" t="s">
        <v>21</v>
      </c>
      <c r="I297" s="2">
        <v>32</v>
      </c>
      <c r="J297" s="2" t="s">
        <v>35</v>
      </c>
      <c r="K297" s="8">
        <v>45150</v>
      </c>
      <c r="L297" s="2" t="s">
        <v>41</v>
      </c>
      <c r="M297" s="2" t="s">
        <v>53</v>
      </c>
      <c r="N297" s="2" t="s">
        <v>54</v>
      </c>
      <c r="O297" s="2">
        <v>7</v>
      </c>
      <c r="P297" s="2">
        <v>6</v>
      </c>
      <c r="Q297" s="2">
        <v>6</v>
      </c>
      <c r="R297" s="9" t="s">
        <v>26</v>
      </c>
      <c r="S297" s="9">
        <f t="shared" si="8"/>
        <v>7</v>
      </c>
      <c r="T297" s="10" t="str">
        <f t="shared" si="9"/>
        <v>High</v>
      </c>
    </row>
    <row r="298" spans="1:20">
      <c r="A298" s="2">
        <v>500302</v>
      </c>
      <c r="B298" s="2">
        <v>108012</v>
      </c>
      <c r="C298" s="8">
        <v>45559</v>
      </c>
      <c r="D298" s="2">
        <v>2019</v>
      </c>
      <c r="E298" s="2">
        <v>1</v>
      </c>
      <c r="F298" s="2">
        <v>0</v>
      </c>
      <c r="G298" s="2" t="s">
        <v>20</v>
      </c>
      <c r="H298" s="2" t="s">
        <v>21</v>
      </c>
      <c r="I298" s="2">
        <v>26</v>
      </c>
      <c r="J298" s="2" t="s">
        <v>48</v>
      </c>
      <c r="K298" s="8">
        <v>45770</v>
      </c>
      <c r="L298" s="2" t="s">
        <v>23</v>
      </c>
      <c r="M298" s="2" t="s">
        <v>60</v>
      </c>
      <c r="N298" s="2" t="s">
        <v>34</v>
      </c>
      <c r="O298" s="2">
        <v>260</v>
      </c>
      <c r="P298" s="2">
        <v>260</v>
      </c>
      <c r="Q298" s="2">
        <v>260</v>
      </c>
      <c r="R298" s="9" t="s">
        <v>30</v>
      </c>
      <c r="S298" s="9">
        <f t="shared" si="8"/>
        <v>260</v>
      </c>
      <c r="T298" s="10" t="str">
        <f t="shared" si="9"/>
        <v>Low</v>
      </c>
    </row>
    <row r="299" spans="1:20">
      <c r="A299" s="2">
        <v>500303</v>
      </c>
      <c r="B299" s="2">
        <v>105715</v>
      </c>
      <c r="C299" s="8">
        <v>45367</v>
      </c>
      <c r="D299" s="2">
        <v>2014</v>
      </c>
      <c r="E299" s="2">
        <v>1</v>
      </c>
      <c r="F299" s="2">
        <v>0</v>
      </c>
      <c r="G299" s="2" t="s">
        <v>20</v>
      </c>
      <c r="H299" s="2" t="s">
        <v>21</v>
      </c>
      <c r="I299" s="2">
        <v>63</v>
      </c>
      <c r="J299" s="2" t="s">
        <v>48</v>
      </c>
      <c r="K299" s="8">
        <v>45184</v>
      </c>
      <c r="L299" s="2" t="s">
        <v>23</v>
      </c>
      <c r="M299" s="2" t="s">
        <v>29</v>
      </c>
      <c r="N299" s="2" t="s">
        <v>25</v>
      </c>
      <c r="O299" s="2">
        <v>42</v>
      </c>
      <c r="P299" s="2">
        <v>42</v>
      </c>
      <c r="Q299" s="2">
        <v>42</v>
      </c>
      <c r="R299" s="9" t="s">
        <v>30</v>
      </c>
      <c r="S299" s="9">
        <f t="shared" si="8"/>
        <v>42</v>
      </c>
      <c r="T299" s="10" t="str">
        <f t="shared" si="9"/>
        <v>Low</v>
      </c>
    </row>
    <row r="300" spans="1:20">
      <c r="A300" s="2">
        <v>500304</v>
      </c>
      <c r="B300" s="2">
        <v>109107</v>
      </c>
      <c r="C300" s="8">
        <v>45582</v>
      </c>
      <c r="D300" s="2">
        <v>2018</v>
      </c>
      <c r="E300" s="2">
        <v>2</v>
      </c>
      <c r="F300" s="2">
        <v>10</v>
      </c>
      <c r="G300" s="2" t="s">
        <v>31</v>
      </c>
      <c r="H300" s="2" t="s">
        <v>21</v>
      </c>
      <c r="I300" s="2">
        <v>40</v>
      </c>
      <c r="J300" s="2" t="s">
        <v>38</v>
      </c>
      <c r="K300" s="8">
        <v>45566</v>
      </c>
      <c r="L300" s="2" t="s">
        <v>41</v>
      </c>
      <c r="M300" s="2" t="s">
        <v>64</v>
      </c>
      <c r="N300" s="2" t="s">
        <v>34</v>
      </c>
      <c r="O300" s="2">
        <v>85</v>
      </c>
      <c r="P300" s="2">
        <v>153</v>
      </c>
      <c r="Q300" s="2">
        <v>153</v>
      </c>
      <c r="R300" s="9" t="s">
        <v>30</v>
      </c>
      <c r="S300" s="9">
        <f t="shared" si="8"/>
        <v>170</v>
      </c>
      <c r="T300" s="10" t="str">
        <f t="shared" si="9"/>
        <v>Average</v>
      </c>
    </row>
    <row r="301" spans="1:20">
      <c r="A301" s="2">
        <v>500305</v>
      </c>
      <c r="B301" s="2">
        <v>102046</v>
      </c>
      <c r="C301" s="8">
        <v>45871</v>
      </c>
      <c r="D301" s="2">
        <v>2007</v>
      </c>
      <c r="E301" s="2">
        <v>2</v>
      </c>
      <c r="F301" s="2">
        <v>20</v>
      </c>
      <c r="G301" s="2" t="s">
        <v>20</v>
      </c>
      <c r="H301" s="2" t="s">
        <v>21</v>
      </c>
      <c r="I301" s="2">
        <v>65</v>
      </c>
      <c r="J301" s="2" t="s">
        <v>28</v>
      </c>
      <c r="K301" s="8">
        <v>45965</v>
      </c>
      <c r="L301" s="2" t="s">
        <v>41</v>
      </c>
      <c r="M301" s="2" t="s">
        <v>61</v>
      </c>
      <c r="N301" s="2" t="s">
        <v>34</v>
      </c>
      <c r="O301" s="2">
        <v>75</v>
      </c>
      <c r="P301" s="2">
        <v>120</v>
      </c>
      <c r="Q301" s="2">
        <v>120</v>
      </c>
      <c r="R301" s="9" t="s">
        <v>26</v>
      </c>
      <c r="S301" s="9">
        <f t="shared" si="8"/>
        <v>150</v>
      </c>
      <c r="T301" s="10" t="str">
        <f t="shared" si="9"/>
        <v>High</v>
      </c>
    </row>
    <row r="302" spans="1:20">
      <c r="A302" s="2">
        <v>500306</v>
      </c>
      <c r="B302" s="2">
        <v>108731</v>
      </c>
      <c r="C302" s="8">
        <v>45723</v>
      </c>
      <c r="D302" s="2">
        <v>2002</v>
      </c>
      <c r="E302" s="2">
        <v>1</v>
      </c>
      <c r="F302" s="2">
        <v>5</v>
      </c>
      <c r="G302" s="2" t="s">
        <v>31</v>
      </c>
      <c r="H302" s="2" t="s">
        <v>21</v>
      </c>
      <c r="I302" s="2">
        <v>46</v>
      </c>
      <c r="J302" s="2" t="s">
        <v>48</v>
      </c>
      <c r="K302" s="8">
        <v>46006</v>
      </c>
      <c r="L302" s="2" t="s">
        <v>41</v>
      </c>
      <c r="M302" s="2" t="s">
        <v>33</v>
      </c>
      <c r="N302" s="2" t="s">
        <v>34</v>
      </c>
      <c r="O302" s="2">
        <v>62</v>
      </c>
      <c r="P302" s="2">
        <v>59</v>
      </c>
      <c r="Q302" s="2">
        <v>59</v>
      </c>
      <c r="R302" s="9" t="s">
        <v>26</v>
      </c>
      <c r="S302" s="9">
        <f t="shared" si="8"/>
        <v>62</v>
      </c>
      <c r="T302" s="10" t="str">
        <f t="shared" si="9"/>
        <v>Low</v>
      </c>
    </row>
    <row r="303" spans="1:20">
      <c r="A303" s="2">
        <v>500307</v>
      </c>
      <c r="B303" s="2">
        <v>103309</v>
      </c>
      <c r="C303" s="8">
        <v>45356</v>
      </c>
      <c r="D303" s="2">
        <v>2003</v>
      </c>
      <c r="E303" s="2">
        <v>1</v>
      </c>
      <c r="F303" s="2">
        <v>30</v>
      </c>
      <c r="G303" s="2" t="s">
        <v>20</v>
      </c>
      <c r="H303" s="2" t="s">
        <v>21</v>
      </c>
      <c r="I303" s="2">
        <v>19</v>
      </c>
      <c r="J303" s="2" t="s">
        <v>45</v>
      </c>
      <c r="K303" s="8">
        <v>45870</v>
      </c>
      <c r="L303" s="2" t="s">
        <v>49</v>
      </c>
      <c r="M303" s="2" t="s">
        <v>24</v>
      </c>
      <c r="N303" s="2" t="s">
        <v>25</v>
      </c>
      <c r="O303" s="2">
        <v>9</v>
      </c>
      <c r="P303" s="2">
        <v>6</v>
      </c>
      <c r="Q303" s="2">
        <v>6</v>
      </c>
      <c r="R303" s="9" t="s">
        <v>30</v>
      </c>
      <c r="S303" s="9">
        <f t="shared" si="8"/>
        <v>9</v>
      </c>
      <c r="T303" s="10" t="str">
        <f t="shared" si="9"/>
        <v>High</v>
      </c>
    </row>
    <row r="304" spans="1:20">
      <c r="A304" s="2">
        <v>500308</v>
      </c>
      <c r="B304" s="2">
        <v>103662</v>
      </c>
      <c r="C304" s="8">
        <v>45352</v>
      </c>
      <c r="D304" s="2">
        <v>2003</v>
      </c>
      <c r="E304" s="2">
        <v>2</v>
      </c>
      <c r="F304" s="2">
        <v>10</v>
      </c>
      <c r="G304" s="2" t="s">
        <v>31</v>
      </c>
      <c r="H304" s="2" t="s">
        <v>21</v>
      </c>
      <c r="I304" s="2">
        <v>40</v>
      </c>
      <c r="J304" s="2" t="s">
        <v>32</v>
      </c>
      <c r="K304" s="8">
        <v>45227</v>
      </c>
      <c r="L304" s="2" t="s">
        <v>23</v>
      </c>
      <c r="M304" s="2" t="s">
        <v>24</v>
      </c>
      <c r="N304" s="2" t="s">
        <v>25</v>
      </c>
      <c r="O304" s="2">
        <v>9</v>
      </c>
      <c r="P304" s="2">
        <v>16</v>
      </c>
      <c r="Q304" s="2">
        <v>16</v>
      </c>
      <c r="R304" s="9" t="s">
        <v>30</v>
      </c>
      <c r="S304" s="9">
        <f t="shared" si="8"/>
        <v>18</v>
      </c>
      <c r="T304" s="10" t="str">
        <f t="shared" si="9"/>
        <v>Average</v>
      </c>
    </row>
    <row r="305" spans="1:20">
      <c r="A305" s="2">
        <v>500309</v>
      </c>
      <c r="B305" s="2">
        <v>108051</v>
      </c>
      <c r="C305" s="8">
        <v>45896</v>
      </c>
      <c r="D305" s="2">
        <v>2014</v>
      </c>
      <c r="E305" s="2">
        <v>1</v>
      </c>
      <c r="F305" s="2">
        <v>30</v>
      </c>
      <c r="G305" s="2" t="s">
        <v>56</v>
      </c>
      <c r="H305" s="2" t="s">
        <v>40</v>
      </c>
      <c r="I305" s="2">
        <v>30</v>
      </c>
      <c r="J305" s="2" t="s">
        <v>32</v>
      </c>
      <c r="K305" s="8">
        <v>45563</v>
      </c>
      <c r="L305" s="2" t="s">
        <v>23</v>
      </c>
      <c r="M305" s="2" t="s">
        <v>29</v>
      </c>
      <c r="N305" s="2" t="s">
        <v>25</v>
      </c>
      <c r="O305" s="2">
        <v>42</v>
      </c>
      <c r="P305" s="2">
        <v>29</v>
      </c>
      <c r="Q305" s="2">
        <v>29</v>
      </c>
      <c r="R305" s="9" t="s">
        <v>26</v>
      </c>
      <c r="S305" s="9">
        <f t="shared" si="8"/>
        <v>42</v>
      </c>
      <c r="T305" s="10" t="str">
        <f t="shared" si="9"/>
        <v>High</v>
      </c>
    </row>
    <row r="306" spans="1:20">
      <c r="A306" s="2">
        <v>500310</v>
      </c>
      <c r="B306" s="2">
        <v>101765</v>
      </c>
      <c r="C306" s="8">
        <v>45928</v>
      </c>
      <c r="D306" s="2">
        <v>2005</v>
      </c>
      <c r="E306" s="2">
        <v>4</v>
      </c>
      <c r="F306" s="2">
        <v>0</v>
      </c>
      <c r="G306" s="2" t="s">
        <v>27</v>
      </c>
      <c r="H306" s="2" t="s">
        <v>21</v>
      </c>
      <c r="I306" s="2">
        <v>45</v>
      </c>
      <c r="J306" s="2" t="s">
        <v>45</v>
      </c>
      <c r="K306" s="8">
        <v>45883</v>
      </c>
      <c r="L306" s="2" t="s">
        <v>23</v>
      </c>
      <c r="M306" s="2" t="s">
        <v>51</v>
      </c>
      <c r="N306" s="2" t="s">
        <v>25</v>
      </c>
      <c r="O306" s="2">
        <v>28</v>
      </c>
      <c r="P306" s="2">
        <v>112</v>
      </c>
      <c r="Q306" s="2">
        <v>112</v>
      </c>
      <c r="R306" s="9" t="s">
        <v>26</v>
      </c>
      <c r="S306" s="9">
        <f t="shared" si="8"/>
        <v>112</v>
      </c>
      <c r="T306" s="10" t="str">
        <f t="shared" si="9"/>
        <v>Low</v>
      </c>
    </row>
    <row r="307" spans="1:20">
      <c r="A307" s="2">
        <v>500311</v>
      </c>
      <c r="B307" s="2">
        <v>108993</v>
      </c>
      <c r="C307" s="8">
        <v>45386</v>
      </c>
      <c r="D307" s="2">
        <v>2004</v>
      </c>
      <c r="E307" s="2">
        <v>2</v>
      </c>
      <c r="F307" s="2">
        <v>15</v>
      </c>
      <c r="G307" s="2" t="s">
        <v>56</v>
      </c>
      <c r="H307" s="2" t="s">
        <v>21</v>
      </c>
      <c r="I307" s="2">
        <v>65</v>
      </c>
      <c r="J307" s="2" t="s">
        <v>35</v>
      </c>
      <c r="K307" s="8">
        <v>45270</v>
      </c>
      <c r="L307" s="2" t="s">
        <v>23</v>
      </c>
      <c r="M307" s="2" t="s">
        <v>46</v>
      </c>
      <c r="N307" s="2" t="s">
        <v>34</v>
      </c>
      <c r="O307" s="2">
        <v>35</v>
      </c>
      <c r="P307" s="2">
        <v>60</v>
      </c>
      <c r="Q307" s="2">
        <v>60</v>
      </c>
      <c r="R307" s="9" t="s">
        <v>30</v>
      </c>
      <c r="S307" s="9">
        <f t="shared" si="8"/>
        <v>70</v>
      </c>
      <c r="T307" s="10" t="str">
        <f t="shared" si="9"/>
        <v>High</v>
      </c>
    </row>
    <row r="308" spans="1:20">
      <c r="A308" s="2">
        <v>500312</v>
      </c>
      <c r="B308" s="2">
        <v>105595</v>
      </c>
      <c r="C308" s="8">
        <v>45978</v>
      </c>
      <c r="D308" s="2">
        <v>2017</v>
      </c>
      <c r="E308" s="2">
        <v>1</v>
      </c>
      <c r="F308" s="2">
        <v>0</v>
      </c>
      <c r="G308" s="2" t="s">
        <v>20</v>
      </c>
      <c r="H308" s="2" t="s">
        <v>21</v>
      </c>
      <c r="I308" s="2">
        <v>58</v>
      </c>
      <c r="J308" s="2" t="s">
        <v>22</v>
      </c>
      <c r="K308" s="8">
        <v>45218</v>
      </c>
      <c r="L308" s="2" t="s">
        <v>41</v>
      </c>
      <c r="M308" s="2" t="s">
        <v>44</v>
      </c>
      <c r="N308" s="2" t="s">
        <v>25</v>
      </c>
      <c r="O308" s="2">
        <v>11</v>
      </c>
      <c r="P308" s="2">
        <v>11</v>
      </c>
      <c r="Q308" s="2">
        <v>11</v>
      </c>
      <c r="R308" s="9" t="s">
        <v>26</v>
      </c>
      <c r="S308" s="9">
        <f t="shared" si="8"/>
        <v>11</v>
      </c>
      <c r="T308" s="10" t="str">
        <f t="shared" si="9"/>
        <v>Low</v>
      </c>
    </row>
    <row r="309" spans="1:20">
      <c r="A309" s="2">
        <v>500313</v>
      </c>
      <c r="B309" s="2">
        <v>105876</v>
      </c>
      <c r="C309" s="8">
        <v>45590</v>
      </c>
      <c r="D309" s="2">
        <v>2017</v>
      </c>
      <c r="E309" s="2">
        <v>1</v>
      </c>
      <c r="F309" s="2">
        <v>15</v>
      </c>
      <c r="G309" s="2" t="s">
        <v>56</v>
      </c>
      <c r="H309" s="2" t="s">
        <v>21</v>
      </c>
      <c r="I309" s="2">
        <v>22</v>
      </c>
      <c r="J309" s="2" t="s">
        <v>35</v>
      </c>
      <c r="K309" s="8">
        <v>45635</v>
      </c>
      <c r="L309" s="2" t="s">
        <v>41</v>
      </c>
      <c r="M309" s="2" t="s">
        <v>44</v>
      </c>
      <c r="N309" s="2" t="s">
        <v>25</v>
      </c>
      <c r="O309" s="2">
        <v>11</v>
      </c>
      <c r="P309" s="2">
        <v>9</v>
      </c>
      <c r="Q309" s="2">
        <v>9</v>
      </c>
      <c r="R309" s="9" t="s">
        <v>30</v>
      </c>
      <c r="S309" s="9">
        <f t="shared" si="8"/>
        <v>11</v>
      </c>
      <c r="T309" s="10" t="str">
        <f t="shared" si="9"/>
        <v>High</v>
      </c>
    </row>
    <row r="310" spans="1:20">
      <c r="A310" s="2">
        <v>500314</v>
      </c>
      <c r="B310" s="2">
        <v>108721</v>
      </c>
      <c r="C310" s="8">
        <v>45351</v>
      </c>
      <c r="D310" s="2">
        <v>2001</v>
      </c>
      <c r="E310" s="2">
        <v>1</v>
      </c>
      <c r="F310" s="2">
        <v>10</v>
      </c>
      <c r="G310" s="2" t="s">
        <v>27</v>
      </c>
      <c r="H310" s="2" t="s">
        <v>21</v>
      </c>
      <c r="I310" s="2">
        <v>52</v>
      </c>
      <c r="J310" s="2" t="s">
        <v>35</v>
      </c>
      <c r="K310" s="8">
        <v>45662</v>
      </c>
      <c r="L310" s="2" t="s">
        <v>23</v>
      </c>
      <c r="M310" s="2" t="s">
        <v>50</v>
      </c>
      <c r="N310" s="2" t="s">
        <v>34</v>
      </c>
      <c r="O310" s="2">
        <v>18</v>
      </c>
      <c r="P310" s="2">
        <v>16</v>
      </c>
      <c r="Q310" s="2">
        <v>16</v>
      </c>
      <c r="R310" s="9" t="s">
        <v>30</v>
      </c>
      <c r="S310" s="9">
        <f t="shared" si="8"/>
        <v>18</v>
      </c>
      <c r="T310" s="10" t="str">
        <f t="shared" si="9"/>
        <v>Average</v>
      </c>
    </row>
    <row r="311" spans="1:20">
      <c r="A311" s="2">
        <v>500315</v>
      </c>
      <c r="B311" s="2">
        <v>105592</v>
      </c>
      <c r="C311" s="8">
        <v>45580</v>
      </c>
      <c r="D311" s="2">
        <v>2013</v>
      </c>
      <c r="E311" s="2">
        <v>1</v>
      </c>
      <c r="F311" s="2">
        <v>0</v>
      </c>
      <c r="G311" s="2" t="s">
        <v>20</v>
      </c>
      <c r="H311" s="2" t="s">
        <v>21</v>
      </c>
      <c r="I311" s="2">
        <v>45</v>
      </c>
      <c r="J311" s="2" t="s">
        <v>22</v>
      </c>
      <c r="K311" s="8">
        <v>45487</v>
      </c>
      <c r="L311" s="2" t="s">
        <v>23</v>
      </c>
      <c r="M311" s="2" t="s">
        <v>53</v>
      </c>
      <c r="N311" s="2" t="s">
        <v>54</v>
      </c>
      <c r="O311" s="2">
        <v>7</v>
      </c>
      <c r="P311" s="2">
        <v>7</v>
      </c>
      <c r="Q311" s="2">
        <v>7</v>
      </c>
      <c r="R311" s="9" t="s">
        <v>30</v>
      </c>
      <c r="S311" s="9">
        <f t="shared" si="8"/>
        <v>7</v>
      </c>
      <c r="T311" s="10" t="str">
        <f t="shared" si="9"/>
        <v>Low</v>
      </c>
    </row>
    <row r="312" spans="1:20">
      <c r="A312" s="2">
        <v>500316</v>
      </c>
      <c r="B312" s="2">
        <v>108058</v>
      </c>
      <c r="C312" s="8">
        <v>45923</v>
      </c>
      <c r="D312" s="2">
        <v>2007</v>
      </c>
      <c r="E312" s="2">
        <v>1</v>
      </c>
      <c r="F312" s="2">
        <v>10</v>
      </c>
      <c r="G312" s="2" t="s">
        <v>20</v>
      </c>
      <c r="H312" s="2" t="s">
        <v>21</v>
      </c>
      <c r="I312" s="2">
        <v>41</v>
      </c>
      <c r="J312" s="2" t="s">
        <v>35</v>
      </c>
      <c r="K312" s="8">
        <v>44941</v>
      </c>
      <c r="L312" s="2" t="s">
        <v>23</v>
      </c>
      <c r="M312" s="2" t="s">
        <v>61</v>
      </c>
      <c r="N312" s="2" t="s">
        <v>34</v>
      </c>
      <c r="O312" s="2">
        <v>75</v>
      </c>
      <c r="P312" s="2">
        <v>68</v>
      </c>
      <c r="Q312" s="2">
        <v>68</v>
      </c>
      <c r="R312" s="9" t="s">
        <v>26</v>
      </c>
      <c r="S312" s="9">
        <f t="shared" si="8"/>
        <v>75</v>
      </c>
      <c r="T312" s="10" t="str">
        <f t="shared" si="9"/>
        <v>Average</v>
      </c>
    </row>
    <row r="313" spans="1:20">
      <c r="A313" s="2">
        <v>500317</v>
      </c>
      <c r="B313" s="2">
        <v>102656</v>
      </c>
      <c r="C313" s="8">
        <v>45858</v>
      </c>
      <c r="D313" s="2">
        <v>2005</v>
      </c>
      <c r="E313" s="2">
        <v>2</v>
      </c>
      <c r="F313" s="2">
        <v>30</v>
      </c>
      <c r="G313" s="2" t="s">
        <v>20</v>
      </c>
      <c r="H313" s="2" t="s">
        <v>21</v>
      </c>
      <c r="I313" s="2">
        <v>45</v>
      </c>
      <c r="J313" s="2" t="s">
        <v>38</v>
      </c>
      <c r="K313" s="8">
        <v>45623</v>
      </c>
      <c r="L313" s="2" t="s">
        <v>23</v>
      </c>
      <c r="M313" s="2" t="s">
        <v>51</v>
      </c>
      <c r="N313" s="2" t="s">
        <v>25</v>
      </c>
      <c r="O313" s="2">
        <v>28</v>
      </c>
      <c r="P313" s="2">
        <v>39</v>
      </c>
      <c r="Q313" s="2">
        <v>39</v>
      </c>
      <c r="R313" s="9" t="s">
        <v>26</v>
      </c>
      <c r="S313" s="9">
        <f t="shared" si="8"/>
        <v>56</v>
      </c>
      <c r="T313" s="10" t="str">
        <f t="shared" si="9"/>
        <v>High</v>
      </c>
    </row>
    <row r="314" spans="1:20">
      <c r="A314" s="2">
        <v>500318</v>
      </c>
      <c r="B314" s="2">
        <v>104566</v>
      </c>
      <c r="C314" s="8">
        <v>45708</v>
      </c>
      <c r="D314" s="2">
        <v>2008</v>
      </c>
      <c r="E314" s="2">
        <v>3</v>
      </c>
      <c r="F314" s="2">
        <v>0</v>
      </c>
      <c r="G314" s="2" t="s">
        <v>27</v>
      </c>
      <c r="H314" s="2" t="s">
        <v>21</v>
      </c>
      <c r="I314" s="2">
        <v>34</v>
      </c>
      <c r="J314" s="2" t="s">
        <v>35</v>
      </c>
      <c r="K314" s="8">
        <v>45995</v>
      </c>
      <c r="L314" s="2" t="s">
        <v>41</v>
      </c>
      <c r="M314" s="2" t="s">
        <v>39</v>
      </c>
      <c r="N314" s="2" t="s">
        <v>25</v>
      </c>
      <c r="O314" s="2">
        <v>14</v>
      </c>
      <c r="P314" s="2">
        <v>42</v>
      </c>
      <c r="Q314" s="2">
        <v>42</v>
      </c>
      <c r="R314" s="9" t="s">
        <v>26</v>
      </c>
      <c r="S314" s="9">
        <f t="shared" si="8"/>
        <v>42</v>
      </c>
      <c r="T314" s="10" t="str">
        <f t="shared" si="9"/>
        <v>Low</v>
      </c>
    </row>
    <row r="315" spans="1:20">
      <c r="A315" s="2">
        <v>500319</v>
      </c>
      <c r="B315" s="2">
        <v>102235</v>
      </c>
      <c r="C315" s="8">
        <v>45533</v>
      </c>
      <c r="D315" s="2">
        <v>2011</v>
      </c>
      <c r="E315" s="2">
        <v>3</v>
      </c>
      <c r="F315" s="2">
        <v>0</v>
      </c>
      <c r="G315" s="2" t="s">
        <v>31</v>
      </c>
      <c r="H315" s="2" t="s">
        <v>21</v>
      </c>
      <c r="I315" s="2">
        <v>46</v>
      </c>
      <c r="J315" s="2" t="s">
        <v>48</v>
      </c>
      <c r="K315" s="8">
        <v>45005</v>
      </c>
      <c r="L315" s="2" t="s">
        <v>23</v>
      </c>
      <c r="M315" s="2" t="s">
        <v>42</v>
      </c>
      <c r="N315" s="2" t="s">
        <v>37</v>
      </c>
      <c r="O315" s="2">
        <v>32</v>
      </c>
      <c r="P315" s="2">
        <v>96</v>
      </c>
      <c r="Q315" s="2">
        <v>96</v>
      </c>
      <c r="R315" s="9" t="s">
        <v>30</v>
      </c>
      <c r="S315" s="9">
        <f t="shared" si="8"/>
        <v>96</v>
      </c>
      <c r="T315" s="10" t="str">
        <f t="shared" si="9"/>
        <v>Low</v>
      </c>
    </row>
    <row r="316" spans="1:20">
      <c r="A316" s="2">
        <v>500320</v>
      </c>
      <c r="B316" s="2">
        <v>107750</v>
      </c>
      <c r="C316" s="8">
        <v>45653</v>
      </c>
      <c r="D316" s="2">
        <v>2017</v>
      </c>
      <c r="E316" s="2">
        <v>1</v>
      </c>
      <c r="F316" s="2">
        <v>5</v>
      </c>
      <c r="G316" s="2" t="s">
        <v>20</v>
      </c>
      <c r="H316" s="2" t="s">
        <v>47</v>
      </c>
      <c r="I316" s="2">
        <v>65</v>
      </c>
      <c r="J316" s="2" t="s">
        <v>45</v>
      </c>
      <c r="K316" s="8">
        <v>45012</v>
      </c>
      <c r="L316" s="2" t="s">
        <v>49</v>
      </c>
      <c r="M316" s="2" t="s">
        <v>44</v>
      </c>
      <c r="N316" s="2" t="s">
        <v>25</v>
      </c>
      <c r="O316" s="2">
        <v>11</v>
      </c>
      <c r="P316" s="2">
        <v>10</v>
      </c>
      <c r="Q316" s="2">
        <v>10</v>
      </c>
      <c r="R316" s="9" t="s">
        <v>30</v>
      </c>
      <c r="S316" s="9">
        <f t="shared" si="8"/>
        <v>11</v>
      </c>
      <c r="T316" s="10" t="str">
        <f t="shared" si="9"/>
        <v>Low</v>
      </c>
    </row>
    <row r="317" spans="1:20">
      <c r="A317" s="2">
        <v>500321</v>
      </c>
      <c r="B317" s="2">
        <v>109037</v>
      </c>
      <c r="C317" s="8">
        <v>45621</v>
      </c>
      <c r="D317" s="2">
        <v>2010</v>
      </c>
      <c r="E317" s="2">
        <v>1</v>
      </c>
      <c r="F317" s="2">
        <v>5</v>
      </c>
      <c r="G317" s="2" t="s">
        <v>20</v>
      </c>
      <c r="H317" s="2" t="s">
        <v>21</v>
      </c>
      <c r="I317" s="2">
        <v>47</v>
      </c>
      <c r="J317" s="2" t="s">
        <v>52</v>
      </c>
      <c r="K317" s="8">
        <v>45668</v>
      </c>
      <c r="L317" s="2" t="s">
        <v>23</v>
      </c>
      <c r="M317" s="2" t="s">
        <v>58</v>
      </c>
      <c r="N317" s="2" t="s">
        <v>59</v>
      </c>
      <c r="O317" s="2">
        <v>55</v>
      </c>
      <c r="P317" s="2">
        <v>52</v>
      </c>
      <c r="Q317" s="2">
        <v>52</v>
      </c>
      <c r="R317" s="9" t="s">
        <v>30</v>
      </c>
      <c r="S317" s="9">
        <f t="shared" si="8"/>
        <v>55</v>
      </c>
      <c r="T317" s="10" t="str">
        <f t="shared" si="9"/>
        <v>Low</v>
      </c>
    </row>
    <row r="318" spans="1:20">
      <c r="A318" s="2">
        <v>500322</v>
      </c>
      <c r="B318" s="2">
        <v>101855</v>
      </c>
      <c r="C318" s="8">
        <v>45628</v>
      </c>
      <c r="D318" s="2">
        <v>2016</v>
      </c>
      <c r="E318" s="2">
        <v>2</v>
      </c>
      <c r="F318" s="2">
        <v>10</v>
      </c>
      <c r="G318" s="2" t="s">
        <v>27</v>
      </c>
      <c r="H318" s="2" t="s">
        <v>21</v>
      </c>
      <c r="I318" s="2">
        <v>23</v>
      </c>
      <c r="J318" s="2" t="s">
        <v>32</v>
      </c>
      <c r="K318" s="8">
        <v>45956</v>
      </c>
      <c r="L318" s="2" t="s">
        <v>41</v>
      </c>
      <c r="M318" s="2" t="s">
        <v>67</v>
      </c>
      <c r="N318" s="2" t="s">
        <v>34</v>
      </c>
      <c r="O318" s="2">
        <v>21</v>
      </c>
      <c r="P318" s="2">
        <v>38</v>
      </c>
      <c r="Q318" s="2">
        <v>38</v>
      </c>
      <c r="R318" s="9" t="s">
        <v>30</v>
      </c>
      <c r="S318" s="9">
        <f t="shared" si="8"/>
        <v>42</v>
      </c>
      <c r="T318" s="10" t="str">
        <f t="shared" si="9"/>
        <v>Average</v>
      </c>
    </row>
    <row r="319" spans="1:20">
      <c r="A319" s="2">
        <v>500323</v>
      </c>
      <c r="B319" s="2">
        <v>109297</v>
      </c>
      <c r="C319" s="8">
        <v>45715</v>
      </c>
      <c r="D319" s="2">
        <v>2003</v>
      </c>
      <c r="E319" s="2">
        <v>2</v>
      </c>
      <c r="F319" s="2">
        <v>10</v>
      </c>
      <c r="G319" s="2" t="s">
        <v>20</v>
      </c>
      <c r="H319" s="2" t="s">
        <v>21</v>
      </c>
      <c r="I319" s="2">
        <v>54</v>
      </c>
      <c r="J319" s="2" t="s">
        <v>32</v>
      </c>
      <c r="K319" s="8">
        <v>45139</v>
      </c>
      <c r="L319" s="2" t="s">
        <v>23</v>
      </c>
      <c r="M319" s="2" t="s">
        <v>24</v>
      </c>
      <c r="N319" s="2" t="s">
        <v>25</v>
      </c>
      <c r="O319" s="2">
        <v>9</v>
      </c>
      <c r="P319" s="2">
        <v>16</v>
      </c>
      <c r="Q319" s="2">
        <v>16</v>
      </c>
      <c r="R319" s="9" t="s">
        <v>26</v>
      </c>
      <c r="S319" s="9">
        <f t="shared" si="8"/>
        <v>18</v>
      </c>
      <c r="T319" s="10" t="str">
        <f t="shared" si="9"/>
        <v>Average</v>
      </c>
    </row>
    <row r="320" spans="1:20">
      <c r="A320" s="2">
        <v>500324</v>
      </c>
      <c r="B320" s="2">
        <v>100255</v>
      </c>
      <c r="C320" s="8">
        <v>45685</v>
      </c>
      <c r="D320" s="2">
        <v>2005</v>
      </c>
      <c r="E320" s="2">
        <v>5</v>
      </c>
      <c r="F320" s="2">
        <v>0</v>
      </c>
      <c r="G320" s="2" t="s">
        <v>31</v>
      </c>
      <c r="H320" s="2" t="s">
        <v>21</v>
      </c>
      <c r="I320" s="2">
        <v>49</v>
      </c>
      <c r="J320" s="2" t="s">
        <v>38</v>
      </c>
      <c r="K320" s="8">
        <v>45726</v>
      </c>
      <c r="L320" s="2" t="s">
        <v>41</v>
      </c>
      <c r="M320" s="2" t="s">
        <v>51</v>
      </c>
      <c r="N320" s="2" t="s">
        <v>25</v>
      </c>
      <c r="O320" s="2">
        <v>28</v>
      </c>
      <c r="P320" s="2">
        <v>140</v>
      </c>
      <c r="Q320" s="2">
        <v>140</v>
      </c>
      <c r="R320" s="9" t="s">
        <v>26</v>
      </c>
      <c r="S320" s="9">
        <f t="shared" si="8"/>
        <v>140</v>
      </c>
      <c r="T320" s="10" t="str">
        <f t="shared" si="9"/>
        <v>Low</v>
      </c>
    </row>
    <row r="321" spans="1:20">
      <c r="A321" s="2">
        <v>500325</v>
      </c>
      <c r="B321" s="2">
        <v>107926</v>
      </c>
      <c r="C321" s="8">
        <v>45380</v>
      </c>
      <c r="D321" s="2">
        <v>2016</v>
      </c>
      <c r="E321" s="2">
        <v>2</v>
      </c>
      <c r="F321" s="2">
        <v>0</v>
      </c>
      <c r="G321" s="2" t="s">
        <v>56</v>
      </c>
      <c r="H321" s="2" t="s">
        <v>21</v>
      </c>
      <c r="I321" s="2">
        <v>51</v>
      </c>
      <c r="J321" s="2" t="s">
        <v>32</v>
      </c>
      <c r="K321" s="8">
        <v>45769</v>
      </c>
      <c r="L321" s="2" t="s">
        <v>41</v>
      </c>
      <c r="M321" s="2" t="s">
        <v>67</v>
      </c>
      <c r="N321" s="2" t="s">
        <v>34</v>
      </c>
      <c r="O321" s="2">
        <v>21</v>
      </c>
      <c r="P321" s="2">
        <v>42</v>
      </c>
      <c r="Q321" s="2">
        <v>42</v>
      </c>
      <c r="R321" s="9" t="s">
        <v>30</v>
      </c>
      <c r="S321" s="9">
        <f t="shared" si="8"/>
        <v>42</v>
      </c>
      <c r="T321" s="10" t="str">
        <f t="shared" si="9"/>
        <v>Low</v>
      </c>
    </row>
    <row r="322" spans="1:20">
      <c r="A322" s="2">
        <v>500326</v>
      </c>
      <c r="B322" s="2">
        <v>109135</v>
      </c>
      <c r="C322" s="8">
        <v>45542</v>
      </c>
      <c r="D322" s="2">
        <v>2007</v>
      </c>
      <c r="E322" s="2">
        <v>4</v>
      </c>
      <c r="F322" s="2">
        <v>20</v>
      </c>
      <c r="G322" s="2" t="s">
        <v>56</v>
      </c>
      <c r="H322" s="2" t="s">
        <v>21</v>
      </c>
      <c r="I322" s="2">
        <v>28</v>
      </c>
      <c r="J322" s="2" t="s">
        <v>38</v>
      </c>
      <c r="K322" s="8">
        <v>45429</v>
      </c>
      <c r="L322" s="2" t="s">
        <v>23</v>
      </c>
      <c r="M322" s="2" t="s">
        <v>61</v>
      </c>
      <c r="N322" s="2" t="s">
        <v>34</v>
      </c>
      <c r="O322" s="2">
        <v>75</v>
      </c>
      <c r="P322" s="2">
        <v>240</v>
      </c>
      <c r="Q322" s="2">
        <v>240</v>
      </c>
      <c r="R322" s="9" t="s">
        <v>30</v>
      </c>
      <c r="S322" s="9">
        <f t="shared" ref="S322:S385" si="10">SUM(E322*O322)</f>
        <v>300</v>
      </c>
      <c r="T322" s="10" t="str">
        <f t="shared" ref="T322:T385" si="11">IF(F322&lt;=5,"Low",IF(F322&lt;=10,"Average",IF(F322&gt;10,"High")))</f>
        <v>High</v>
      </c>
    </row>
    <row r="323" spans="1:20">
      <c r="A323" s="2">
        <v>500327</v>
      </c>
      <c r="B323" s="2">
        <v>107966</v>
      </c>
      <c r="C323" s="8">
        <v>45403</v>
      </c>
      <c r="D323" s="2">
        <v>2003</v>
      </c>
      <c r="E323" s="2">
        <v>3</v>
      </c>
      <c r="F323" s="2">
        <v>0</v>
      </c>
      <c r="G323" s="2" t="s">
        <v>20</v>
      </c>
      <c r="H323" s="2" t="s">
        <v>21</v>
      </c>
      <c r="I323" s="2">
        <v>45</v>
      </c>
      <c r="J323" s="2" t="s">
        <v>38</v>
      </c>
      <c r="K323" s="8">
        <v>44952</v>
      </c>
      <c r="L323" s="2" t="s">
        <v>41</v>
      </c>
      <c r="M323" s="2" t="s">
        <v>24</v>
      </c>
      <c r="N323" s="2" t="s">
        <v>25</v>
      </c>
      <c r="O323" s="2">
        <v>9</v>
      </c>
      <c r="P323" s="2">
        <v>27</v>
      </c>
      <c r="Q323" s="2">
        <v>27</v>
      </c>
      <c r="R323" s="9" t="s">
        <v>30</v>
      </c>
      <c r="S323" s="9">
        <f t="shared" si="10"/>
        <v>27</v>
      </c>
      <c r="T323" s="10" t="str">
        <f t="shared" si="11"/>
        <v>Low</v>
      </c>
    </row>
    <row r="324" spans="1:20">
      <c r="A324" s="2">
        <v>500328</v>
      </c>
      <c r="B324" s="2">
        <v>109495</v>
      </c>
      <c r="C324" s="8">
        <v>45812</v>
      </c>
      <c r="D324" s="2">
        <v>2017</v>
      </c>
      <c r="E324" s="2">
        <v>1</v>
      </c>
      <c r="F324" s="2">
        <v>10</v>
      </c>
      <c r="G324" s="2" t="s">
        <v>27</v>
      </c>
      <c r="H324" s="2" t="s">
        <v>47</v>
      </c>
      <c r="I324" s="2">
        <v>45</v>
      </c>
      <c r="J324" s="2" t="s">
        <v>32</v>
      </c>
      <c r="K324" s="8">
        <v>45464</v>
      </c>
      <c r="L324" s="2" t="s">
        <v>23</v>
      </c>
      <c r="M324" s="2" t="s">
        <v>44</v>
      </c>
      <c r="N324" s="2" t="s">
        <v>25</v>
      </c>
      <c r="O324" s="2">
        <v>11</v>
      </c>
      <c r="P324" s="2">
        <v>10</v>
      </c>
      <c r="Q324" s="2">
        <v>10</v>
      </c>
      <c r="R324" s="9" t="s">
        <v>26</v>
      </c>
      <c r="S324" s="9">
        <f t="shared" si="10"/>
        <v>11</v>
      </c>
      <c r="T324" s="10" t="str">
        <f t="shared" si="11"/>
        <v>Average</v>
      </c>
    </row>
    <row r="325" spans="1:20">
      <c r="A325" s="2">
        <v>500329</v>
      </c>
      <c r="B325" s="2">
        <v>108817</v>
      </c>
      <c r="C325" s="8">
        <v>45657</v>
      </c>
      <c r="D325" s="2">
        <v>2001</v>
      </c>
      <c r="E325" s="2">
        <v>2</v>
      </c>
      <c r="F325" s="2">
        <v>0</v>
      </c>
      <c r="G325" s="2" t="s">
        <v>56</v>
      </c>
      <c r="H325" s="2" t="s">
        <v>21</v>
      </c>
      <c r="I325" s="2">
        <v>35</v>
      </c>
      <c r="J325" s="2" t="s">
        <v>43</v>
      </c>
      <c r="K325" s="8">
        <v>44960</v>
      </c>
      <c r="L325" s="2" t="s">
        <v>41</v>
      </c>
      <c r="M325" s="2" t="s">
        <v>50</v>
      </c>
      <c r="N325" s="2" t="s">
        <v>34</v>
      </c>
      <c r="O325" s="2">
        <v>18</v>
      </c>
      <c r="P325" s="2">
        <v>36</v>
      </c>
      <c r="Q325" s="2">
        <v>36</v>
      </c>
      <c r="R325" s="9" t="s">
        <v>30</v>
      </c>
      <c r="S325" s="9">
        <f t="shared" si="10"/>
        <v>36</v>
      </c>
      <c r="T325" s="10" t="str">
        <f t="shared" si="11"/>
        <v>Low</v>
      </c>
    </row>
    <row r="326" spans="1:20">
      <c r="A326" s="2">
        <v>500330</v>
      </c>
      <c r="B326" s="2">
        <v>107264</v>
      </c>
      <c r="C326" s="8">
        <v>45872</v>
      </c>
      <c r="D326" s="2">
        <v>2013</v>
      </c>
      <c r="E326" s="2">
        <v>2</v>
      </c>
      <c r="F326" s="2">
        <v>0</v>
      </c>
      <c r="G326" s="2" t="s">
        <v>31</v>
      </c>
      <c r="H326" s="2" t="s">
        <v>47</v>
      </c>
      <c r="I326" s="2">
        <v>64</v>
      </c>
      <c r="J326" s="2" t="s">
        <v>32</v>
      </c>
      <c r="K326" s="8">
        <v>45733</v>
      </c>
      <c r="L326" s="2" t="s">
        <v>41</v>
      </c>
      <c r="M326" s="2" t="s">
        <v>53</v>
      </c>
      <c r="N326" s="2" t="s">
        <v>54</v>
      </c>
      <c r="O326" s="2">
        <v>7</v>
      </c>
      <c r="P326" s="2">
        <v>14</v>
      </c>
      <c r="Q326" s="2">
        <v>14</v>
      </c>
      <c r="R326" s="9" t="s">
        <v>26</v>
      </c>
      <c r="S326" s="9">
        <f t="shared" si="10"/>
        <v>14</v>
      </c>
      <c r="T326" s="10" t="str">
        <f t="shared" si="11"/>
        <v>Low</v>
      </c>
    </row>
    <row r="327" spans="1:20">
      <c r="A327" s="2">
        <v>500331</v>
      </c>
      <c r="B327" s="2">
        <v>101849</v>
      </c>
      <c r="C327" s="8">
        <v>45367</v>
      </c>
      <c r="D327" s="2">
        <v>2007</v>
      </c>
      <c r="E327" s="2">
        <v>5</v>
      </c>
      <c r="F327" s="2">
        <v>5</v>
      </c>
      <c r="G327" s="2" t="s">
        <v>20</v>
      </c>
      <c r="H327" s="2" t="s">
        <v>21</v>
      </c>
      <c r="I327" s="2">
        <v>43</v>
      </c>
      <c r="J327" s="2" t="s">
        <v>32</v>
      </c>
      <c r="K327" s="8">
        <v>45649</v>
      </c>
      <c r="L327" s="2" t="s">
        <v>41</v>
      </c>
      <c r="M327" s="2" t="s">
        <v>61</v>
      </c>
      <c r="N327" s="2" t="s">
        <v>34</v>
      </c>
      <c r="O327" s="2">
        <v>75</v>
      </c>
      <c r="P327" s="2">
        <v>356</v>
      </c>
      <c r="Q327" s="2">
        <v>356</v>
      </c>
      <c r="R327" s="9" t="s">
        <v>30</v>
      </c>
      <c r="S327" s="9">
        <f t="shared" si="10"/>
        <v>375</v>
      </c>
      <c r="T327" s="10" t="str">
        <f t="shared" si="11"/>
        <v>Low</v>
      </c>
    </row>
    <row r="328" spans="1:20">
      <c r="A328" s="2">
        <v>500332</v>
      </c>
      <c r="B328" s="2">
        <v>103374</v>
      </c>
      <c r="C328" s="8">
        <v>45590</v>
      </c>
      <c r="D328" s="2">
        <v>2005</v>
      </c>
      <c r="E328" s="2">
        <v>2</v>
      </c>
      <c r="F328" s="2">
        <v>0</v>
      </c>
      <c r="G328" s="2" t="s">
        <v>31</v>
      </c>
      <c r="H328" s="2" t="s">
        <v>21</v>
      </c>
      <c r="I328" s="2">
        <v>42</v>
      </c>
      <c r="J328" s="2" t="s">
        <v>45</v>
      </c>
      <c r="K328" s="8">
        <v>45971</v>
      </c>
      <c r="L328" s="2" t="s">
        <v>23</v>
      </c>
      <c r="M328" s="2" t="s">
        <v>51</v>
      </c>
      <c r="N328" s="2" t="s">
        <v>25</v>
      </c>
      <c r="O328" s="2">
        <v>28</v>
      </c>
      <c r="P328" s="2">
        <v>56</v>
      </c>
      <c r="Q328" s="2">
        <v>56</v>
      </c>
      <c r="R328" s="9" t="s">
        <v>30</v>
      </c>
      <c r="S328" s="9">
        <f t="shared" si="10"/>
        <v>56</v>
      </c>
      <c r="T328" s="10" t="str">
        <f t="shared" si="11"/>
        <v>Low</v>
      </c>
    </row>
    <row r="329" spans="1:20">
      <c r="A329" s="2">
        <v>500333</v>
      </c>
      <c r="B329" s="2">
        <v>101940</v>
      </c>
      <c r="C329" s="8">
        <v>45447</v>
      </c>
      <c r="D329" s="2">
        <v>2020</v>
      </c>
      <c r="E329" s="2">
        <v>2</v>
      </c>
      <c r="F329" s="2">
        <v>15</v>
      </c>
      <c r="G329" s="2" t="s">
        <v>20</v>
      </c>
      <c r="H329" s="2" t="s">
        <v>21</v>
      </c>
      <c r="I329" s="2">
        <v>27</v>
      </c>
      <c r="J329" s="2" t="s">
        <v>32</v>
      </c>
      <c r="K329" s="8">
        <v>45601</v>
      </c>
      <c r="L329" s="2" t="s">
        <v>23</v>
      </c>
      <c r="M329" s="2" t="s">
        <v>62</v>
      </c>
      <c r="N329" s="2" t="s">
        <v>63</v>
      </c>
      <c r="O329" s="2">
        <v>68</v>
      </c>
      <c r="P329" s="2">
        <v>116</v>
      </c>
      <c r="Q329" s="2">
        <v>116</v>
      </c>
      <c r="R329" s="9" t="s">
        <v>30</v>
      </c>
      <c r="S329" s="9">
        <f t="shared" si="10"/>
        <v>136</v>
      </c>
      <c r="T329" s="10" t="str">
        <f t="shared" si="11"/>
        <v>High</v>
      </c>
    </row>
    <row r="330" spans="1:20">
      <c r="A330" s="2">
        <v>500334</v>
      </c>
      <c r="B330" s="2">
        <v>100839</v>
      </c>
      <c r="C330" s="8">
        <v>45371</v>
      </c>
      <c r="D330" s="2">
        <v>2011</v>
      </c>
      <c r="E330" s="2">
        <v>3</v>
      </c>
      <c r="F330" s="2">
        <v>0</v>
      </c>
      <c r="G330" s="2" t="s">
        <v>20</v>
      </c>
      <c r="H330" s="2" t="s">
        <v>21</v>
      </c>
      <c r="I330" s="2">
        <v>18</v>
      </c>
      <c r="J330" s="2" t="s">
        <v>43</v>
      </c>
      <c r="K330" s="8">
        <v>45062</v>
      </c>
      <c r="L330" s="2" t="s">
        <v>23</v>
      </c>
      <c r="M330" s="2" t="s">
        <v>42</v>
      </c>
      <c r="N330" s="2" t="s">
        <v>37</v>
      </c>
      <c r="O330" s="2">
        <v>32</v>
      </c>
      <c r="P330" s="2">
        <v>96</v>
      </c>
      <c r="Q330" s="2">
        <v>96</v>
      </c>
      <c r="R330" s="9" t="s">
        <v>30</v>
      </c>
      <c r="S330" s="9">
        <f t="shared" si="10"/>
        <v>96</v>
      </c>
      <c r="T330" s="10" t="str">
        <f t="shared" si="11"/>
        <v>Low</v>
      </c>
    </row>
    <row r="331" spans="1:20">
      <c r="A331" s="2">
        <v>500335</v>
      </c>
      <c r="B331" s="2">
        <v>104740</v>
      </c>
      <c r="C331" s="8">
        <v>45960</v>
      </c>
      <c r="D331" s="2">
        <v>2017</v>
      </c>
      <c r="E331" s="2">
        <v>3</v>
      </c>
      <c r="F331" s="2">
        <v>10</v>
      </c>
      <c r="G331" s="2" t="s">
        <v>27</v>
      </c>
      <c r="H331" s="2" t="s">
        <v>40</v>
      </c>
      <c r="I331" s="2">
        <v>43</v>
      </c>
      <c r="J331" s="2" t="s">
        <v>48</v>
      </c>
      <c r="K331" s="8">
        <v>45228</v>
      </c>
      <c r="L331" s="2" t="s">
        <v>41</v>
      </c>
      <c r="M331" s="2" t="s">
        <v>44</v>
      </c>
      <c r="N331" s="2" t="s">
        <v>25</v>
      </c>
      <c r="O331" s="2">
        <v>11</v>
      </c>
      <c r="P331" s="2">
        <v>30</v>
      </c>
      <c r="Q331" s="2">
        <v>30</v>
      </c>
      <c r="R331" s="9" t="s">
        <v>26</v>
      </c>
      <c r="S331" s="9">
        <f t="shared" si="10"/>
        <v>33</v>
      </c>
      <c r="T331" s="10" t="str">
        <f t="shared" si="11"/>
        <v>Average</v>
      </c>
    </row>
    <row r="332" spans="1:20">
      <c r="A332" s="2">
        <v>500336</v>
      </c>
      <c r="B332" s="2">
        <v>100349</v>
      </c>
      <c r="C332" s="8">
        <v>45405</v>
      </c>
      <c r="D332" s="2">
        <v>2008</v>
      </c>
      <c r="E332" s="2">
        <v>4</v>
      </c>
      <c r="F332" s="2">
        <v>0</v>
      </c>
      <c r="G332" s="2" t="s">
        <v>31</v>
      </c>
      <c r="H332" s="2" t="s">
        <v>21</v>
      </c>
      <c r="I332" s="2">
        <v>26</v>
      </c>
      <c r="J332" s="2" t="s">
        <v>48</v>
      </c>
      <c r="K332" s="8">
        <v>45882</v>
      </c>
      <c r="L332" s="2" t="s">
        <v>41</v>
      </c>
      <c r="M332" s="2" t="s">
        <v>39</v>
      </c>
      <c r="N332" s="2" t="s">
        <v>25</v>
      </c>
      <c r="O332" s="2">
        <v>14</v>
      </c>
      <c r="P332" s="2">
        <v>56</v>
      </c>
      <c r="Q332" s="2">
        <v>56</v>
      </c>
      <c r="R332" s="9" t="s">
        <v>30</v>
      </c>
      <c r="S332" s="9">
        <f t="shared" si="10"/>
        <v>56</v>
      </c>
      <c r="T332" s="10" t="str">
        <f t="shared" si="11"/>
        <v>Low</v>
      </c>
    </row>
    <row r="333" spans="1:20">
      <c r="A333" s="2">
        <v>500337</v>
      </c>
      <c r="B333" s="2">
        <v>101761</v>
      </c>
      <c r="C333" s="8">
        <v>45443</v>
      </c>
      <c r="D333" s="2">
        <v>2015</v>
      </c>
      <c r="E333" s="2">
        <v>1</v>
      </c>
      <c r="F333" s="2">
        <v>0</v>
      </c>
      <c r="G333" s="2" t="s">
        <v>27</v>
      </c>
      <c r="H333" s="2" t="s">
        <v>21</v>
      </c>
      <c r="I333" s="2">
        <v>36</v>
      </c>
      <c r="J333" s="2" t="s">
        <v>32</v>
      </c>
      <c r="K333" s="8">
        <v>45190</v>
      </c>
      <c r="L333" s="2" t="s">
        <v>41</v>
      </c>
      <c r="M333" s="2" t="s">
        <v>66</v>
      </c>
      <c r="N333" s="2" t="s">
        <v>34</v>
      </c>
      <c r="O333" s="2">
        <v>58</v>
      </c>
      <c r="P333" s="2">
        <v>58</v>
      </c>
      <c r="Q333" s="2">
        <v>58</v>
      </c>
      <c r="R333" s="9" t="s">
        <v>30</v>
      </c>
      <c r="S333" s="9">
        <f t="shared" si="10"/>
        <v>58</v>
      </c>
      <c r="T333" s="10" t="str">
        <f t="shared" si="11"/>
        <v>Low</v>
      </c>
    </row>
    <row r="334" spans="1:20">
      <c r="A334" s="2">
        <v>500338</v>
      </c>
      <c r="B334" s="2">
        <v>100244</v>
      </c>
      <c r="C334" s="8">
        <v>45608</v>
      </c>
      <c r="D334" s="2">
        <v>2004</v>
      </c>
      <c r="E334" s="2">
        <v>3</v>
      </c>
      <c r="F334" s="2">
        <v>10</v>
      </c>
      <c r="G334" s="2" t="s">
        <v>27</v>
      </c>
      <c r="H334" s="2" t="s">
        <v>21</v>
      </c>
      <c r="I334" s="2">
        <v>49</v>
      </c>
      <c r="J334" s="2" t="s">
        <v>32</v>
      </c>
      <c r="K334" s="8">
        <v>45549</v>
      </c>
      <c r="L334" s="2" t="s">
        <v>23</v>
      </c>
      <c r="M334" s="2" t="s">
        <v>46</v>
      </c>
      <c r="N334" s="2" t="s">
        <v>34</v>
      </c>
      <c r="O334" s="2">
        <v>35</v>
      </c>
      <c r="P334" s="2">
        <v>94</v>
      </c>
      <c r="Q334" s="2">
        <v>94</v>
      </c>
      <c r="R334" s="9" t="s">
        <v>30</v>
      </c>
      <c r="S334" s="9">
        <f t="shared" si="10"/>
        <v>105</v>
      </c>
      <c r="T334" s="10" t="str">
        <f t="shared" si="11"/>
        <v>Average</v>
      </c>
    </row>
    <row r="335" spans="1:20">
      <c r="A335" s="2">
        <v>500339</v>
      </c>
      <c r="B335" s="2">
        <v>107739</v>
      </c>
      <c r="C335" s="8">
        <v>45544</v>
      </c>
      <c r="D335" s="2">
        <v>2007</v>
      </c>
      <c r="E335" s="2">
        <v>5</v>
      </c>
      <c r="F335" s="2">
        <v>5</v>
      </c>
      <c r="G335" s="2" t="s">
        <v>20</v>
      </c>
      <c r="H335" s="2" t="s">
        <v>21</v>
      </c>
      <c r="I335" s="2">
        <v>50</v>
      </c>
      <c r="J335" s="2" t="s">
        <v>45</v>
      </c>
      <c r="K335" s="8">
        <v>45451</v>
      </c>
      <c r="L335" s="2" t="s">
        <v>49</v>
      </c>
      <c r="M335" s="2" t="s">
        <v>61</v>
      </c>
      <c r="N335" s="2" t="s">
        <v>34</v>
      </c>
      <c r="O335" s="2">
        <v>75</v>
      </c>
      <c r="P335" s="2">
        <v>356</v>
      </c>
      <c r="Q335" s="2">
        <v>356</v>
      </c>
      <c r="R335" s="9" t="s">
        <v>30</v>
      </c>
      <c r="S335" s="9">
        <f t="shared" si="10"/>
        <v>375</v>
      </c>
      <c r="T335" s="10" t="str">
        <f t="shared" si="11"/>
        <v>Low</v>
      </c>
    </row>
    <row r="336" spans="1:20">
      <c r="A336" s="2">
        <v>500340</v>
      </c>
      <c r="B336" s="2">
        <v>102935</v>
      </c>
      <c r="C336" s="8">
        <v>46102</v>
      </c>
      <c r="D336" s="2">
        <v>2007</v>
      </c>
      <c r="E336" s="2">
        <v>1</v>
      </c>
      <c r="F336" s="2">
        <v>0</v>
      </c>
      <c r="G336" s="2" t="s">
        <v>20</v>
      </c>
      <c r="H336" s="2" t="s">
        <v>21</v>
      </c>
      <c r="I336" s="2">
        <v>56</v>
      </c>
      <c r="J336" s="2" t="s">
        <v>48</v>
      </c>
      <c r="K336" s="8">
        <v>45764</v>
      </c>
      <c r="L336" s="2" t="s">
        <v>23</v>
      </c>
      <c r="M336" s="2" t="s">
        <v>61</v>
      </c>
      <c r="N336" s="2" t="s">
        <v>34</v>
      </c>
      <c r="O336" s="2">
        <v>75</v>
      </c>
      <c r="P336" s="2">
        <v>75</v>
      </c>
      <c r="Q336" s="2">
        <v>75</v>
      </c>
      <c r="R336" s="9" t="s">
        <v>26</v>
      </c>
      <c r="S336" s="9">
        <f t="shared" si="10"/>
        <v>75</v>
      </c>
      <c r="T336" s="10" t="str">
        <f t="shared" si="11"/>
        <v>Low</v>
      </c>
    </row>
    <row r="337" spans="1:20">
      <c r="A337" s="2">
        <v>500341</v>
      </c>
      <c r="B337" s="2">
        <v>108337</v>
      </c>
      <c r="C337" s="8">
        <v>46189</v>
      </c>
      <c r="D337" s="2">
        <v>2007</v>
      </c>
      <c r="E337" s="2">
        <v>1</v>
      </c>
      <c r="F337" s="2">
        <v>0</v>
      </c>
      <c r="G337" s="2" t="s">
        <v>20</v>
      </c>
      <c r="H337" s="2" t="s">
        <v>21</v>
      </c>
      <c r="I337" s="2">
        <v>37</v>
      </c>
      <c r="J337" s="2" t="s">
        <v>32</v>
      </c>
      <c r="K337" s="8">
        <v>45117</v>
      </c>
      <c r="L337" s="2" t="s">
        <v>23</v>
      </c>
      <c r="M337" s="2" t="s">
        <v>61</v>
      </c>
      <c r="N337" s="2" t="s">
        <v>34</v>
      </c>
      <c r="O337" s="2">
        <v>75</v>
      </c>
      <c r="P337" s="2">
        <v>75</v>
      </c>
      <c r="Q337" s="2">
        <v>75</v>
      </c>
      <c r="R337" s="9" t="s">
        <v>26</v>
      </c>
      <c r="S337" s="9">
        <f t="shared" si="10"/>
        <v>75</v>
      </c>
      <c r="T337" s="10" t="str">
        <f t="shared" si="11"/>
        <v>Low</v>
      </c>
    </row>
    <row r="338" spans="1:20">
      <c r="A338" s="2">
        <v>500342</v>
      </c>
      <c r="B338" s="2">
        <v>102696</v>
      </c>
      <c r="C338" s="8">
        <v>45656</v>
      </c>
      <c r="D338" s="2">
        <v>2009</v>
      </c>
      <c r="E338" s="2">
        <v>5</v>
      </c>
      <c r="F338" s="2">
        <v>0</v>
      </c>
      <c r="G338" s="2" t="s">
        <v>31</v>
      </c>
      <c r="H338" s="2" t="s">
        <v>21</v>
      </c>
      <c r="I338" s="2">
        <v>35</v>
      </c>
      <c r="J338" s="2" t="s">
        <v>35</v>
      </c>
      <c r="K338" s="8">
        <v>45830</v>
      </c>
      <c r="L338" s="2" t="s">
        <v>23</v>
      </c>
      <c r="M338" s="2" t="s">
        <v>65</v>
      </c>
      <c r="N338" s="2" t="s">
        <v>59</v>
      </c>
      <c r="O338" s="2">
        <v>120</v>
      </c>
      <c r="P338" s="2">
        <v>600</v>
      </c>
      <c r="Q338" s="2">
        <v>600</v>
      </c>
      <c r="R338" s="9" t="s">
        <v>30</v>
      </c>
      <c r="S338" s="9">
        <f t="shared" si="10"/>
        <v>600</v>
      </c>
      <c r="T338" s="10" t="str">
        <f t="shared" si="11"/>
        <v>Low</v>
      </c>
    </row>
    <row r="339" spans="1:20">
      <c r="A339" s="2">
        <v>500343</v>
      </c>
      <c r="B339" s="2">
        <v>105902</v>
      </c>
      <c r="C339" s="8">
        <v>45465</v>
      </c>
      <c r="D339" s="2">
        <v>2001</v>
      </c>
      <c r="E339" s="2">
        <v>2</v>
      </c>
      <c r="F339" s="2">
        <v>20</v>
      </c>
      <c r="G339" s="2" t="s">
        <v>20</v>
      </c>
      <c r="H339" s="2" t="s">
        <v>21</v>
      </c>
      <c r="I339" s="2">
        <v>25</v>
      </c>
      <c r="J339" s="2" t="s">
        <v>45</v>
      </c>
      <c r="K339" s="8">
        <v>45983</v>
      </c>
      <c r="L339" s="2" t="s">
        <v>41</v>
      </c>
      <c r="M339" s="2" t="s">
        <v>50</v>
      </c>
      <c r="N339" s="2" t="s">
        <v>34</v>
      </c>
      <c r="O339" s="2">
        <v>18</v>
      </c>
      <c r="P339" s="2">
        <v>29</v>
      </c>
      <c r="Q339" s="2">
        <v>29</v>
      </c>
      <c r="R339" s="9" t="s">
        <v>30</v>
      </c>
      <c r="S339" s="9">
        <f t="shared" si="10"/>
        <v>36</v>
      </c>
      <c r="T339" s="10" t="str">
        <f t="shared" si="11"/>
        <v>High</v>
      </c>
    </row>
    <row r="340" spans="1:20">
      <c r="A340" s="2">
        <v>500344</v>
      </c>
      <c r="B340" s="2">
        <v>102582</v>
      </c>
      <c r="C340" s="8">
        <v>45722</v>
      </c>
      <c r="D340" s="2">
        <v>2012</v>
      </c>
      <c r="E340" s="2">
        <v>1</v>
      </c>
      <c r="F340" s="2">
        <v>0</v>
      </c>
      <c r="G340" s="2" t="s">
        <v>20</v>
      </c>
      <c r="H340" s="2" t="s">
        <v>21</v>
      </c>
      <c r="I340" s="2">
        <v>40</v>
      </c>
      <c r="J340" s="2" t="s">
        <v>55</v>
      </c>
      <c r="K340" s="8">
        <v>45299</v>
      </c>
      <c r="L340" s="2" t="s">
        <v>23</v>
      </c>
      <c r="M340" s="2" t="s">
        <v>36</v>
      </c>
      <c r="N340" s="2" t="s">
        <v>37</v>
      </c>
      <c r="O340" s="2">
        <v>180</v>
      </c>
      <c r="P340" s="2">
        <v>180</v>
      </c>
      <c r="Q340" s="2">
        <v>180</v>
      </c>
      <c r="R340" s="9" t="s">
        <v>26</v>
      </c>
      <c r="S340" s="9">
        <f t="shared" si="10"/>
        <v>180</v>
      </c>
      <c r="T340" s="10" t="str">
        <f t="shared" si="11"/>
        <v>Low</v>
      </c>
    </row>
    <row r="341" spans="1:20">
      <c r="A341" s="2">
        <v>500345</v>
      </c>
      <c r="B341" s="2">
        <v>105800</v>
      </c>
      <c r="C341" s="8">
        <v>45720</v>
      </c>
      <c r="D341" s="2">
        <v>2003</v>
      </c>
      <c r="E341" s="2">
        <v>1</v>
      </c>
      <c r="F341" s="2">
        <v>10</v>
      </c>
      <c r="G341" s="2" t="s">
        <v>27</v>
      </c>
      <c r="H341" s="2" t="s">
        <v>47</v>
      </c>
      <c r="I341" s="2">
        <v>38</v>
      </c>
      <c r="J341" s="2" t="s">
        <v>55</v>
      </c>
      <c r="K341" s="8">
        <v>45397</v>
      </c>
      <c r="L341" s="2" t="s">
        <v>23</v>
      </c>
      <c r="M341" s="2" t="s">
        <v>24</v>
      </c>
      <c r="N341" s="2" t="s">
        <v>25</v>
      </c>
      <c r="O341" s="2">
        <v>9</v>
      </c>
      <c r="P341" s="2">
        <v>8</v>
      </c>
      <c r="Q341" s="2">
        <v>8</v>
      </c>
      <c r="R341" s="9" t="s">
        <v>26</v>
      </c>
      <c r="S341" s="9">
        <f t="shared" si="10"/>
        <v>9</v>
      </c>
      <c r="T341" s="10" t="str">
        <f t="shared" si="11"/>
        <v>Average</v>
      </c>
    </row>
    <row r="342" spans="1:20">
      <c r="A342" s="2">
        <v>500346</v>
      </c>
      <c r="B342" s="2">
        <v>108857</v>
      </c>
      <c r="C342" s="8">
        <v>45694</v>
      </c>
      <c r="D342" s="2">
        <v>2004</v>
      </c>
      <c r="E342" s="2">
        <v>1</v>
      </c>
      <c r="F342" s="2">
        <v>20</v>
      </c>
      <c r="G342" s="2" t="s">
        <v>20</v>
      </c>
      <c r="H342" s="2" t="s">
        <v>21</v>
      </c>
      <c r="I342" s="2">
        <v>24</v>
      </c>
      <c r="J342" s="2" t="s">
        <v>52</v>
      </c>
      <c r="K342" s="8">
        <v>45586</v>
      </c>
      <c r="L342" s="2" t="s">
        <v>23</v>
      </c>
      <c r="M342" s="2" t="s">
        <v>46</v>
      </c>
      <c r="N342" s="2" t="s">
        <v>34</v>
      </c>
      <c r="O342" s="2">
        <v>35</v>
      </c>
      <c r="P342" s="2">
        <v>28</v>
      </c>
      <c r="Q342" s="2">
        <v>28</v>
      </c>
      <c r="R342" s="9" t="s">
        <v>26</v>
      </c>
      <c r="S342" s="9">
        <f t="shared" si="10"/>
        <v>35</v>
      </c>
      <c r="T342" s="10" t="str">
        <f t="shared" si="11"/>
        <v>High</v>
      </c>
    </row>
    <row r="343" spans="1:20">
      <c r="A343" s="2">
        <v>500347</v>
      </c>
      <c r="B343" s="2">
        <v>103814</v>
      </c>
      <c r="C343" s="8">
        <v>45309</v>
      </c>
      <c r="D343" s="2">
        <v>2011</v>
      </c>
      <c r="E343" s="2">
        <v>3</v>
      </c>
      <c r="F343" s="2">
        <v>0</v>
      </c>
      <c r="G343" s="2" t="s">
        <v>31</v>
      </c>
      <c r="H343" s="2" t="s">
        <v>21</v>
      </c>
      <c r="I343" s="2">
        <v>39</v>
      </c>
      <c r="J343" s="2" t="s">
        <v>28</v>
      </c>
      <c r="K343" s="8">
        <v>45407</v>
      </c>
      <c r="L343" s="2" t="s">
        <v>23</v>
      </c>
      <c r="M343" s="2" t="s">
        <v>42</v>
      </c>
      <c r="N343" s="2" t="s">
        <v>37</v>
      </c>
      <c r="O343" s="2">
        <v>32</v>
      </c>
      <c r="P343" s="2">
        <v>96</v>
      </c>
      <c r="Q343" s="2">
        <v>96</v>
      </c>
      <c r="R343" s="9" t="s">
        <v>30</v>
      </c>
      <c r="S343" s="9">
        <f t="shared" si="10"/>
        <v>96</v>
      </c>
      <c r="T343" s="10" t="str">
        <f t="shared" si="11"/>
        <v>Low</v>
      </c>
    </row>
    <row r="344" spans="1:20">
      <c r="A344" s="2">
        <v>500348</v>
      </c>
      <c r="B344" s="2">
        <v>101735</v>
      </c>
      <c r="C344" s="8">
        <v>45402</v>
      </c>
      <c r="D344" s="2">
        <v>2018</v>
      </c>
      <c r="E344" s="2">
        <v>1</v>
      </c>
      <c r="F344" s="2">
        <v>15</v>
      </c>
      <c r="G344" s="2" t="s">
        <v>20</v>
      </c>
      <c r="H344" s="2" t="s">
        <v>21</v>
      </c>
      <c r="I344" s="2">
        <v>59</v>
      </c>
      <c r="J344" s="2" t="s">
        <v>32</v>
      </c>
      <c r="K344" s="8">
        <v>45489</v>
      </c>
      <c r="L344" s="2" t="s">
        <v>23</v>
      </c>
      <c r="M344" s="2" t="s">
        <v>64</v>
      </c>
      <c r="N344" s="2" t="s">
        <v>34</v>
      </c>
      <c r="O344" s="2">
        <v>85</v>
      </c>
      <c r="P344" s="2">
        <v>72</v>
      </c>
      <c r="Q344" s="2">
        <v>72</v>
      </c>
      <c r="R344" s="9" t="s">
        <v>30</v>
      </c>
      <c r="S344" s="9">
        <f t="shared" si="10"/>
        <v>85</v>
      </c>
      <c r="T344" s="10" t="str">
        <f t="shared" si="11"/>
        <v>High</v>
      </c>
    </row>
    <row r="345" spans="1:20">
      <c r="A345" s="2">
        <v>500349</v>
      </c>
      <c r="B345" s="2">
        <v>102611</v>
      </c>
      <c r="C345" s="8">
        <v>45413</v>
      </c>
      <c r="D345" s="2">
        <v>2015</v>
      </c>
      <c r="E345" s="2">
        <v>2</v>
      </c>
      <c r="F345" s="2">
        <v>0</v>
      </c>
      <c r="G345" s="2" t="s">
        <v>20</v>
      </c>
      <c r="H345" s="2" t="s">
        <v>21</v>
      </c>
      <c r="I345" s="2">
        <v>64</v>
      </c>
      <c r="J345" s="2" t="s">
        <v>38</v>
      </c>
      <c r="K345" s="8">
        <v>45840</v>
      </c>
      <c r="L345" s="2" t="s">
        <v>23</v>
      </c>
      <c r="M345" s="2" t="s">
        <v>66</v>
      </c>
      <c r="N345" s="2" t="s">
        <v>34</v>
      </c>
      <c r="O345" s="2">
        <v>58</v>
      </c>
      <c r="P345" s="2">
        <v>116</v>
      </c>
      <c r="Q345" s="2">
        <v>116</v>
      </c>
      <c r="R345" s="9" t="s">
        <v>30</v>
      </c>
      <c r="S345" s="9">
        <f t="shared" si="10"/>
        <v>116</v>
      </c>
      <c r="T345" s="10" t="str">
        <f t="shared" si="11"/>
        <v>Low</v>
      </c>
    </row>
    <row r="346" spans="1:20">
      <c r="A346" s="2">
        <v>500350</v>
      </c>
      <c r="B346" s="2">
        <v>101181</v>
      </c>
      <c r="C346" s="8">
        <v>45596</v>
      </c>
      <c r="D346" s="2">
        <v>2005</v>
      </c>
      <c r="E346" s="2">
        <v>1</v>
      </c>
      <c r="F346" s="2">
        <v>0</v>
      </c>
      <c r="G346" s="2" t="s">
        <v>27</v>
      </c>
      <c r="H346" s="2" t="s">
        <v>21</v>
      </c>
      <c r="I346" s="2">
        <v>47</v>
      </c>
      <c r="J346" s="2" t="s">
        <v>32</v>
      </c>
      <c r="K346" s="8">
        <v>44930</v>
      </c>
      <c r="L346" s="2" t="s">
        <v>23</v>
      </c>
      <c r="M346" s="2" t="s">
        <v>51</v>
      </c>
      <c r="N346" s="2" t="s">
        <v>25</v>
      </c>
      <c r="O346" s="2">
        <v>28</v>
      </c>
      <c r="P346" s="2">
        <v>28</v>
      </c>
      <c r="Q346" s="2">
        <v>28</v>
      </c>
      <c r="R346" s="9" t="s">
        <v>30</v>
      </c>
      <c r="S346" s="9">
        <f t="shared" si="10"/>
        <v>28</v>
      </c>
      <c r="T346" s="10" t="str">
        <f t="shared" si="11"/>
        <v>Low</v>
      </c>
    </row>
    <row r="347" spans="1:20">
      <c r="A347" s="2">
        <v>500351</v>
      </c>
      <c r="B347" s="2">
        <v>107258</v>
      </c>
      <c r="C347" s="8">
        <v>45793</v>
      </c>
      <c r="D347" s="2">
        <v>2020</v>
      </c>
      <c r="E347" s="2">
        <v>3</v>
      </c>
      <c r="F347" s="2">
        <v>10</v>
      </c>
      <c r="G347" s="2" t="s">
        <v>20</v>
      </c>
      <c r="H347" s="2" t="s">
        <v>21</v>
      </c>
      <c r="I347" s="2">
        <v>48</v>
      </c>
      <c r="J347" s="2" t="s">
        <v>32</v>
      </c>
      <c r="K347" s="8">
        <v>45127</v>
      </c>
      <c r="L347" s="2" t="s">
        <v>23</v>
      </c>
      <c r="M347" s="2" t="s">
        <v>62</v>
      </c>
      <c r="N347" s="2" t="s">
        <v>63</v>
      </c>
      <c r="O347" s="2">
        <v>68</v>
      </c>
      <c r="P347" s="2">
        <v>184</v>
      </c>
      <c r="Q347" s="2">
        <v>184</v>
      </c>
      <c r="R347" s="9" t="s">
        <v>26</v>
      </c>
      <c r="S347" s="9">
        <f t="shared" si="10"/>
        <v>204</v>
      </c>
      <c r="T347" s="10" t="str">
        <f t="shared" si="11"/>
        <v>Average</v>
      </c>
    </row>
    <row r="348" spans="1:20">
      <c r="A348" s="2">
        <v>500352</v>
      </c>
      <c r="B348" s="2">
        <v>104047</v>
      </c>
      <c r="C348" s="8">
        <v>46050</v>
      </c>
      <c r="D348" s="2">
        <v>2001</v>
      </c>
      <c r="E348" s="2">
        <v>1</v>
      </c>
      <c r="F348" s="2">
        <v>5</v>
      </c>
      <c r="G348" s="2" t="s">
        <v>31</v>
      </c>
      <c r="H348" s="2" t="s">
        <v>21</v>
      </c>
      <c r="I348" s="2">
        <v>39</v>
      </c>
      <c r="J348" s="2" t="s">
        <v>32</v>
      </c>
      <c r="K348" s="8">
        <v>45361</v>
      </c>
      <c r="L348" s="2" t="s">
        <v>49</v>
      </c>
      <c r="M348" s="2" t="s">
        <v>50</v>
      </c>
      <c r="N348" s="2" t="s">
        <v>34</v>
      </c>
      <c r="O348" s="2">
        <v>18</v>
      </c>
      <c r="P348" s="2">
        <v>17</v>
      </c>
      <c r="Q348" s="2">
        <v>17</v>
      </c>
      <c r="R348" s="9" t="s">
        <v>26</v>
      </c>
      <c r="S348" s="9">
        <f t="shared" si="10"/>
        <v>18</v>
      </c>
      <c r="T348" s="10" t="str">
        <f t="shared" si="11"/>
        <v>Low</v>
      </c>
    </row>
    <row r="349" spans="1:20">
      <c r="A349" s="2">
        <v>500353</v>
      </c>
      <c r="B349" s="2">
        <v>104799</v>
      </c>
      <c r="C349" s="8">
        <v>45485</v>
      </c>
      <c r="D349" s="2">
        <v>2001</v>
      </c>
      <c r="E349" s="2">
        <v>1</v>
      </c>
      <c r="F349" s="2">
        <v>20</v>
      </c>
      <c r="G349" s="2" t="s">
        <v>20</v>
      </c>
      <c r="H349" s="2" t="s">
        <v>21</v>
      </c>
      <c r="I349" s="2">
        <v>36</v>
      </c>
      <c r="J349" s="2" t="s">
        <v>32</v>
      </c>
      <c r="K349" s="8">
        <v>45449</v>
      </c>
      <c r="L349" s="2" t="s">
        <v>41</v>
      </c>
      <c r="M349" s="2" t="s">
        <v>50</v>
      </c>
      <c r="N349" s="2" t="s">
        <v>34</v>
      </c>
      <c r="O349" s="2">
        <v>18</v>
      </c>
      <c r="P349" s="2">
        <v>14</v>
      </c>
      <c r="Q349" s="2">
        <v>14</v>
      </c>
      <c r="R349" s="9" t="s">
        <v>30</v>
      </c>
      <c r="S349" s="9">
        <f t="shared" si="10"/>
        <v>18</v>
      </c>
      <c r="T349" s="10" t="str">
        <f t="shared" si="11"/>
        <v>High</v>
      </c>
    </row>
    <row r="350" spans="1:20">
      <c r="A350" s="2">
        <v>500354</v>
      </c>
      <c r="B350" s="2">
        <v>107797</v>
      </c>
      <c r="C350" s="8">
        <v>45958</v>
      </c>
      <c r="D350" s="2">
        <v>2003</v>
      </c>
      <c r="E350" s="2">
        <v>2</v>
      </c>
      <c r="F350" s="2">
        <v>15</v>
      </c>
      <c r="G350" s="2" t="s">
        <v>20</v>
      </c>
      <c r="H350" s="2" t="s">
        <v>21</v>
      </c>
      <c r="I350" s="2">
        <v>59</v>
      </c>
      <c r="J350" s="2" t="s">
        <v>55</v>
      </c>
      <c r="K350" s="8">
        <v>45906</v>
      </c>
      <c r="L350" s="2" t="s">
        <v>23</v>
      </c>
      <c r="M350" s="2" t="s">
        <v>24</v>
      </c>
      <c r="N350" s="2" t="s">
        <v>25</v>
      </c>
      <c r="O350" s="2">
        <v>9</v>
      </c>
      <c r="P350" s="2">
        <v>15</v>
      </c>
      <c r="Q350" s="2">
        <v>15</v>
      </c>
      <c r="R350" s="9" t="s">
        <v>26</v>
      </c>
      <c r="S350" s="9">
        <f t="shared" si="10"/>
        <v>18</v>
      </c>
      <c r="T350" s="10" t="str">
        <f t="shared" si="11"/>
        <v>High</v>
      </c>
    </row>
    <row r="351" spans="1:20">
      <c r="A351" s="2">
        <v>500355</v>
      </c>
      <c r="B351" s="2">
        <v>105650</v>
      </c>
      <c r="C351" s="8">
        <v>45487</v>
      </c>
      <c r="D351" s="2">
        <v>2007</v>
      </c>
      <c r="E351" s="2">
        <v>1</v>
      </c>
      <c r="F351" s="2">
        <v>0</v>
      </c>
      <c r="G351" s="2" t="s">
        <v>20</v>
      </c>
      <c r="H351" s="2" t="s">
        <v>21</v>
      </c>
      <c r="I351" s="2">
        <v>65</v>
      </c>
      <c r="J351" s="2" t="s">
        <v>32</v>
      </c>
      <c r="K351" s="8">
        <v>45525</v>
      </c>
      <c r="L351" s="2" t="s">
        <v>23</v>
      </c>
      <c r="M351" s="2" t="s">
        <v>61</v>
      </c>
      <c r="N351" s="2" t="s">
        <v>34</v>
      </c>
      <c r="O351" s="2">
        <v>75</v>
      </c>
      <c r="P351" s="2">
        <v>75</v>
      </c>
      <c r="Q351" s="2">
        <v>75</v>
      </c>
      <c r="R351" s="9" t="s">
        <v>30</v>
      </c>
      <c r="S351" s="9">
        <f t="shared" si="10"/>
        <v>75</v>
      </c>
      <c r="T351" s="10" t="str">
        <f t="shared" si="11"/>
        <v>Low</v>
      </c>
    </row>
    <row r="352" spans="1:20">
      <c r="A352" s="2">
        <v>500356</v>
      </c>
      <c r="B352" s="2">
        <v>104724</v>
      </c>
      <c r="C352" s="8">
        <v>45320</v>
      </c>
      <c r="D352" s="2">
        <v>2017</v>
      </c>
      <c r="E352" s="2">
        <v>1</v>
      </c>
      <c r="F352" s="2">
        <v>0</v>
      </c>
      <c r="G352" s="2" t="s">
        <v>20</v>
      </c>
      <c r="H352" s="2" t="s">
        <v>21</v>
      </c>
      <c r="I352" s="2">
        <v>20</v>
      </c>
      <c r="J352" s="2" t="s">
        <v>45</v>
      </c>
      <c r="K352" s="8">
        <v>44971</v>
      </c>
      <c r="L352" s="2" t="s">
        <v>23</v>
      </c>
      <c r="M352" s="2" t="s">
        <v>44</v>
      </c>
      <c r="N352" s="2" t="s">
        <v>25</v>
      </c>
      <c r="O352" s="2">
        <v>11</v>
      </c>
      <c r="P352" s="2">
        <v>11</v>
      </c>
      <c r="Q352" s="2">
        <v>11</v>
      </c>
      <c r="R352" s="9" t="s">
        <v>30</v>
      </c>
      <c r="S352" s="9">
        <f t="shared" si="10"/>
        <v>11</v>
      </c>
      <c r="T352" s="10" t="str">
        <f t="shared" si="11"/>
        <v>Low</v>
      </c>
    </row>
    <row r="353" spans="1:20">
      <c r="A353" s="2">
        <v>500357</v>
      </c>
      <c r="B353" s="2">
        <v>101331</v>
      </c>
      <c r="C353" s="8">
        <v>45853</v>
      </c>
      <c r="D353" s="2">
        <v>2017</v>
      </c>
      <c r="E353" s="2">
        <v>3</v>
      </c>
      <c r="F353" s="2">
        <v>20</v>
      </c>
      <c r="G353" s="2" t="s">
        <v>20</v>
      </c>
      <c r="H353" s="2" t="s">
        <v>21</v>
      </c>
      <c r="I353" s="2">
        <v>39</v>
      </c>
      <c r="J353" s="2" t="s">
        <v>43</v>
      </c>
      <c r="K353" s="8">
        <v>45382</v>
      </c>
      <c r="L353" s="2" t="s">
        <v>23</v>
      </c>
      <c r="M353" s="2" t="s">
        <v>44</v>
      </c>
      <c r="N353" s="2" t="s">
        <v>25</v>
      </c>
      <c r="O353" s="2">
        <v>11</v>
      </c>
      <c r="P353" s="2">
        <v>26</v>
      </c>
      <c r="Q353" s="2">
        <v>26</v>
      </c>
      <c r="R353" s="9" t="s">
        <v>26</v>
      </c>
      <c r="S353" s="9">
        <f t="shared" si="10"/>
        <v>33</v>
      </c>
      <c r="T353" s="10" t="str">
        <f t="shared" si="11"/>
        <v>High</v>
      </c>
    </row>
    <row r="354" spans="1:20">
      <c r="A354" s="2">
        <v>500358</v>
      </c>
      <c r="B354" s="2">
        <v>106659</v>
      </c>
      <c r="C354" s="8">
        <v>45477</v>
      </c>
      <c r="D354" s="2">
        <v>2010</v>
      </c>
      <c r="E354" s="2">
        <v>1</v>
      </c>
      <c r="F354" s="2">
        <v>5</v>
      </c>
      <c r="G354" s="2" t="s">
        <v>20</v>
      </c>
      <c r="H354" s="2" t="s">
        <v>21</v>
      </c>
      <c r="I354" s="2">
        <v>45</v>
      </c>
      <c r="J354" s="2" t="s">
        <v>32</v>
      </c>
      <c r="K354" s="8">
        <v>45007</v>
      </c>
      <c r="L354" s="2" t="s">
        <v>49</v>
      </c>
      <c r="M354" s="2" t="s">
        <v>58</v>
      </c>
      <c r="N354" s="2" t="s">
        <v>59</v>
      </c>
      <c r="O354" s="2">
        <v>55</v>
      </c>
      <c r="P354" s="2">
        <v>52</v>
      </c>
      <c r="Q354" s="2">
        <v>52</v>
      </c>
      <c r="R354" s="9" t="s">
        <v>30</v>
      </c>
      <c r="S354" s="9">
        <f t="shared" si="10"/>
        <v>55</v>
      </c>
      <c r="T354" s="10" t="str">
        <f t="shared" si="11"/>
        <v>Low</v>
      </c>
    </row>
    <row r="355" spans="1:20">
      <c r="A355" s="2">
        <v>500359</v>
      </c>
      <c r="B355" s="2">
        <v>103902</v>
      </c>
      <c r="C355" s="8">
        <v>46101</v>
      </c>
      <c r="D355" s="2">
        <v>2008</v>
      </c>
      <c r="E355" s="2">
        <v>1</v>
      </c>
      <c r="F355" s="2">
        <v>0</v>
      </c>
      <c r="G355" s="2" t="s">
        <v>20</v>
      </c>
      <c r="H355" s="2" t="s">
        <v>21</v>
      </c>
      <c r="I355" s="2">
        <v>63</v>
      </c>
      <c r="J355" s="2" t="s">
        <v>52</v>
      </c>
      <c r="K355" s="8">
        <v>45883</v>
      </c>
      <c r="L355" s="2" t="s">
        <v>41</v>
      </c>
      <c r="M355" s="2" t="s">
        <v>39</v>
      </c>
      <c r="N355" s="2" t="s">
        <v>25</v>
      </c>
      <c r="O355" s="2">
        <v>14</v>
      </c>
      <c r="P355" s="2">
        <v>14</v>
      </c>
      <c r="Q355" s="2">
        <v>14</v>
      </c>
      <c r="R355" s="9" t="s">
        <v>26</v>
      </c>
      <c r="S355" s="9">
        <f t="shared" si="10"/>
        <v>14</v>
      </c>
      <c r="T355" s="10" t="str">
        <f t="shared" si="11"/>
        <v>Low</v>
      </c>
    </row>
    <row r="356" spans="1:20">
      <c r="A356" s="2">
        <v>500360</v>
      </c>
      <c r="B356" s="2">
        <v>106525</v>
      </c>
      <c r="C356" s="8">
        <v>46119</v>
      </c>
      <c r="D356" s="2">
        <v>2002</v>
      </c>
      <c r="E356" s="2">
        <v>4</v>
      </c>
      <c r="F356" s="2">
        <v>30</v>
      </c>
      <c r="G356" s="2" t="s">
        <v>20</v>
      </c>
      <c r="H356" s="2" t="s">
        <v>21</v>
      </c>
      <c r="I356" s="2">
        <v>32</v>
      </c>
      <c r="J356" s="2" t="s">
        <v>52</v>
      </c>
      <c r="K356" s="8">
        <v>45725</v>
      </c>
      <c r="L356" s="2" t="s">
        <v>41</v>
      </c>
      <c r="M356" s="2" t="s">
        <v>33</v>
      </c>
      <c r="N356" s="2" t="s">
        <v>34</v>
      </c>
      <c r="O356" s="2">
        <v>62</v>
      </c>
      <c r="P356" s="2">
        <v>174</v>
      </c>
      <c r="Q356" s="2">
        <v>174</v>
      </c>
      <c r="R356" s="9" t="s">
        <v>26</v>
      </c>
      <c r="S356" s="9">
        <f t="shared" si="10"/>
        <v>248</v>
      </c>
      <c r="T356" s="10" t="str">
        <f t="shared" si="11"/>
        <v>High</v>
      </c>
    </row>
    <row r="357" spans="1:20">
      <c r="A357" s="2">
        <v>500361</v>
      </c>
      <c r="B357" s="2">
        <v>100344</v>
      </c>
      <c r="C357" s="8">
        <v>45382</v>
      </c>
      <c r="D357" s="2">
        <v>2004</v>
      </c>
      <c r="E357" s="2">
        <v>1</v>
      </c>
      <c r="F357" s="2">
        <v>10</v>
      </c>
      <c r="G357" s="2" t="s">
        <v>31</v>
      </c>
      <c r="H357" s="2" t="s">
        <v>47</v>
      </c>
      <c r="I357" s="2">
        <v>42</v>
      </c>
      <c r="J357" s="2" t="s">
        <v>35</v>
      </c>
      <c r="K357" s="8">
        <v>45662</v>
      </c>
      <c r="L357" s="2" t="s">
        <v>41</v>
      </c>
      <c r="M357" s="2" t="s">
        <v>46</v>
      </c>
      <c r="N357" s="2" t="s">
        <v>34</v>
      </c>
      <c r="O357" s="2">
        <v>35</v>
      </c>
      <c r="P357" s="2">
        <v>32</v>
      </c>
      <c r="Q357" s="2">
        <v>32</v>
      </c>
      <c r="R357" s="9" t="s">
        <v>30</v>
      </c>
      <c r="S357" s="9">
        <f t="shared" si="10"/>
        <v>35</v>
      </c>
      <c r="T357" s="10" t="str">
        <f t="shared" si="11"/>
        <v>Average</v>
      </c>
    </row>
    <row r="358" spans="1:20">
      <c r="A358" s="2">
        <v>500362</v>
      </c>
      <c r="B358" s="2">
        <v>101528</v>
      </c>
      <c r="C358" s="8">
        <v>45460</v>
      </c>
      <c r="D358" s="2">
        <v>2009</v>
      </c>
      <c r="E358" s="2">
        <v>1</v>
      </c>
      <c r="F358" s="2">
        <v>15</v>
      </c>
      <c r="G358" s="2" t="s">
        <v>20</v>
      </c>
      <c r="H358" s="2" t="s">
        <v>21</v>
      </c>
      <c r="I358" s="2">
        <v>24</v>
      </c>
      <c r="J358" s="2" t="s">
        <v>32</v>
      </c>
      <c r="K358" s="8">
        <v>45486</v>
      </c>
      <c r="L358" s="2" t="s">
        <v>23</v>
      </c>
      <c r="M358" s="2" t="s">
        <v>65</v>
      </c>
      <c r="N358" s="2" t="s">
        <v>59</v>
      </c>
      <c r="O358" s="2">
        <v>120</v>
      </c>
      <c r="P358" s="2">
        <v>102</v>
      </c>
      <c r="Q358" s="2">
        <v>102</v>
      </c>
      <c r="R358" s="9" t="s">
        <v>30</v>
      </c>
      <c r="S358" s="9">
        <f t="shared" si="10"/>
        <v>120</v>
      </c>
      <c r="T358" s="10" t="str">
        <f t="shared" si="11"/>
        <v>High</v>
      </c>
    </row>
    <row r="359" spans="1:20">
      <c r="A359" s="2">
        <v>500363</v>
      </c>
      <c r="B359" s="2">
        <v>109099</v>
      </c>
      <c r="C359" s="8">
        <v>45473</v>
      </c>
      <c r="D359" s="2">
        <v>2003</v>
      </c>
      <c r="E359" s="2">
        <v>1</v>
      </c>
      <c r="F359" s="2">
        <v>0</v>
      </c>
      <c r="G359" s="2" t="s">
        <v>56</v>
      </c>
      <c r="H359" s="2" t="s">
        <v>21</v>
      </c>
      <c r="I359" s="2">
        <v>40</v>
      </c>
      <c r="J359" s="2" t="s">
        <v>52</v>
      </c>
      <c r="K359" s="8">
        <v>45064</v>
      </c>
      <c r="L359" s="2" t="s">
        <v>49</v>
      </c>
      <c r="M359" s="2" t="s">
        <v>24</v>
      </c>
      <c r="N359" s="2" t="s">
        <v>25</v>
      </c>
      <c r="O359" s="2">
        <v>9</v>
      </c>
      <c r="P359" s="2">
        <v>9</v>
      </c>
      <c r="Q359" s="2">
        <v>9</v>
      </c>
      <c r="R359" s="9" t="s">
        <v>30</v>
      </c>
      <c r="S359" s="9">
        <f t="shared" si="10"/>
        <v>9</v>
      </c>
      <c r="T359" s="10" t="str">
        <f t="shared" si="11"/>
        <v>Low</v>
      </c>
    </row>
    <row r="360" spans="1:20">
      <c r="A360" s="2">
        <v>500364</v>
      </c>
      <c r="B360" s="2">
        <v>107411</v>
      </c>
      <c r="C360" s="8">
        <v>46091</v>
      </c>
      <c r="D360" s="2">
        <v>2013</v>
      </c>
      <c r="E360" s="2">
        <v>3</v>
      </c>
      <c r="F360" s="2">
        <v>5</v>
      </c>
      <c r="G360" s="2" t="s">
        <v>20</v>
      </c>
      <c r="H360" s="2" t="s">
        <v>21</v>
      </c>
      <c r="I360" s="2">
        <v>21</v>
      </c>
      <c r="J360" s="2" t="s">
        <v>38</v>
      </c>
      <c r="K360" s="8">
        <v>45658</v>
      </c>
      <c r="L360" s="2" t="s">
        <v>41</v>
      </c>
      <c r="M360" s="2" t="s">
        <v>53</v>
      </c>
      <c r="N360" s="2" t="s">
        <v>54</v>
      </c>
      <c r="O360" s="2">
        <v>7</v>
      </c>
      <c r="P360" s="2">
        <v>20</v>
      </c>
      <c r="Q360" s="2">
        <v>20</v>
      </c>
      <c r="R360" s="9" t="s">
        <v>26</v>
      </c>
      <c r="S360" s="9">
        <f t="shared" si="10"/>
        <v>21</v>
      </c>
      <c r="T360" s="10" t="str">
        <f t="shared" si="11"/>
        <v>Low</v>
      </c>
    </row>
    <row r="361" spans="1:20">
      <c r="A361" s="2">
        <v>500365</v>
      </c>
      <c r="B361" s="2">
        <v>106065</v>
      </c>
      <c r="C361" s="8">
        <v>45359</v>
      </c>
      <c r="D361" s="2">
        <v>2015</v>
      </c>
      <c r="E361" s="2">
        <v>1</v>
      </c>
      <c r="F361" s="2">
        <v>0</v>
      </c>
      <c r="G361" s="2" t="s">
        <v>20</v>
      </c>
      <c r="H361" s="2" t="s">
        <v>21</v>
      </c>
      <c r="I361" s="2">
        <v>35</v>
      </c>
      <c r="J361" s="2" t="s">
        <v>32</v>
      </c>
      <c r="K361" s="8">
        <v>45455</v>
      </c>
      <c r="L361" s="2" t="s">
        <v>23</v>
      </c>
      <c r="M361" s="2" t="s">
        <v>66</v>
      </c>
      <c r="N361" s="2" t="s">
        <v>34</v>
      </c>
      <c r="O361" s="2">
        <v>58</v>
      </c>
      <c r="P361" s="2">
        <v>58</v>
      </c>
      <c r="Q361" s="2">
        <v>58</v>
      </c>
      <c r="R361" s="9" t="s">
        <v>30</v>
      </c>
      <c r="S361" s="9">
        <f t="shared" si="10"/>
        <v>58</v>
      </c>
      <c r="T361" s="10" t="str">
        <f t="shared" si="11"/>
        <v>Low</v>
      </c>
    </row>
    <row r="362" spans="1:20">
      <c r="A362" s="2">
        <v>500366</v>
      </c>
      <c r="B362" s="2">
        <v>101206</v>
      </c>
      <c r="C362" s="8">
        <v>45941</v>
      </c>
      <c r="D362" s="2">
        <v>2003</v>
      </c>
      <c r="E362" s="2">
        <v>3</v>
      </c>
      <c r="F362" s="2">
        <v>5</v>
      </c>
      <c r="G362" s="2" t="s">
        <v>31</v>
      </c>
      <c r="H362" s="2" t="s">
        <v>21</v>
      </c>
      <c r="I362" s="2">
        <v>61</v>
      </c>
      <c r="J362" s="2" t="s">
        <v>48</v>
      </c>
      <c r="K362" s="8">
        <v>45675</v>
      </c>
      <c r="L362" s="2" t="s">
        <v>23</v>
      </c>
      <c r="M362" s="2" t="s">
        <v>24</v>
      </c>
      <c r="N362" s="2" t="s">
        <v>25</v>
      </c>
      <c r="O362" s="2">
        <v>9</v>
      </c>
      <c r="P362" s="2">
        <v>26</v>
      </c>
      <c r="Q362" s="2">
        <v>26</v>
      </c>
      <c r="R362" s="9" t="s">
        <v>26</v>
      </c>
      <c r="S362" s="9">
        <f t="shared" si="10"/>
        <v>27</v>
      </c>
      <c r="T362" s="10" t="str">
        <f t="shared" si="11"/>
        <v>Low</v>
      </c>
    </row>
    <row r="363" spans="1:20">
      <c r="A363" s="2">
        <v>500367</v>
      </c>
      <c r="B363" s="2">
        <v>105716</v>
      </c>
      <c r="C363" s="8">
        <v>45540</v>
      </c>
      <c r="D363" s="2">
        <v>2011</v>
      </c>
      <c r="E363" s="2">
        <v>4</v>
      </c>
      <c r="F363" s="2">
        <v>0</v>
      </c>
      <c r="G363" s="2" t="s">
        <v>31</v>
      </c>
      <c r="H363" s="2" t="s">
        <v>40</v>
      </c>
      <c r="I363" s="2">
        <v>38</v>
      </c>
      <c r="J363" s="2" t="s">
        <v>45</v>
      </c>
      <c r="K363" s="8">
        <v>45628</v>
      </c>
      <c r="L363" s="2" t="s">
        <v>41</v>
      </c>
      <c r="M363" s="2" t="s">
        <v>42</v>
      </c>
      <c r="N363" s="2" t="s">
        <v>37</v>
      </c>
      <c r="O363" s="2">
        <v>32</v>
      </c>
      <c r="P363" s="2">
        <v>128</v>
      </c>
      <c r="Q363" s="2">
        <v>128</v>
      </c>
      <c r="R363" s="9" t="s">
        <v>30</v>
      </c>
      <c r="S363" s="9">
        <f t="shared" si="10"/>
        <v>128</v>
      </c>
      <c r="T363" s="10" t="str">
        <f t="shared" si="11"/>
        <v>Low</v>
      </c>
    </row>
    <row r="364" spans="1:20">
      <c r="A364" s="2">
        <v>500368</v>
      </c>
      <c r="B364" s="2">
        <v>107128</v>
      </c>
      <c r="C364" s="8">
        <v>45795</v>
      </c>
      <c r="D364" s="2">
        <v>2008</v>
      </c>
      <c r="E364" s="2">
        <v>3</v>
      </c>
      <c r="F364" s="2">
        <v>20</v>
      </c>
      <c r="G364" s="2" t="s">
        <v>20</v>
      </c>
      <c r="H364" s="2" t="s">
        <v>21</v>
      </c>
      <c r="I364" s="2">
        <v>26</v>
      </c>
      <c r="J364" s="2" t="s">
        <v>48</v>
      </c>
      <c r="K364" s="8">
        <v>44933</v>
      </c>
      <c r="L364" s="2" t="s">
        <v>41</v>
      </c>
      <c r="M364" s="2" t="s">
        <v>39</v>
      </c>
      <c r="N364" s="2" t="s">
        <v>25</v>
      </c>
      <c r="O364" s="2">
        <v>14</v>
      </c>
      <c r="P364" s="2">
        <v>34</v>
      </c>
      <c r="Q364" s="2">
        <v>34</v>
      </c>
      <c r="R364" s="9" t="s">
        <v>26</v>
      </c>
      <c r="S364" s="9">
        <f t="shared" si="10"/>
        <v>42</v>
      </c>
      <c r="T364" s="10" t="str">
        <f t="shared" si="11"/>
        <v>High</v>
      </c>
    </row>
    <row r="365" spans="1:20">
      <c r="A365" s="2">
        <v>500369</v>
      </c>
      <c r="B365" s="2">
        <v>107852</v>
      </c>
      <c r="C365" s="8">
        <v>45445</v>
      </c>
      <c r="D365" s="2">
        <v>2008</v>
      </c>
      <c r="E365" s="2">
        <v>2</v>
      </c>
      <c r="F365" s="2">
        <v>10</v>
      </c>
      <c r="G365" s="2" t="s">
        <v>20</v>
      </c>
      <c r="H365" s="2" t="s">
        <v>21</v>
      </c>
      <c r="I365" s="2">
        <v>44</v>
      </c>
      <c r="J365" s="2" t="s">
        <v>28</v>
      </c>
      <c r="K365" s="8">
        <v>45141</v>
      </c>
      <c r="L365" s="2" t="s">
        <v>23</v>
      </c>
      <c r="M365" s="2" t="s">
        <v>39</v>
      </c>
      <c r="N365" s="2" t="s">
        <v>25</v>
      </c>
      <c r="O365" s="2">
        <v>14</v>
      </c>
      <c r="P365" s="2">
        <v>25</v>
      </c>
      <c r="Q365" s="2">
        <v>25</v>
      </c>
      <c r="R365" s="9" t="s">
        <v>30</v>
      </c>
      <c r="S365" s="9">
        <f t="shared" si="10"/>
        <v>28</v>
      </c>
      <c r="T365" s="10" t="str">
        <f t="shared" si="11"/>
        <v>Average</v>
      </c>
    </row>
    <row r="366" spans="1:20">
      <c r="A366" s="2">
        <v>500370</v>
      </c>
      <c r="B366" s="2">
        <v>109235</v>
      </c>
      <c r="C366" s="8">
        <v>45988</v>
      </c>
      <c r="D366" s="2">
        <v>2002</v>
      </c>
      <c r="E366" s="2">
        <v>1</v>
      </c>
      <c r="F366" s="2">
        <v>10</v>
      </c>
      <c r="G366" s="2" t="s">
        <v>56</v>
      </c>
      <c r="H366" s="2" t="s">
        <v>21</v>
      </c>
      <c r="I366" s="2">
        <v>40</v>
      </c>
      <c r="J366" s="2" t="s">
        <v>32</v>
      </c>
      <c r="K366" s="8">
        <v>45121</v>
      </c>
      <c r="L366" s="2" t="s">
        <v>41</v>
      </c>
      <c r="M366" s="2" t="s">
        <v>33</v>
      </c>
      <c r="N366" s="2" t="s">
        <v>34</v>
      </c>
      <c r="O366" s="2">
        <v>62</v>
      </c>
      <c r="P366" s="2">
        <v>56</v>
      </c>
      <c r="Q366" s="2">
        <v>56</v>
      </c>
      <c r="R366" s="9" t="s">
        <v>26</v>
      </c>
      <c r="S366" s="9">
        <f t="shared" si="10"/>
        <v>62</v>
      </c>
      <c r="T366" s="10" t="str">
        <f t="shared" si="11"/>
        <v>Average</v>
      </c>
    </row>
    <row r="367" spans="1:20">
      <c r="A367" s="2">
        <v>500371</v>
      </c>
      <c r="B367" s="2">
        <v>108526</v>
      </c>
      <c r="C367" s="8">
        <v>45871</v>
      </c>
      <c r="D367" s="2">
        <v>2013</v>
      </c>
      <c r="E367" s="2">
        <v>4</v>
      </c>
      <c r="F367" s="2">
        <v>15</v>
      </c>
      <c r="G367" s="2" t="s">
        <v>31</v>
      </c>
      <c r="H367" s="2" t="s">
        <v>21</v>
      </c>
      <c r="I367" s="2">
        <v>31</v>
      </c>
      <c r="J367" s="2" t="s">
        <v>32</v>
      </c>
      <c r="K367" s="8">
        <v>45637</v>
      </c>
      <c r="L367" s="2" t="s">
        <v>23</v>
      </c>
      <c r="M367" s="2" t="s">
        <v>53</v>
      </c>
      <c r="N367" s="2" t="s">
        <v>54</v>
      </c>
      <c r="O367" s="2">
        <v>7</v>
      </c>
      <c r="P367" s="2">
        <v>24</v>
      </c>
      <c r="Q367" s="2">
        <v>24</v>
      </c>
      <c r="R367" s="9" t="s">
        <v>26</v>
      </c>
      <c r="S367" s="9">
        <f t="shared" si="10"/>
        <v>28</v>
      </c>
      <c r="T367" s="10" t="str">
        <f t="shared" si="11"/>
        <v>High</v>
      </c>
    </row>
    <row r="368" spans="1:20">
      <c r="A368" s="2">
        <v>500372</v>
      </c>
      <c r="B368" s="2">
        <v>101158</v>
      </c>
      <c r="C368" s="8">
        <v>45310</v>
      </c>
      <c r="D368" s="2">
        <v>2013</v>
      </c>
      <c r="E368" s="2">
        <v>3</v>
      </c>
      <c r="F368" s="2">
        <v>30</v>
      </c>
      <c r="G368" s="2" t="s">
        <v>27</v>
      </c>
      <c r="H368" s="2" t="s">
        <v>21</v>
      </c>
      <c r="I368" s="2">
        <v>58</v>
      </c>
      <c r="J368" s="2" t="s">
        <v>32</v>
      </c>
      <c r="K368" s="8">
        <v>45564</v>
      </c>
      <c r="L368" s="2" t="s">
        <v>49</v>
      </c>
      <c r="M368" s="2" t="s">
        <v>53</v>
      </c>
      <c r="N368" s="2" t="s">
        <v>54</v>
      </c>
      <c r="O368" s="2">
        <v>7</v>
      </c>
      <c r="P368" s="2">
        <v>15</v>
      </c>
      <c r="Q368" s="2">
        <v>15</v>
      </c>
      <c r="R368" s="9" t="s">
        <v>30</v>
      </c>
      <c r="S368" s="9">
        <f t="shared" si="10"/>
        <v>21</v>
      </c>
      <c r="T368" s="10" t="str">
        <f t="shared" si="11"/>
        <v>High</v>
      </c>
    </row>
    <row r="369" spans="1:20">
      <c r="A369" s="2">
        <v>500373</v>
      </c>
      <c r="B369" s="2">
        <v>103438</v>
      </c>
      <c r="C369" s="8">
        <v>45496</v>
      </c>
      <c r="D369" s="2">
        <v>2006</v>
      </c>
      <c r="E369" s="2">
        <v>1</v>
      </c>
      <c r="F369" s="2">
        <v>5</v>
      </c>
      <c r="G369" s="2" t="s">
        <v>20</v>
      </c>
      <c r="H369" s="2" t="s">
        <v>21</v>
      </c>
      <c r="I369" s="2">
        <v>49</v>
      </c>
      <c r="J369" s="2" t="s">
        <v>22</v>
      </c>
      <c r="K369" s="8">
        <v>45615</v>
      </c>
      <c r="L369" s="2" t="s">
        <v>23</v>
      </c>
      <c r="M369" s="2" t="s">
        <v>57</v>
      </c>
      <c r="N369" s="2" t="s">
        <v>34</v>
      </c>
      <c r="O369" s="2">
        <v>48</v>
      </c>
      <c r="P369" s="2">
        <v>46</v>
      </c>
      <c r="Q369" s="2">
        <v>46</v>
      </c>
      <c r="R369" s="9" t="s">
        <v>30</v>
      </c>
      <c r="S369" s="9">
        <f t="shared" si="10"/>
        <v>48</v>
      </c>
      <c r="T369" s="10" t="str">
        <f t="shared" si="11"/>
        <v>Low</v>
      </c>
    </row>
    <row r="370" spans="1:20">
      <c r="A370" s="2">
        <v>500374</v>
      </c>
      <c r="B370" s="2">
        <v>101265</v>
      </c>
      <c r="C370" s="8">
        <v>45695</v>
      </c>
      <c r="D370" s="2">
        <v>2008</v>
      </c>
      <c r="E370" s="2">
        <v>3</v>
      </c>
      <c r="F370" s="2">
        <v>0</v>
      </c>
      <c r="G370" s="2" t="s">
        <v>20</v>
      </c>
      <c r="H370" s="2" t="s">
        <v>21</v>
      </c>
      <c r="I370" s="2">
        <v>29</v>
      </c>
      <c r="J370" s="2" t="s">
        <v>43</v>
      </c>
      <c r="K370" s="8">
        <v>45302</v>
      </c>
      <c r="L370" s="2" t="s">
        <v>23</v>
      </c>
      <c r="M370" s="2" t="s">
        <v>39</v>
      </c>
      <c r="N370" s="2" t="s">
        <v>25</v>
      </c>
      <c r="O370" s="2">
        <v>14</v>
      </c>
      <c r="P370" s="2">
        <v>42</v>
      </c>
      <c r="Q370" s="2">
        <v>42</v>
      </c>
      <c r="R370" s="9" t="s">
        <v>26</v>
      </c>
      <c r="S370" s="9">
        <f t="shared" si="10"/>
        <v>42</v>
      </c>
      <c r="T370" s="10" t="str">
        <f t="shared" si="11"/>
        <v>Low</v>
      </c>
    </row>
    <row r="371" spans="1:20">
      <c r="A371" s="2">
        <v>500375</v>
      </c>
      <c r="B371" s="2">
        <v>101541</v>
      </c>
      <c r="C371" s="8">
        <v>45751</v>
      </c>
      <c r="D371" s="2">
        <v>2017</v>
      </c>
      <c r="E371" s="2">
        <v>3</v>
      </c>
      <c r="F371" s="2">
        <v>5</v>
      </c>
      <c r="G371" s="2" t="s">
        <v>31</v>
      </c>
      <c r="H371" s="2" t="s">
        <v>21</v>
      </c>
      <c r="I371" s="2">
        <v>40</v>
      </c>
      <c r="J371" s="2" t="s">
        <v>52</v>
      </c>
      <c r="K371" s="8">
        <v>45628</v>
      </c>
      <c r="L371" s="2" t="s">
        <v>23</v>
      </c>
      <c r="M371" s="2" t="s">
        <v>44</v>
      </c>
      <c r="N371" s="2" t="s">
        <v>25</v>
      </c>
      <c r="O371" s="2">
        <v>11</v>
      </c>
      <c r="P371" s="2">
        <v>31</v>
      </c>
      <c r="Q371" s="2">
        <v>31</v>
      </c>
      <c r="R371" s="9" t="s">
        <v>26</v>
      </c>
      <c r="S371" s="9">
        <f t="shared" si="10"/>
        <v>33</v>
      </c>
      <c r="T371" s="10" t="str">
        <f t="shared" si="11"/>
        <v>Low</v>
      </c>
    </row>
    <row r="372" spans="1:20">
      <c r="A372" s="2">
        <v>500376</v>
      </c>
      <c r="B372" s="2">
        <v>109882</v>
      </c>
      <c r="C372" s="8">
        <v>46006</v>
      </c>
      <c r="D372" s="2">
        <v>2008</v>
      </c>
      <c r="E372" s="2">
        <v>2</v>
      </c>
      <c r="F372" s="2">
        <v>10</v>
      </c>
      <c r="G372" s="2" t="s">
        <v>27</v>
      </c>
      <c r="H372" s="2" t="s">
        <v>21</v>
      </c>
      <c r="I372" s="2">
        <v>59</v>
      </c>
      <c r="J372" s="2" t="s">
        <v>38</v>
      </c>
      <c r="K372" s="8">
        <v>46018</v>
      </c>
      <c r="L372" s="2" t="s">
        <v>41</v>
      </c>
      <c r="M372" s="2" t="s">
        <v>39</v>
      </c>
      <c r="N372" s="2" t="s">
        <v>25</v>
      </c>
      <c r="O372" s="2">
        <v>14</v>
      </c>
      <c r="P372" s="2">
        <v>25</v>
      </c>
      <c r="Q372" s="2">
        <v>25</v>
      </c>
      <c r="R372" s="9" t="s">
        <v>26</v>
      </c>
      <c r="S372" s="9">
        <f t="shared" si="10"/>
        <v>28</v>
      </c>
      <c r="T372" s="10" t="str">
        <f t="shared" si="11"/>
        <v>Average</v>
      </c>
    </row>
    <row r="373" spans="1:20">
      <c r="A373" s="2">
        <v>500377</v>
      </c>
      <c r="B373" s="2">
        <v>104149</v>
      </c>
      <c r="C373" s="8">
        <v>45626</v>
      </c>
      <c r="D373" s="2">
        <v>2020</v>
      </c>
      <c r="E373" s="2">
        <v>1</v>
      </c>
      <c r="F373" s="2">
        <v>20</v>
      </c>
      <c r="G373" s="2" t="s">
        <v>20</v>
      </c>
      <c r="H373" s="2" t="s">
        <v>21</v>
      </c>
      <c r="I373" s="2">
        <v>59</v>
      </c>
      <c r="J373" s="2" t="s">
        <v>45</v>
      </c>
      <c r="K373" s="8">
        <v>45476</v>
      </c>
      <c r="L373" s="2" t="s">
        <v>41</v>
      </c>
      <c r="M373" s="2" t="s">
        <v>62</v>
      </c>
      <c r="N373" s="2" t="s">
        <v>63</v>
      </c>
      <c r="O373" s="2">
        <v>68</v>
      </c>
      <c r="P373" s="2">
        <v>54</v>
      </c>
      <c r="Q373" s="2">
        <v>54</v>
      </c>
      <c r="R373" s="9" t="s">
        <v>30</v>
      </c>
      <c r="S373" s="9">
        <f t="shared" si="10"/>
        <v>68</v>
      </c>
      <c r="T373" s="10" t="str">
        <f t="shared" si="11"/>
        <v>High</v>
      </c>
    </row>
    <row r="374" spans="1:20">
      <c r="A374" s="2">
        <v>500378</v>
      </c>
      <c r="B374" s="2">
        <v>109715</v>
      </c>
      <c r="C374" s="8">
        <v>46110</v>
      </c>
      <c r="D374" s="2">
        <v>2018</v>
      </c>
      <c r="E374" s="2">
        <v>4</v>
      </c>
      <c r="F374" s="2">
        <v>30</v>
      </c>
      <c r="G374" s="2" t="s">
        <v>27</v>
      </c>
      <c r="H374" s="2" t="s">
        <v>21</v>
      </c>
      <c r="I374" s="2">
        <v>50</v>
      </c>
      <c r="J374" s="2" t="s">
        <v>48</v>
      </c>
      <c r="K374" s="8">
        <v>45703</v>
      </c>
      <c r="L374" s="2" t="s">
        <v>23</v>
      </c>
      <c r="M374" s="2" t="s">
        <v>64</v>
      </c>
      <c r="N374" s="2" t="s">
        <v>34</v>
      </c>
      <c r="O374" s="2">
        <v>85</v>
      </c>
      <c r="P374" s="2">
        <v>238</v>
      </c>
      <c r="Q374" s="2">
        <v>238</v>
      </c>
      <c r="R374" s="9" t="s">
        <v>26</v>
      </c>
      <c r="S374" s="9">
        <f t="shared" si="10"/>
        <v>340</v>
      </c>
      <c r="T374" s="10" t="str">
        <f t="shared" si="11"/>
        <v>High</v>
      </c>
    </row>
    <row r="375" spans="1:20">
      <c r="A375" s="2">
        <v>500379</v>
      </c>
      <c r="B375" s="2">
        <v>109765</v>
      </c>
      <c r="C375" s="8">
        <v>45459</v>
      </c>
      <c r="D375" s="2">
        <v>2019</v>
      </c>
      <c r="E375" s="2">
        <v>4</v>
      </c>
      <c r="F375" s="2">
        <v>15</v>
      </c>
      <c r="G375" s="2" t="s">
        <v>27</v>
      </c>
      <c r="H375" s="2" t="s">
        <v>40</v>
      </c>
      <c r="I375" s="2">
        <v>54</v>
      </c>
      <c r="J375" s="2" t="s">
        <v>32</v>
      </c>
      <c r="K375" s="8">
        <v>45231</v>
      </c>
      <c r="L375" s="2" t="s">
        <v>23</v>
      </c>
      <c r="M375" s="2" t="s">
        <v>60</v>
      </c>
      <c r="N375" s="2" t="s">
        <v>34</v>
      </c>
      <c r="O375" s="2">
        <v>260</v>
      </c>
      <c r="P375" s="2">
        <v>884</v>
      </c>
      <c r="Q375" s="2">
        <v>884</v>
      </c>
      <c r="R375" s="9" t="s">
        <v>30</v>
      </c>
      <c r="S375" s="9">
        <f t="shared" si="10"/>
        <v>1040</v>
      </c>
      <c r="T375" s="10" t="str">
        <f t="shared" si="11"/>
        <v>High</v>
      </c>
    </row>
    <row r="376" spans="1:20">
      <c r="A376" s="2">
        <v>500380</v>
      </c>
      <c r="B376" s="2">
        <v>104869</v>
      </c>
      <c r="C376" s="8">
        <v>46033</v>
      </c>
      <c r="D376" s="2">
        <v>2001</v>
      </c>
      <c r="E376" s="2">
        <v>1</v>
      </c>
      <c r="F376" s="2">
        <v>0</v>
      </c>
      <c r="G376" s="2" t="s">
        <v>31</v>
      </c>
      <c r="H376" s="2" t="s">
        <v>47</v>
      </c>
      <c r="I376" s="2">
        <v>62</v>
      </c>
      <c r="J376" s="2" t="s">
        <v>32</v>
      </c>
      <c r="K376" s="8">
        <v>46018</v>
      </c>
      <c r="L376" s="2" t="s">
        <v>41</v>
      </c>
      <c r="M376" s="2" t="s">
        <v>50</v>
      </c>
      <c r="N376" s="2" t="s">
        <v>34</v>
      </c>
      <c r="O376" s="2">
        <v>18</v>
      </c>
      <c r="P376" s="2">
        <v>18</v>
      </c>
      <c r="Q376" s="2">
        <v>18</v>
      </c>
      <c r="R376" s="9" t="s">
        <v>26</v>
      </c>
      <c r="S376" s="9">
        <f t="shared" si="10"/>
        <v>18</v>
      </c>
      <c r="T376" s="10" t="str">
        <f t="shared" si="11"/>
        <v>Low</v>
      </c>
    </row>
    <row r="377" spans="1:20">
      <c r="A377" s="2">
        <v>500381</v>
      </c>
      <c r="B377" s="2">
        <v>105814</v>
      </c>
      <c r="C377" s="8">
        <v>46082</v>
      </c>
      <c r="D377" s="2">
        <v>2017</v>
      </c>
      <c r="E377" s="2">
        <v>1</v>
      </c>
      <c r="F377" s="2">
        <v>5</v>
      </c>
      <c r="G377" s="2" t="s">
        <v>27</v>
      </c>
      <c r="H377" s="2" t="s">
        <v>47</v>
      </c>
      <c r="I377" s="2">
        <v>64</v>
      </c>
      <c r="J377" s="2" t="s">
        <v>38</v>
      </c>
      <c r="K377" s="8">
        <v>45615</v>
      </c>
      <c r="L377" s="2" t="s">
        <v>23</v>
      </c>
      <c r="M377" s="2" t="s">
        <v>44</v>
      </c>
      <c r="N377" s="2" t="s">
        <v>25</v>
      </c>
      <c r="O377" s="2">
        <v>11</v>
      </c>
      <c r="P377" s="2">
        <v>10</v>
      </c>
      <c r="Q377" s="2">
        <v>10</v>
      </c>
      <c r="R377" s="9" t="s">
        <v>26</v>
      </c>
      <c r="S377" s="9">
        <f t="shared" si="10"/>
        <v>11</v>
      </c>
      <c r="T377" s="10" t="str">
        <f t="shared" si="11"/>
        <v>Low</v>
      </c>
    </row>
    <row r="378" spans="1:20">
      <c r="A378" s="2">
        <v>500382</v>
      </c>
      <c r="B378" s="2">
        <v>101504</v>
      </c>
      <c r="C378" s="8">
        <v>45833</v>
      </c>
      <c r="D378" s="2">
        <v>2011</v>
      </c>
      <c r="E378" s="2">
        <v>4</v>
      </c>
      <c r="F378" s="2">
        <v>0</v>
      </c>
      <c r="G378" s="2" t="s">
        <v>31</v>
      </c>
      <c r="H378" s="2" t="s">
        <v>21</v>
      </c>
      <c r="I378" s="2">
        <v>33</v>
      </c>
      <c r="J378" s="2" t="s">
        <v>55</v>
      </c>
      <c r="K378" s="8">
        <v>45787</v>
      </c>
      <c r="L378" s="2" t="s">
        <v>23</v>
      </c>
      <c r="M378" s="2" t="s">
        <v>42</v>
      </c>
      <c r="N378" s="2" t="s">
        <v>37</v>
      </c>
      <c r="O378" s="2">
        <v>32</v>
      </c>
      <c r="P378" s="2">
        <v>128</v>
      </c>
      <c r="Q378" s="2">
        <v>128</v>
      </c>
      <c r="R378" s="9" t="s">
        <v>26</v>
      </c>
      <c r="S378" s="9">
        <f t="shared" si="10"/>
        <v>128</v>
      </c>
      <c r="T378" s="10" t="str">
        <f t="shared" si="11"/>
        <v>Low</v>
      </c>
    </row>
    <row r="379" spans="1:20">
      <c r="A379" s="2">
        <v>500383</v>
      </c>
      <c r="B379" s="2">
        <v>102142</v>
      </c>
      <c r="C379" s="8">
        <v>46162</v>
      </c>
      <c r="D379" s="2">
        <v>2001</v>
      </c>
      <c r="E379" s="2">
        <v>1</v>
      </c>
      <c r="F379" s="2">
        <v>5</v>
      </c>
      <c r="G379" s="2" t="s">
        <v>56</v>
      </c>
      <c r="H379" s="2" t="s">
        <v>21</v>
      </c>
      <c r="I379" s="2">
        <v>60</v>
      </c>
      <c r="J379" s="2" t="s">
        <v>38</v>
      </c>
      <c r="K379" s="8">
        <v>44971</v>
      </c>
      <c r="L379" s="2" t="s">
        <v>23</v>
      </c>
      <c r="M379" s="2" t="s">
        <v>50</v>
      </c>
      <c r="N379" s="2" t="s">
        <v>34</v>
      </c>
      <c r="O379" s="2">
        <v>18</v>
      </c>
      <c r="P379" s="2">
        <v>17</v>
      </c>
      <c r="Q379" s="2">
        <v>17</v>
      </c>
      <c r="R379" s="9" t="s">
        <v>26</v>
      </c>
      <c r="S379" s="9">
        <f t="shared" si="10"/>
        <v>18</v>
      </c>
      <c r="T379" s="10" t="str">
        <f t="shared" si="11"/>
        <v>Low</v>
      </c>
    </row>
    <row r="380" spans="1:20">
      <c r="A380" s="2">
        <v>500384</v>
      </c>
      <c r="B380" s="2">
        <v>106383</v>
      </c>
      <c r="C380" s="8">
        <v>45646</v>
      </c>
      <c r="D380" s="2">
        <v>2011</v>
      </c>
      <c r="E380" s="2">
        <v>1</v>
      </c>
      <c r="F380" s="2">
        <v>10</v>
      </c>
      <c r="G380" s="2" t="s">
        <v>20</v>
      </c>
      <c r="H380" s="2" t="s">
        <v>21</v>
      </c>
      <c r="I380" s="2">
        <v>47</v>
      </c>
      <c r="J380" s="2" t="s">
        <v>43</v>
      </c>
      <c r="K380" s="8">
        <v>45953</v>
      </c>
      <c r="L380" s="2" t="s">
        <v>23</v>
      </c>
      <c r="M380" s="2" t="s">
        <v>42</v>
      </c>
      <c r="N380" s="2" t="s">
        <v>37</v>
      </c>
      <c r="O380" s="2">
        <v>32</v>
      </c>
      <c r="P380" s="2">
        <v>29</v>
      </c>
      <c r="Q380" s="2">
        <v>29</v>
      </c>
      <c r="R380" s="9" t="s">
        <v>30</v>
      </c>
      <c r="S380" s="9">
        <f t="shared" si="10"/>
        <v>32</v>
      </c>
      <c r="T380" s="10" t="str">
        <f t="shared" si="11"/>
        <v>Average</v>
      </c>
    </row>
    <row r="381" spans="1:20">
      <c r="A381" s="2">
        <v>500385</v>
      </c>
      <c r="B381" s="2">
        <v>108676</v>
      </c>
      <c r="C381" s="8">
        <v>45896</v>
      </c>
      <c r="D381" s="2">
        <v>2014</v>
      </c>
      <c r="E381" s="2">
        <v>1</v>
      </c>
      <c r="F381" s="2">
        <v>15</v>
      </c>
      <c r="G381" s="2" t="s">
        <v>27</v>
      </c>
      <c r="H381" s="2" t="s">
        <v>21</v>
      </c>
      <c r="I381" s="2">
        <v>19</v>
      </c>
      <c r="J381" s="2" t="s">
        <v>28</v>
      </c>
      <c r="K381" s="8">
        <v>45955</v>
      </c>
      <c r="L381" s="2" t="s">
        <v>49</v>
      </c>
      <c r="M381" s="2" t="s">
        <v>29</v>
      </c>
      <c r="N381" s="2" t="s">
        <v>25</v>
      </c>
      <c r="O381" s="2">
        <v>42</v>
      </c>
      <c r="P381" s="2">
        <v>36</v>
      </c>
      <c r="Q381" s="2">
        <v>36</v>
      </c>
      <c r="R381" s="9" t="s">
        <v>26</v>
      </c>
      <c r="S381" s="9">
        <f t="shared" si="10"/>
        <v>42</v>
      </c>
      <c r="T381" s="10" t="str">
        <f t="shared" si="11"/>
        <v>High</v>
      </c>
    </row>
    <row r="382" spans="1:20">
      <c r="A382" s="2">
        <v>500386</v>
      </c>
      <c r="B382" s="2">
        <v>105268</v>
      </c>
      <c r="C382" s="8">
        <v>45300</v>
      </c>
      <c r="D382" s="2">
        <v>2008</v>
      </c>
      <c r="E382" s="2">
        <v>1</v>
      </c>
      <c r="F382" s="2">
        <v>0</v>
      </c>
      <c r="G382" s="2" t="s">
        <v>31</v>
      </c>
      <c r="H382" s="2" t="s">
        <v>21</v>
      </c>
      <c r="I382" s="2">
        <v>48</v>
      </c>
      <c r="J382" s="2" t="s">
        <v>45</v>
      </c>
      <c r="K382" s="8">
        <v>45912</v>
      </c>
      <c r="L382" s="2" t="s">
        <v>23</v>
      </c>
      <c r="M382" s="2" t="s">
        <v>39</v>
      </c>
      <c r="N382" s="2" t="s">
        <v>25</v>
      </c>
      <c r="O382" s="2">
        <v>14</v>
      </c>
      <c r="P382" s="2">
        <v>14</v>
      </c>
      <c r="Q382" s="2">
        <v>14</v>
      </c>
      <c r="R382" s="9" t="s">
        <v>30</v>
      </c>
      <c r="S382" s="9">
        <f t="shared" si="10"/>
        <v>14</v>
      </c>
      <c r="T382" s="10" t="str">
        <f t="shared" si="11"/>
        <v>Low</v>
      </c>
    </row>
    <row r="383" spans="1:20">
      <c r="A383" s="2">
        <v>500387</v>
      </c>
      <c r="B383" s="2">
        <v>102029</v>
      </c>
      <c r="C383" s="8">
        <v>45529</v>
      </c>
      <c r="D383" s="2">
        <v>2014</v>
      </c>
      <c r="E383" s="2">
        <v>3</v>
      </c>
      <c r="F383" s="2">
        <v>5</v>
      </c>
      <c r="G383" s="2" t="s">
        <v>27</v>
      </c>
      <c r="H383" s="2" t="s">
        <v>21</v>
      </c>
      <c r="I383" s="2">
        <v>43</v>
      </c>
      <c r="J383" s="2" t="s">
        <v>48</v>
      </c>
      <c r="K383" s="8">
        <v>44979</v>
      </c>
      <c r="L383" s="2" t="s">
        <v>23</v>
      </c>
      <c r="M383" s="2" t="s">
        <v>29</v>
      </c>
      <c r="N383" s="2" t="s">
        <v>25</v>
      </c>
      <c r="O383" s="2">
        <v>42</v>
      </c>
      <c r="P383" s="2">
        <v>120</v>
      </c>
      <c r="Q383" s="2">
        <v>120</v>
      </c>
      <c r="R383" s="9" t="s">
        <v>30</v>
      </c>
      <c r="S383" s="9">
        <f t="shared" si="10"/>
        <v>126</v>
      </c>
      <c r="T383" s="10" t="str">
        <f t="shared" si="11"/>
        <v>Low</v>
      </c>
    </row>
    <row r="384" spans="1:20">
      <c r="A384" s="2">
        <v>500388</v>
      </c>
      <c r="B384" s="2">
        <v>103889</v>
      </c>
      <c r="C384" s="8">
        <v>45781</v>
      </c>
      <c r="D384" s="2">
        <v>2017</v>
      </c>
      <c r="E384" s="2">
        <v>1</v>
      </c>
      <c r="F384" s="2">
        <v>0</v>
      </c>
      <c r="G384" s="2" t="s">
        <v>20</v>
      </c>
      <c r="H384" s="2" t="s">
        <v>21</v>
      </c>
      <c r="I384" s="2">
        <v>24</v>
      </c>
      <c r="J384" s="2" t="s">
        <v>38</v>
      </c>
      <c r="K384" s="8">
        <v>45579</v>
      </c>
      <c r="L384" s="2" t="s">
        <v>23</v>
      </c>
      <c r="M384" s="2" t="s">
        <v>44</v>
      </c>
      <c r="N384" s="2" t="s">
        <v>25</v>
      </c>
      <c r="O384" s="2">
        <v>11</v>
      </c>
      <c r="P384" s="2">
        <v>11</v>
      </c>
      <c r="Q384" s="2">
        <v>11</v>
      </c>
      <c r="R384" s="9" t="s">
        <v>26</v>
      </c>
      <c r="S384" s="9">
        <f t="shared" si="10"/>
        <v>11</v>
      </c>
      <c r="T384" s="10" t="str">
        <f t="shared" si="11"/>
        <v>Low</v>
      </c>
    </row>
    <row r="385" spans="1:20">
      <c r="A385" s="2">
        <v>500389</v>
      </c>
      <c r="B385" s="2">
        <v>105944</v>
      </c>
      <c r="C385" s="8">
        <v>46048</v>
      </c>
      <c r="D385" s="2">
        <v>2008</v>
      </c>
      <c r="E385" s="2">
        <v>1</v>
      </c>
      <c r="F385" s="2">
        <v>30</v>
      </c>
      <c r="G385" s="2" t="s">
        <v>31</v>
      </c>
      <c r="H385" s="2" t="s">
        <v>21</v>
      </c>
      <c r="I385" s="2">
        <v>49</v>
      </c>
      <c r="J385" s="2" t="s">
        <v>43</v>
      </c>
      <c r="K385" s="8">
        <v>45608</v>
      </c>
      <c r="L385" s="2" t="s">
        <v>41</v>
      </c>
      <c r="M385" s="2" t="s">
        <v>39</v>
      </c>
      <c r="N385" s="2" t="s">
        <v>25</v>
      </c>
      <c r="O385" s="2">
        <v>14</v>
      </c>
      <c r="P385" s="2">
        <v>10</v>
      </c>
      <c r="Q385" s="2">
        <v>10</v>
      </c>
      <c r="R385" s="9" t="s">
        <v>26</v>
      </c>
      <c r="S385" s="9">
        <f t="shared" si="10"/>
        <v>14</v>
      </c>
      <c r="T385" s="10" t="str">
        <f t="shared" si="11"/>
        <v>High</v>
      </c>
    </row>
    <row r="386" spans="1:20">
      <c r="A386" s="2">
        <v>500390</v>
      </c>
      <c r="B386" s="2">
        <v>107310</v>
      </c>
      <c r="C386" s="8">
        <v>46144</v>
      </c>
      <c r="D386" s="2">
        <v>2010</v>
      </c>
      <c r="E386" s="2">
        <v>2</v>
      </c>
      <c r="F386" s="2">
        <v>5</v>
      </c>
      <c r="G386" s="2" t="s">
        <v>20</v>
      </c>
      <c r="H386" s="2" t="s">
        <v>21</v>
      </c>
      <c r="I386" s="2">
        <v>33</v>
      </c>
      <c r="J386" s="2" t="s">
        <v>45</v>
      </c>
      <c r="K386" s="8">
        <v>45892</v>
      </c>
      <c r="L386" s="2" t="s">
        <v>41</v>
      </c>
      <c r="M386" s="2" t="s">
        <v>58</v>
      </c>
      <c r="N386" s="2" t="s">
        <v>59</v>
      </c>
      <c r="O386" s="2">
        <v>55</v>
      </c>
      <c r="P386" s="2">
        <v>104</v>
      </c>
      <c r="Q386" s="2">
        <v>104</v>
      </c>
      <c r="R386" s="9" t="s">
        <v>26</v>
      </c>
      <c r="S386" s="9">
        <f t="shared" ref="S386:S449" si="12">SUM(E386*O386)</f>
        <v>110</v>
      </c>
      <c r="T386" s="10" t="str">
        <f t="shared" ref="T386:T449" si="13">IF(F386&lt;=5,"Low",IF(F386&lt;=10,"Average",IF(F386&gt;10,"High")))</f>
        <v>Low</v>
      </c>
    </row>
    <row r="387" spans="1:20">
      <c r="A387" s="2">
        <v>500391</v>
      </c>
      <c r="B387" s="2">
        <v>100983</v>
      </c>
      <c r="C387" s="8">
        <v>45792</v>
      </c>
      <c r="D387" s="2">
        <v>2014</v>
      </c>
      <c r="E387" s="2">
        <v>3</v>
      </c>
      <c r="F387" s="2">
        <v>0</v>
      </c>
      <c r="G387" s="2" t="s">
        <v>20</v>
      </c>
      <c r="H387" s="2" t="s">
        <v>21</v>
      </c>
      <c r="I387" s="2">
        <v>44</v>
      </c>
      <c r="J387" s="2" t="s">
        <v>22</v>
      </c>
      <c r="K387" s="8">
        <v>45739</v>
      </c>
      <c r="L387" s="2" t="s">
        <v>23</v>
      </c>
      <c r="M387" s="2" t="s">
        <v>29</v>
      </c>
      <c r="N387" s="2" t="s">
        <v>25</v>
      </c>
      <c r="O387" s="2">
        <v>42</v>
      </c>
      <c r="P387" s="2">
        <v>126</v>
      </c>
      <c r="Q387" s="2">
        <v>126</v>
      </c>
      <c r="R387" s="9" t="s">
        <v>26</v>
      </c>
      <c r="S387" s="9">
        <f t="shared" si="12"/>
        <v>126</v>
      </c>
      <c r="T387" s="10" t="str">
        <f t="shared" si="13"/>
        <v>Low</v>
      </c>
    </row>
    <row r="388" spans="1:20">
      <c r="A388" s="2">
        <v>500392</v>
      </c>
      <c r="B388" s="2">
        <v>102390</v>
      </c>
      <c r="C388" s="8">
        <v>46031</v>
      </c>
      <c r="D388" s="2">
        <v>2001</v>
      </c>
      <c r="E388" s="2">
        <v>1</v>
      </c>
      <c r="F388" s="2">
        <v>30</v>
      </c>
      <c r="G388" s="2" t="s">
        <v>31</v>
      </c>
      <c r="H388" s="2" t="s">
        <v>21</v>
      </c>
      <c r="I388" s="2">
        <v>59</v>
      </c>
      <c r="J388" s="2" t="s">
        <v>32</v>
      </c>
      <c r="K388" s="8">
        <v>45453</v>
      </c>
      <c r="L388" s="2" t="s">
        <v>23</v>
      </c>
      <c r="M388" s="2" t="s">
        <v>50</v>
      </c>
      <c r="N388" s="2" t="s">
        <v>34</v>
      </c>
      <c r="O388" s="2">
        <v>18</v>
      </c>
      <c r="P388" s="2">
        <v>13</v>
      </c>
      <c r="Q388" s="2">
        <v>13</v>
      </c>
      <c r="R388" s="9" t="s">
        <v>26</v>
      </c>
      <c r="S388" s="9">
        <f t="shared" si="12"/>
        <v>18</v>
      </c>
      <c r="T388" s="10" t="str">
        <f t="shared" si="13"/>
        <v>High</v>
      </c>
    </row>
    <row r="389" spans="1:20">
      <c r="A389" s="2">
        <v>500393</v>
      </c>
      <c r="B389" s="2">
        <v>101853</v>
      </c>
      <c r="C389" s="8">
        <v>45982</v>
      </c>
      <c r="D389" s="2">
        <v>2015</v>
      </c>
      <c r="E389" s="2">
        <v>4</v>
      </c>
      <c r="F389" s="2">
        <v>20</v>
      </c>
      <c r="G389" s="2" t="s">
        <v>27</v>
      </c>
      <c r="H389" s="2" t="s">
        <v>47</v>
      </c>
      <c r="I389" s="2">
        <v>39</v>
      </c>
      <c r="J389" s="2" t="s">
        <v>38</v>
      </c>
      <c r="K389" s="8">
        <v>45012</v>
      </c>
      <c r="L389" s="2" t="s">
        <v>41</v>
      </c>
      <c r="M389" s="2" t="s">
        <v>66</v>
      </c>
      <c r="N389" s="2" t="s">
        <v>34</v>
      </c>
      <c r="O389" s="2">
        <v>58</v>
      </c>
      <c r="P389" s="2">
        <v>186</v>
      </c>
      <c r="Q389" s="2">
        <v>186</v>
      </c>
      <c r="R389" s="9" t="s">
        <v>26</v>
      </c>
      <c r="S389" s="9">
        <f t="shared" si="12"/>
        <v>232</v>
      </c>
      <c r="T389" s="10" t="str">
        <f t="shared" si="13"/>
        <v>High</v>
      </c>
    </row>
    <row r="390" spans="1:20">
      <c r="A390" s="2">
        <v>500394</v>
      </c>
      <c r="B390" s="2">
        <v>107782</v>
      </c>
      <c r="C390" s="8">
        <v>45960</v>
      </c>
      <c r="D390" s="2">
        <v>2002</v>
      </c>
      <c r="E390" s="2">
        <v>1</v>
      </c>
      <c r="F390" s="2">
        <v>30</v>
      </c>
      <c r="G390" s="2" t="s">
        <v>31</v>
      </c>
      <c r="H390" s="2" t="s">
        <v>21</v>
      </c>
      <c r="I390" s="2">
        <v>24</v>
      </c>
      <c r="J390" s="2" t="s">
        <v>38</v>
      </c>
      <c r="K390" s="8">
        <v>44999</v>
      </c>
      <c r="L390" s="2" t="s">
        <v>23</v>
      </c>
      <c r="M390" s="2" t="s">
        <v>33</v>
      </c>
      <c r="N390" s="2" t="s">
        <v>34</v>
      </c>
      <c r="O390" s="2">
        <v>62</v>
      </c>
      <c r="P390" s="2">
        <v>43</v>
      </c>
      <c r="Q390" s="2">
        <v>43</v>
      </c>
      <c r="R390" s="9" t="s">
        <v>26</v>
      </c>
      <c r="S390" s="9">
        <f t="shared" si="12"/>
        <v>62</v>
      </c>
      <c r="T390" s="10" t="str">
        <f t="shared" si="13"/>
        <v>High</v>
      </c>
    </row>
    <row r="391" spans="1:20">
      <c r="A391" s="2">
        <v>500395</v>
      </c>
      <c r="B391" s="2">
        <v>102773</v>
      </c>
      <c r="C391" s="8">
        <v>45388</v>
      </c>
      <c r="D391" s="2">
        <v>2013</v>
      </c>
      <c r="E391" s="2">
        <v>3</v>
      </c>
      <c r="F391" s="2">
        <v>0</v>
      </c>
      <c r="G391" s="2" t="s">
        <v>27</v>
      </c>
      <c r="H391" s="2" t="s">
        <v>21</v>
      </c>
      <c r="I391" s="2">
        <v>27</v>
      </c>
      <c r="J391" s="2" t="s">
        <v>32</v>
      </c>
      <c r="K391" s="8">
        <v>44941</v>
      </c>
      <c r="L391" s="2" t="s">
        <v>41</v>
      </c>
      <c r="M391" s="2" t="s">
        <v>53</v>
      </c>
      <c r="N391" s="2" t="s">
        <v>54</v>
      </c>
      <c r="O391" s="2">
        <v>7</v>
      </c>
      <c r="P391" s="2">
        <v>21</v>
      </c>
      <c r="Q391" s="2">
        <v>21</v>
      </c>
      <c r="R391" s="9" t="s">
        <v>30</v>
      </c>
      <c r="S391" s="9">
        <f t="shared" si="12"/>
        <v>21</v>
      </c>
      <c r="T391" s="10" t="str">
        <f t="shared" si="13"/>
        <v>Low</v>
      </c>
    </row>
    <row r="392" spans="1:20">
      <c r="A392" s="2">
        <v>500396</v>
      </c>
      <c r="B392" s="2">
        <v>106497</v>
      </c>
      <c r="C392" s="8">
        <v>45705</v>
      </c>
      <c r="D392" s="2">
        <v>2005</v>
      </c>
      <c r="E392" s="2">
        <v>2</v>
      </c>
      <c r="F392" s="2">
        <v>0</v>
      </c>
      <c r="G392" s="2" t="s">
        <v>31</v>
      </c>
      <c r="H392" s="2" t="s">
        <v>21</v>
      </c>
      <c r="I392" s="2">
        <v>47</v>
      </c>
      <c r="J392" s="2" t="s">
        <v>32</v>
      </c>
      <c r="K392" s="8">
        <v>45702</v>
      </c>
      <c r="L392" s="2" t="s">
        <v>23</v>
      </c>
      <c r="M392" s="2" t="s">
        <v>51</v>
      </c>
      <c r="N392" s="2" t="s">
        <v>25</v>
      </c>
      <c r="O392" s="2">
        <v>28</v>
      </c>
      <c r="P392" s="2">
        <v>56</v>
      </c>
      <c r="Q392" s="2">
        <v>56</v>
      </c>
      <c r="R392" s="9" t="s">
        <v>26</v>
      </c>
      <c r="S392" s="9">
        <f t="shared" si="12"/>
        <v>56</v>
      </c>
      <c r="T392" s="10" t="str">
        <f t="shared" si="13"/>
        <v>Low</v>
      </c>
    </row>
    <row r="393" spans="1:20">
      <c r="A393" s="2">
        <v>500397</v>
      </c>
      <c r="B393" s="2">
        <v>101287</v>
      </c>
      <c r="C393" s="8">
        <v>45712</v>
      </c>
      <c r="D393" s="2">
        <v>2019</v>
      </c>
      <c r="E393" s="2">
        <v>1</v>
      </c>
      <c r="F393" s="2">
        <v>0</v>
      </c>
      <c r="G393" s="2" t="s">
        <v>20</v>
      </c>
      <c r="H393" s="2" t="s">
        <v>21</v>
      </c>
      <c r="I393" s="2">
        <v>61</v>
      </c>
      <c r="J393" s="2" t="s">
        <v>43</v>
      </c>
      <c r="K393" s="8">
        <v>45375</v>
      </c>
      <c r="L393" s="2" t="s">
        <v>23</v>
      </c>
      <c r="M393" s="2" t="s">
        <v>60</v>
      </c>
      <c r="N393" s="2" t="s">
        <v>34</v>
      </c>
      <c r="O393" s="2">
        <v>260</v>
      </c>
      <c r="P393" s="2">
        <v>260</v>
      </c>
      <c r="Q393" s="2">
        <v>260</v>
      </c>
      <c r="R393" s="9" t="s">
        <v>26</v>
      </c>
      <c r="S393" s="9">
        <f t="shared" si="12"/>
        <v>260</v>
      </c>
      <c r="T393" s="10" t="str">
        <f t="shared" si="13"/>
        <v>Low</v>
      </c>
    </row>
    <row r="394" spans="1:20">
      <c r="A394" s="2">
        <v>500398</v>
      </c>
      <c r="B394" s="2">
        <v>101164</v>
      </c>
      <c r="C394" s="8">
        <v>45972</v>
      </c>
      <c r="D394" s="2">
        <v>2020</v>
      </c>
      <c r="E394" s="2">
        <v>2</v>
      </c>
      <c r="F394" s="2">
        <v>0</v>
      </c>
      <c r="G394" s="2" t="s">
        <v>20</v>
      </c>
      <c r="H394" s="2" t="s">
        <v>21</v>
      </c>
      <c r="I394" s="2">
        <v>43</v>
      </c>
      <c r="J394" s="2" t="s">
        <v>35</v>
      </c>
      <c r="K394" s="8">
        <v>45161</v>
      </c>
      <c r="L394" s="2" t="s">
        <v>41</v>
      </c>
      <c r="M394" s="2" t="s">
        <v>62</v>
      </c>
      <c r="N394" s="2" t="s">
        <v>63</v>
      </c>
      <c r="O394" s="2">
        <v>68</v>
      </c>
      <c r="P394" s="2">
        <v>136</v>
      </c>
      <c r="Q394" s="2">
        <v>136</v>
      </c>
      <c r="R394" s="9" t="s">
        <v>26</v>
      </c>
      <c r="S394" s="9">
        <f t="shared" si="12"/>
        <v>136</v>
      </c>
      <c r="T394" s="10" t="str">
        <f t="shared" si="13"/>
        <v>Low</v>
      </c>
    </row>
    <row r="395" spans="1:20">
      <c r="A395" s="2">
        <v>500399</v>
      </c>
      <c r="B395" s="2">
        <v>101132</v>
      </c>
      <c r="C395" s="8">
        <v>45798</v>
      </c>
      <c r="D395" s="2">
        <v>2003</v>
      </c>
      <c r="E395" s="2">
        <v>1</v>
      </c>
      <c r="F395" s="2">
        <v>5</v>
      </c>
      <c r="G395" s="2" t="s">
        <v>20</v>
      </c>
      <c r="H395" s="2" t="s">
        <v>21</v>
      </c>
      <c r="I395" s="2">
        <v>50</v>
      </c>
      <c r="J395" s="2" t="s">
        <v>48</v>
      </c>
      <c r="K395" s="8">
        <v>45826</v>
      </c>
      <c r="L395" s="2" t="s">
        <v>23</v>
      </c>
      <c r="M395" s="2" t="s">
        <v>24</v>
      </c>
      <c r="N395" s="2" t="s">
        <v>25</v>
      </c>
      <c r="O395" s="2">
        <v>9</v>
      </c>
      <c r="P395" s="2">
        <v>9</v>
      </c>
      <c r="Q395" s="2">
        <v>9</v>
      </c>
      <c r="R395" s="9" t="s">
        <v>26</v>
      </c>
      <c r="S395" s="9">
        <f t="shared" si="12"/>
        <v>9</v>
      </c>
      <c r="T395" s="10" t="str">
        <f t="shared" si="13"/>
        <v>Low</v>
      </c>
    </row>
    <row r="396" spans="1:20">
      <c r="A396" s="2">
        <v>500400</v>
      </c>
      <c r="B396" s="2">
        <v>104273</v>
      </c>
      <c r="C396" s="8">
        <v>46000</v>
      </c>
      <c r="D396" s="2">
        <v>2011</v>
      </c>
      <c r="E396" s="2">
        <v>1</v>
      </c>
      <c r="F396" s="2">
        <v>0</v>
      </c>
      <c r="G396" s="2" t="s">
        <v>56</v>
      </c>
      <c r="H396" s="2" t="s">
        <v>21</v>
      </c>
      <c r="I396" s="2">
        <v>62</v>
      </c>
      <c r="J396" s="2" t="s">
        <v>52</v>
      </c>
      <c r="K396" s="8">
        <v>45220</v>
      </c>
      <c r="L396" s="2" t="s">
        <v>41</v>
      </c>
      <c r="M396" s="2" t="s">
        <v>42</v>
      </c>
      <c r="N396" s="2" t="s">
        <v>37</v>
      </c>
      <c r="O396" s="2">
        <v>32</v>
      </c>
      <c r="P396" s="2">
        <v>32</v>
      </c>
      <c r="Q396" s="2">
        <v>32</v>
      </c>
      <c r="R396" s="9" t="s">
        <v>26</v>
      </c>
      <c r="S396" s="9">
        <f t="shared" si="12"/>
        <v>32</v>
      </c>
      <c r="T396" s="10" t="str">
        <f t="shared" si="13"/>
        <v>Low</v>
      </c>
    </row>
    <row r="397" spans="1:20">
      <c r="A397" s="2">
        <v>500401</v>
      </c>
      <c r="B397" s="2">
        <v>100203</v>
      </c>
      <c r="C397" s="8">
        <v>46148</v>
      </c>
      <c r="D397" s="2">
        <v>2001</v>
      </c>
      <c r="E397" s="2">
        <v>2</v>
      </c>
      <c r="F397" s="2">
        <v>5</v>
      </c>
      <c r="G397" s="2" t="s">
        <v>20</v>
      </c>
      <c r="H397" s="2" t="s">
        <v>21</v>
      </c>
      <c r="I397" s="2">
        <v>41</v>
      </c>
      <c r="J397" s="2" t="s">
        <v>32</v>
      </c>
      <c r="K397" s="8">
        <v>45192</v>
      </c>
      <c r="L397" s="2" t="s">
        <v>49</v>
      </c>
      <c r="M397" s="2" t="s">
        <v>50</v>
      </c>
      <c r="N397" s="2" t="s">
        <v>34</v>
      </c>
      <c r="O397" s="2">
        <v>18</v>
      </c>
      <c r="P397" s="2">
        <v>34</v>
      </c>
      <c r="Q397" s="2">
        <v>34</v>
      </c>
      <c r="R397" s="9" t="s">
        <v>26</v>
      </c>
      <c r="S397" s="9">
        <f t="shared" si="12"/>
        <v>36</v>
      </c>
      <c r="T397" s="10" t="str">
        <f t="shared" si="13"/>
        <v>Low</v>
      </c>
    </row>
    <row r="398" spans="1:20">
      <c r="A398" s="2">
        <v>500402</v>
      </c>
      <c r="B398" s="2">
        <v>105180</v>
      </c>
      <c r="C398" s="8">
        <v>45771</v>
      </c>
      <c r="D398" s="2">
        <v>2019</v>
      </c>
      <c r="E398" s="2">
        <v>2</v>
      </c>
      <c r="F398" s="2">
        <v>0</v>
      </c>
      <c r="G398" s="2" t="s">
        <v>20</v>
      </c>
      <c r="H398" s="2" t="s">
        <v>21</v>
      </c>
      <c r="I398" s="2">
        <v>37</v>
      </c>
      <c r="J398" s="2" t="s">
        <v>48</v>
      </c>
      <c r="K398" s="8">
        <v>45088</v>
      </c>
      <c r="L398" s="2" t="s">
        <v>23</v>
      </c>
      <c r="M398" s="2" t="s">
        <v>60</v>
      </c>
      <c r="N398" s="2" t="s">
        <v>34</v>
      </c>
      <c r="O398" s="2">
        <v>260</v>
      </c>
      <c r="P398" s="2">
        <v>520</v>
      </c>
      <c r="Q398" s="2">
        <v>520</v>
      </c>
      <c r="R398" s="9" t="s">
        <v>26</v>
      </c>
      <c r="S398" s="9">
        <f t="shared" si="12"/>
        <v>520</v>
      </c>
      <c r="T398" s="10" t="str">
        <f t="shared" si="13"/>
        <v>Low</v>
      </c>
    </row>
    <row r="399" spans="1:20">
      <c r="A399" s="2">
        <v>500403</v>
      </c>
      <c r="B399" s="2">
        <v>102696</v>
      </c>
      <c r="C399" s="8">
        <v>45976</v>
      </c>
      <c r="D399" s="2">
        <v>2020</v>
      </c>
      <c r="E399" s="2">
        <v>1</v>
      </c>
      <c r="F399" s="2">
        <v>20</v>
      </c>
      <c r="G399" s="2" t="s">
        <v>20</v>
      </c>
      <c r="H399" s="2" t="s">
        <v>21</v>
      </c>
      <c r="I399" s="2">
        <v>35</v>
      </c>
      <c r="J399" s="2" t="s">
        <v>35</v>
      </c>
      <c r="K399" s="8">
        <v>45830</v>
      </c>
      <c r="L399" s="2" t="s">
        <v>23</v>
      </c>
      <c r="M399" s="2" t="s">
        <v>62</v>
      </c>
      <c r="N399" s="2" t="s">
        <v>63</v>
      </c>
      <c r="O399" s="2">
        <v>68</v>
      </c>
      <c r="P399" s="2">
        <v>54</v>
      </c>
      <c r="Q399" s="2">
        <v>54</v>
      </c>
      <c r="R399" s="9" t="s">
        <v>26</v>
      </c>
      <c r="S399" s="9">
        <f t="shared" si="12"/>
        <v>68</v>
      </c>
      <c r="T399" s="10" t="str">
        <f t="shared" si="13"/>
        <v>High</v>
      </c>
    </row>
    <row r="400" spans="1:20">
      <c r="A400" s="2">
        <v>500404</v>
      </c>
      <c r="B400" s="2">
        <v>104784</v>
      </c>
      <c r="C400" s="8">
        <v>45776</v>
      </c>
      <c r="D400" s="2">
        <v>2008</v>
      </c>
      <c r="E400" s="2">
        <v>3</v>
      </c>
      <c r="F400" s="2">
        <v>15</v>
      </c>
      <c r="G400" s="2" t="s">
        <v>20</v>
      </c>
      <c r="H400" s="2" t="s">
        <v>21</v>
      </c>
      <c r="I400" s="2">
        <v>54</v>
      </c>
      <c r="J400" s="2" t="s">
        <v>32</v>
      </c>
      <c r="K400" s="8">
        <v>45307</v>
      </c>
      <c r="L400" s="2" t="s">
        <v>41</v>
      </c>
      <c r="M400" s="2" t="s">
        <v>39</v>
      </c>
      <c r="N400" s="2" t="s">
        <v>25</v>
      </c>
      <c r="O400" s="2">
        <v>14</v>
      </c>
      <c r="P400" s="2">
        <v>36</v>
      </c>
      <c r="Q400" s="2">
        <v>36</v>
      </c>
      <c r="R400" s="9" t="s">
        <v>26</v>
      </c>
      <c r="S400" s="9">
        <f t="shared" si="12"/>
        <v>42</v>
      </c>
      <c r="T400" s="10" t="str">
        <f t="shared" si="13"/>
        <v>High</v>
      </c>
    </row>
    <row r="401" spans="1:20">
      <c r="A401" s="2">
        <v>500406</v>
      </c>
      <c r="B401" s="2">
        <v>104685</v>
      </c>
      <c r="C401" s="8">
        <v>45703</v>
      </c>
      <c r="D401" s="2">
        <v>2013</v>
      </c>
      <c r="E401" s="2">
        <v>3</v>
      </c>
      <c r="F401" s="2">
        <v>10</v>
      </c>
      <c r="G401" s="2" t="s">
        <v>20</v>
      </c>
      <c r="H401" s="2" t="s">
        <v>21</v>
      </c>
      <c r="I401" s="2">
        <v>42</v>
      </c>
      <c r="J401" s="2" t="s">
        <v>32</v>
      </c>
      <c r="K401" s="8">
        <v>45896</v>
      </c>
      <c r="L401" s="2" t="s">
        <v>23</v>
      </c>
      <c r="M401" s="2" t="s">
        <v>53</v>
      </c>
      <c r="N401" s="2" t="s">
        <v>54</v>
      </c>
      <c r="O401" s="2">
        <v>7</v>
      </c>
      <c r="P401" s="2">
        <v>19</v>
      </c>
      <c r="Q401" s="2">
        <v>19</v>
      </c>
      <c r="R401" s="9" t="s">
        <v>26</v>
      </c>
      <c r="S401" s="9">
        <f t="shared" si="12"/>
        <v>21</v>
      </c>
      <c r="T401" s="10" t="str">
        <f t="shared" si="13"/>
        <v>Average</v>
      </c>
    </row>
    <row r="402" spans="1:20">
      <c r="A402" s="2">
        <v>500407</v>
      </c>
      <c r="B402" s="2">
        <v>107934</v>
      </c>
      <c r="C402" s="8">
        <v>46152</v>
      </c>
      <c r="D402" s="2">
        <v>2014</v>
      </c>
      <c r="E402" s="2">
        <v>4</v>
      </c>
      <c r="F402" s="2">
        <v>5</v>
      </c>
      <c r="G402" s="2" t="s">
        <v>31</v>
      </c>
      <c r="H402" s="2" t="s">
        <v>21</v>
      </c>
      <c r="I402" s="2">
        <v>41</v>
      </c>
      <c r="J402" s="2" t="s">
        <v>38</v>
      </c>
      <c r="K402" s="8">
        <v>45757</v>
      </c>
      <c r="L402" s="2" t="s">
        <v>41</v>
      </c>
      <c r="M402" s="2" t="s">
        <v>29</v>
      </c>
      <c r="N402" s="2" t="s">
        <v>25</v>
      </c>
      <c r="O402" s="2">
        <v>42</v>
      </c>
      <c r="P402" s="2">
        <v>160</v>
      </c>
      <c r="Q402" s="2">
        <v>160</v>
      </c>
      <c r="R402" s="9" t="s">
        <v>26</v>
      </c>
      <c r="S402" s="9">
        <f t="shared" si="12"/>
        <v>168</v>
      </c>
      <c r="T402" s="10" t="str">
        <f t="shared" si="13"/>
        <v>Low</v>
      </c>
    </row>
    <row r="403" spans="1:20">
      <c r="A403" s="2">
        <v>500408</v>
      </c>
      <c r="B403" s="2">
        <v>107909</v>
      </c>
      <c r="C403" s="8">
        <v>45998</v>
      </c>
      <c r="D403" s="2">
        <v>2018</v>
      </c>
      <c r="E403" s="2">
        <v>2</v>
      </c>
      <c r="F403" s="2">
        <v>10</v>
      </c>
      <c r="G403" s="2" t="s">
        <v>56</v>
      </c>
      <c r="H403" s="2" t="s">
        <v>47</v>
      </c>
      <c r="I403" s="2">
        <v>23</v>
      </c>
      <c r="J403" s="2" t="s">
        <v>32</v>
      </c>
      <c r="K403" s="8">
        <v>45861</v>
      </c>
      <c r="L403" s="2" t="s">
        <v>23</v>
      </c>
      <c r="M403" s="2" t="s">
        <v>64</v>
      </c>
      <c r="N403" s="2" t="s">
        <v>34</v>
      </c>
      <c r="O403" s="2">
        <v>85</v>
      </c>
      <c r="P403" s="2">
        <v>153</v>
      </c>
      <c r="Q403" s="2">
        <v>153</v>
      </c>
      <c r="R403" s="9" t="s">
        <v>26</v>
      </c>
      <c r="S403" s="9">
        <f t="shared" si="12"/>
        <v>170</v>
      </c>
      <c r="T403" s="10" t="str">
        <f t="shared" si="13"/>
        <v>Average</v>
      </c>
    </row>
    <row r="404" spans="1:20">
      <c r="A404" s="2">
        <v>500409</v>
      </c>
      <c r="B404" s="2">
        <v>106115</v>
      </c>
      <c r="C404" s="8">
        <v>45941</v>
      </c>
      <c r="D404" s="2">
        <v>2008</v>
      </c>
      <c r="E404" s="2">
        <v>1</v>
      </c>
      <c r="F404" s="2">
        <v>15</v>
      </c>
      <c r="G404" s="2" t="s">
        <v>31</v>
      </c>
      <c r="H404" s="2" t="s">
        <v>21</v>
      </c>
      <c r="I404" s="2">
        <v>27</v>
      </c>
      <c r="J404" s="2" t="s">
        <v>48</v>
      </c>
      <c r="K404" s="8">
        <v>45841</v>
      </c>
      <c r="L404" s="2" t="s">
        <v>41</v>
      </c>
      <c r="M404" s="2" t="s">
        <v>39</v>
      </c>
      <c r="N404" s="2" t="s">
        <v>25</v>
      </c>
      <c r="O404" s="2">
        <v>14</v>
      </c>
      <c r="P404" s="2">
        <v>12</v>
      </c>
      <c r="Q404" s="2">
        <v>12</v>
      </c>
      <c r="R404" s="9" t="s">
        <v>26</v>
      </c>
      <c r="S404" s="9">
        <f t="shared" si="12"/>
        <v>14</v>
      </c>
      <c r="T404" s="10" t="str">
        <f t="shared" si="13"/>
        <v>High</v>
      </c>
    </row>
    <row r="405" spans="1:20">
      <c r="A405" s="2">
        <v>500411</v>
      </c>
      <c r="B405" s="2">
        <v>105713</v>
      </c>
      <c r="C405" s="8">
        <v>45711</v>
      </c>
      <c r="D405" s="2">
        <v>2009</v>
      </c>
      <c r="E405" s="2">
        <v>4</v>
      </c>
      <c r="F405" s="2">
        <v>0</v>
      </c>
      <c r="G405" s="2" t="s">
        <v>27</v>
      </c>
      <c r="H405" s="2" t="s">
        <v>21</v>
      </c>
      <c r="I405" s="2">
        <v>40</v>
      </c>
      <c r="J405" s="2" t="s">
        <v>43</v>
      </c>
      <c r="K405" s="8">
        <v>45105</v>
      </c>
      <c r="L405" s="2" t="s">
        <v>23</v>
      </c>
      <c r="M405" s="2" t="s">
        <v>65</v>
      </c>
      <c r="N405" s="2" t="s">
        <v>59</v>
      </c>
      <c r="O405" s="2">
        <v>120</v>
      </c>
      <c r="P405" s="2">
        <v>480</v>
      </c>
      <c r="Q405" s="2">
        <v>480</v>
      </c>
      <c r="R405" s="9" t="s">
        <v>26</v>
      </c>
      <c r="S405" s="9">
        <f t="shared" si="12"/>
        <v>480</v>
      </c>
      <c r="T405" s="10" t="str">
        <f t="shared" si="13"/>
        <v>Low</v>
      </c>
    </row>
    <row r="406" spans="1:20">
      <c r="A406" s="2">
        <v>500412</v>
      </c>
      <c r="B406" s="2">
        <v>102244</v>
      </c>
      <c r="C406" s="8">
        <v>46037</v>
      </c>
      <c r="D406" s="2">
        <v>2004</v>
      </c>
      <c r="E406" s="2">
        <v>2</v>
      </c>
      <c r="F406" s="2">
        <v>0</v>
      </c>
      <c r="G406" s="2" t="s">
        <v>20</v>
      </c>
      <c r="H406" s="2" t="s">
        <v>21</v>
      </c>
      <c r="I406" s="2">
        <v>23</v>
      </c>
      <c r="J406" s="2" t="s">
        <v>22</v>
      </c>
      <c r="K406" s="8">
        <v>45969</v>
      </c>
      <c r="L406" s="2" t="s">
        <v>41</v>
      </c>
      <c r="M406" s="2" t="s">
        <v>46</v>
      </c>
      <c r="N406" s="2" t="s">
        <v>34</v>
      </c>
      <c r="O406" s="2">
        <v>35</v>
      </c>
      <c r="P406" s="2">
        <v>70</v>
      </c>
      <c r="Q406" s="2">
        <v>70</v>
      </c>
      <c r="R406" s="9" t="s">
        <v>26</v>
      </c>
      <c r="S406" s="9">
        <f t="shared" si="12"/>
        <v>70</v>
      </c>
      <c r="T406" s="10" t="str">
        <f t="shared" si="13"/>
        <v>Low</v>
      </c>
    </row>
    <row r="407" spans="1:20">
      <c r="A407" s="2">
        <v>500413</v>
      </c>
      <c r="B407" s="2">
        <v>104983</v>
      </c>
      <c r="C407" s="8">
        <v>46123</v>
      </c>
      <c r="D407" s="2">
        <v>2001</v>
      </c>
      <c r="E407" s="2">
        <v>1</v>
      </c>
      <c r="F407" s="2">
        <v>5</v>
      </c>
      <c r="G407" s="2" t="s">
        <v>20</v>
      </c>
      <c r="H407" s="2" t="s">
        <v>21</v>
      </c>
      <c r="I407" s="2">
        <v>26</v>
      </c>
      <c r="J407" s="2" t="s">
        <v>28</v>
      </c>
      <c r="K407" s="8">
        <v>45982</v>
      </c>
      <c r="L407" s="2" t="s">
        <v>23</v>
      </c>
      <c r="M407" s="2" t="s">
        <v>50</v>
      </c>
      <c r="N407" s="2" t="s">
        <v>34</v>
      </c>
      <c r="O407" s="2">
        <v>18</v>
      </c>
      <c r="P407" s="2">
        <v>17</v>
      </c>
      <c r="Q407" s="2">
        <v>17</v>
      </c>
      <c r="R407" s="9" t="s">
        <v>26</v>
      </c>
      <c r="S407" s="9">
        <f t="shared" si="12"/>
        <v>18</v>
      </c>
      <c r="T407" s="10" t="str">
        <f t="shared" si="13"/>
        <v>Low</v>
      </c>
    </row>
    <row r="408" spans="1:20">
      <c r="A408" s="2">
        <v>500414</v>
      </c>
      <c r="B408" s="2">
        <v>105862</v>
      </c>
      <c r="C408" s="8">
        <v>46200</v>
      </c>
      <c r="D408" s="2">
        <v>2017</v>
      </c>
      <c r="E408" s="2">
        <v>-1</v>
      </c>
      <c r="F408" s="2">
        <v>0</v>
      </c>
      <c r="G408" s="2" t="s">
        <v>20</v>
      </c>
      <c r="H408" s="2" t="s">
        <v>21</v>
      </c>
      <c r="I408" s="2">
        <v>46</v>
      </c>
      <c r="J408" s="2" t="s">
        <v>38</v>
      </c>
      <c r="K408" s="8">
        <v>45378</v>
      </c>
      <c r="L408" s="2" t="s">
        <v>23</v>
      </c>
      <c r="M408" s="2" t="s">
        <v>44</v>
      </c>
      <c r="N408" s="2" t="s">
        <v>25</v>
      </c>
      <c r="O408" s="2">
        <v>11</v>
      </c>
      <c r="P408" s="2">
        <v>-11</v>
      </c>
      <c r="Q408" s="2">
        <v>-11</v>
      </c>
      <c r="R408" s="9" t="s">
        <v>26</v>
      </c>
      <c r="S408" s="9">
        <f t="shared" si="12"/>
        <v>-11</v>
      </c>
      <c r="T408" s="10" t="str">
        <f t="shared" si="13"/>
        <v>Low</v>
      </c>
    </row>
    <row r="409" spans="1:20">
      <c r="A409" s="2">
        <v>500415</v>
      </c>
      <c r="B409" s="2">
        <v>109326</v>
      </c>
      <c r="C409" s="8">
        <v>45926</v>
      </c>
      <c r="D409" s="2">
        <v>2008</v>
      </c>
      <c r="E409" s="2">
        <v>1</v>
      </c>
      <c r="F409" s="2">
        <v>0</v>
      </c>
      <c r="G409" s="2" t="s">
        <v>20</v>
      </c>
      <c r="H409" s="2" t="s">
        <v>21</v>
      </c>
      <c r="I409" s="2">
        <v>39</v>
      </c>
      <c r="J409" s="2" t="s">
        <v>48</v>
      </c>
      <c r="K409" s="8">
        <v>45453</v>
      </c>
      <c r="L409" s="2" t="s">
        <v>23</v>
      </c>
      <c r="M409" s="2" t="s">
        <v>39</v>
      </c>
      <c r="N409" s="2" t="s">
        <v>25</v>
      </c>
      <c r="O409" s="2">
        <v>14</v>
      </c>
      <c r="P409" s="2">
        <v>14</v>
      </c>
      <c r="Q409" s="2">
        <v>14</v>
      </c>
      <c r="R409" s="9" t="s">
        <v>26</v>
      </c>
      <c r="S409" s="9">
        <f t="shared" si="12"/>
        <v>14</v>
      </c>
      <c r="T409" s="10" t="str">
        <f t="shared" si="13"/>
        <v>Low</v>
      </c>
    </row>
    <row r="410" spans="1:20">
      <c r="A410" s="2">
        <v>500416</v>
      </c>
      <c r="B410" s="2">
        <v>102918</v>
      </c>
      <c r="C410" s="8">
        <v>45923</v>
      </c>
      <c r="D410" s="2">
        <v>2013</v>
      </c>
      <c r="E410" s="2">
        <v>2</v>
      </c>
      <c r="F410" s="2">
        <v>5</v>
      </c>
      <c r="G410" s="2" t="s">
        <v>20</v>
      </c>
      <c r="H410" s="2" t="s">
        <v>21</v>
      </c>
      <c r="I410" s="2">
        <v>63</v>
      </c>
      <c r="J410" s="2" t="s">
        <v>32</v>
      </c>
      <c r="K410" s="8">
        <v>45896</v>
      </c>
      <c r="L410" s="2" t="s">
        <v>41</v>
      </c>
      <c r="M410" s="2" t="s">
        <v>53</v>
      </c>
      <c r="N410" s="2" t="s">
        <v>54</v>
      </c>
      <c r="O410" s="2">
        <v>7</v>
      </c>
      <c r="P410" s="2">
        <v>13</v>
      </c>
      <c r="Q410" s="2">
        <v>13</v>
      </c>
      <c r="R410" s="9" t="s">
        <v>26</v>
      </c>
      <c r="S410" s="9">
        <f t="shared" si="12"/>
        <v>14</v>
      </c>
      <c r="T410" s="10" t="str">
        <f t="shared" si="13"/>
        <v>Low</v>
      </c>
    </row>
    <row r="411" spans="1:20">
      <c r="A411" s="2">
        <v>500417</v>
      </c>
      <c r="B411" s="2">
        <v>107013</v>
      </c>
      <c r="C411" s="8">
        <v>45373</v>
      </c>
      <c r="D411" s="2">
        <v>2014</v>
      </c>
      <c r="E411" s="2">
        <v>1</v>
      </c>
      <c r="F411" s="2">
        <v>0</v>
      </c>
      <c r="G411" s="2" t="s">
        <v>31</v>
      </c>
      <c r="H411" s="2" t="s">
        <v>21</v>
      </c>
      <c r="I411" s="2">
        <v>53</v>
      </c>
      <c r="J411" s="2" t="s">
        <v>52</v>
      </c>
      <c r="K411" s="8">
        <v>46000</v>
      </c>
      <c r="L411" s="2" t="s">
        <v>23</v>
      </c>
      <c r="M411" s="2" t="s">
        <v>29</v>
      </c>
      <c r="N411" s="2" t="s">
        <v>25</v>
      </c>
      <c r="O411" s="2">
        <v>42</v>
      </c>
      <c r="P411" s="2">
        <v>42</v>
      </c>
      <c r="Q411" s="2">
        <v>42</v>
      </c>
      <c r="R411" s="9" t="s">
        <v>30</v>
      </c>
      <c r="S411" s="9">
        <f t="shared" si="12"/>
        <v>42</v>
      </c>
      <c r="T411" s="10" t="str">
        <f t="shared" si="13"/>
        <v>Low</v>
      </c>
    </row>
    <row r="412" spans="1:20">
      <c r="A412" s="2">
        <v>500418</v>
      </c>
      <c r="B412" s="2">
        <v>101954</v>
      </c>
      <c r="C412" s="8">
        <v>45941</v>
      </c>
      <c r="D412" s="2">
        <v>2007</v>
      </c>
      <c r="E412" s="2">
        <v>1</v>
      </c>
      <c r="F412" s="2">
        <v>0</v>
      </c>
      <c r="G412" s="2" t="s">
        <v>31</v>
      </c>
      <c r="H412" s="2" t="s">
        <v>21</v>
      </c>
      <c r="I412" s="2">
        <v>40</v>
      </c>
      <c r="J412" s="2" t="s">
        <v>48</v>
      </c>
      <c r="K412" s="8">
        <v>45440</v>
      </c>
      <c r="L412" s="2" t="s">
        <v>41</v>
      </c>
      <c r="M412" s="2" t="s">
        <v>61</v>
      </c>
      <c r="N412" s="2" t="s">
        <v>34</v>
      </c>
      <c r="O412" s="2">
        <v>75</v>
      </c>
      <c r="P412" s="2">
        <v>75</v>
      </c>
      <c r="Q412" s="2">
        <v>75</v>
      </c>
      <c r="R412" s="9" t="s">
        <v>26</v>
      </c>
      <c r="S412" s="9">
        <f t="shared" si="12"/>
        <v>75</v>
      </c>
      <c r="T412" s="10" t="str">
        <f t="shared" si="13"/>
        <v>Low</v>
      </c>
    </row>
    <row r="413" spans="1:20">
      <c r="A413" s="2">
        <v>500419</v>
      </c>
      <c r="B413" s="2">
        <v>100941</v>
      </c>
      <c r="C413" s="8">
        <v>45591</v>
      </c>
      <c r="D413" s="2">
        <v>2007</v>
      </c>
      <c r="E413" s="2">
        <v>2</v>
      </c>
      <c r="F413" s="2">
        <v>15</v>
      </c>
      <c r="G413" s="2" t="s">
        <v>31</v>
      </c>
      <c r="H413" s="2" t="s">
        <v>21</v>
      </c>
      <c r="I413" s="2">
        <v>51</v>
      </c>
      <c r="J413" s="2" t="s">
        <v>38</v>
      </c>
      <c r="K413" s="8">
        <v>45624</v>
      </c>
      <c r="L413" s="2" t="s">
        <v>23</v>
      </c>
      <c r="M413" s="2" t="s">
        <v>61</v>
      </c>
      <c r="N413" s="2" t="s">
        <v>34</v>
      </c>
      <c r="O413" s="2">
        <v>75</v>
      </c>
      <c r="P413" s="2">
        <v>128</v>
      </c>
      <c r="Q413" s="2">
        <v>128</v>
      </c>
      <c r="R413" s="9" t="s">
        <v>30</v>
      </c>
      <c r="S413" s="9">
        <f t="shared" si="12"/>
        <v>150</v>
      </c>
      <c r="T413" s="10" t="str">
        <f t="shared" si="13"/>
        <v>High</v>
      </c>
    </row>
    <row r="414" spans="1:20">
      <c r="A414" s="2">
        <v>500420</v>
      </c>
      <c r="B414" s="2">
        <v>109947</v>
      </c>
      <c r="C414" s="8">
        <v>46039</v>
      </c>
      <c r="D414" s="2">
        <v>2020</v>
      </c>
      <c r="E414" s="2">
        <v>4</v>
      </c>
      <c r="F414" s="2">
        <v>10</v>
      </c>
      <c r="G414" s="2" t="s">
        <v>27</v>
      </c>
      <c r="H414" s="2" t="s">
        <v>47</v>
      </c>
      <c r="I414" s="2">
        <v>51</v>
      </c>
      <c r="J414" s="2" t="s">
        <v>32</v>
      </c>
      <c r="K414" s="8">
        <v>45172</v>
      </c>
      <c r="L414" s="2" t="s">
        <v>23</v>
      </c>
      <c r="M414" s="2" t="s">
        <v>62</v>
      </c>
      <c r="N414" s="2" t="s">
        <v>63</v>
      </c>
      <c r="O414" s="2">
        <v>68</v>
      </c>
      <c r="P414" s="2">
        <v>245</v>
      </c>
      <c r="Q414" s="2">
        <v>245</v>
      </c>
      <c r="R414" s="9" t="s">
        <v>26</v>
      </c>
      <c r="S414" s="9">
        <f t="shared" si="12"/>
        <v>272</v>
      </c>
      <c r="T414" s="10" t="str">
        <f t="shared" si="13"/>
        <v>Average</v>
      </c>
    </row>
    <row r="415" spans="1:20">
      <c r="A415" s="2">
        <v>500421</v>
      </c>
      <c r="B415" s="2">
        <v>102554</v>
      </c>
      <c r="C415" s="8">
        <v>45301</v>
      </c>
      <c r="D415" s="2">
        <v>2015</v>
      </c>
      <c r="E415" s="2">
        <v>1</v>
      </c>
      <c r="F415" s="2">
        <v>15</v>
      </c>
      <c r="G415" s="2" t="s">
        <v>20</v>
      </c>
      <c r="H415" s="2" t="s">
        <v>21</v>
      </c>
      <c r="I415" s="2">
        <v>27</v>
      </c>
      <c r="J415" s="2" t="s">
        <v>32</v>
      </c>
      <c r="K415" s="8">
        <v>45089</v>
      </c>
      <c r="L415" s="2" t="s">
        <v>23</v>
      </c>
      <c r="M415" s="2" t="s">
        <v>66</v>
      </c>
      <c r="N415" s="2" t="s">
        <v>34</v>
      </c>
      <c r="O415" s="2">
        <v>58</v>
      </c>
      <c r="P415" s="2">
        <v>49</v>
      </c>
      <c r="Q415" s="2">
        <v>49</v>
      </c>
      <c r="R415" s="9" t="s">
        <v>30</v>
      </c>
      <c r="S415" s="9">
        <f t="shared" si="12"/>
        <v>58</v>
      </c>
      <c r="T415" s="10" t="str">
        <f t="shared" si="13"/>
        <v>High</v>
      </c>
    </row>
    <row r="416" spans="1:20">
      <c r="A416" s="2">
        <v>500422</v>
      </c>
      <c r="B416" s="2">
        <v>106330</v>
      </c>
      <c r="C416" s="8">
        <v>46120</v>
      </c>
      <c r="D416" s="2">
        <v>2014</v>
      </c>
      <c r="E416" s="2">
        <v>1</v>
      </c>
      <c r="F416" s="2">
        <v>10</v>
      </c>
      <c r="G416" s="2" t="s">
        <v>31</v>
      </c>
      <c r="H416" s="2" t="s">
        <v>21</v>
      </c>
      <c r="I416" s="2">
        <v>46</v>
      </c>
      <c r="J416" s="2" t="s">
        <v>28</v>
      </c>
      <c r="K416" s="8">
        <v>45237</v>
      </c>
      <c r="L416" s="2" t="s">
        <v>23</v>
      </c>
      <c r="M416" s="2" t="s">
        <v>29</v>
      </c>
      <c r="N416" s="2" t="s">
        <v>25</v>
      </c>
      <c r="O416" s="2">
        <v>42</v>
      </c>
      <c r="P416" s="2">
        <v>38</v>
      </c>
      <c r="Q416" s="2">
        <v>38</v>
      </c>
      <c r="R416" s="9" t="s">
        <v>26</v>
      </c>
      <c r="S416" s="9">
        <f t="shared" si="12"/>
        <v>42</v>
      </c>
      <c r="T416" s="10" t="str">
        <f t="shared" si="13"/>
        <v>Average</v>
      </c>
    </row>
    <row r="417" spans="1:20">
      <c r="A417" s="2">
        <v>500423</v>
      </c>
      <c r="B417" s="2">
        <v>102594</v>
      </c>
      <c r="C417" s="8">
        <v>45710</v>
      </c>
      <c r="D417" s="2">
        <v>2003</v>
      </c>
      <c r="E417" s="2">
        <v>2</v>
      </c>
      <c r="F417" s="2">
        <v>0</v>
      </c>
      <c r="G417" s="2" t="s">
        <v>20</v>
      </c>
      <c r="H417" s="2" t="s">
        <v>21</v>
      </c>
      <c r="I417" s="2">
        <v>22</v>
      </c>
      <c r="J417" s="2" t="s">
        <v>22</v>
      </c>
      <c r="K417" s="8">
        <v>45101</v>
      </c>
      <c r="L417" s="2" t="s">
        <v>23</v>
      </c>
      <c r="M417" s="2" t="s">
        <v>24</v>
      </c>
      <c r="N417" s="2" t="s">
        <v>25</v>
      </c>
      <c r="O417" s="2">
        <v>9</v>
      </c>
      <c r="P417" s="2">
        <v>18</v>
      </c>
      <c r="Q417" s="2">
        <v>18</v>
      </c>
      <c r="R417" s="9" t="s">
        <v>26</v>
      </c>
      <c r="S417" s="9">
        <f t="shared" si="12"/>
        <v>18</v>
      </c>
      <c r="T417" s="10" t="str">
        <f t="shared" si="13"/>
        <v>Low</v>
      </c>
    </row>
    <row r="418" spans="1:20">
      <c r="A418" s="2">
        <v>500424</v>
      </c>
      <c r="B418" s="2">
        <v>103310</v>
      </c>
      <c r="C418" s="8">
        <v>45402</v>
      </c>
      <c r="D418" s="2">
        <v>2004</v>
      </c>
      <c r="E418" s="2">
        <v>1</v>
      </c>
      <c r="F418" s="2">
        <v>0</v>
      </c>
      <c r="G418" s="2" t="s">
        <v>27</v>
      </c>
      <c r="H418" s="2" t="s">
        <v>21</v>
      </c>
      <c r="I418" s="2">
        <v>63</v>
      </c>
      <c r="J418" s="2" t="s">
        <v>28</v>
      </c>
      <c r="K418" s="8">
        <v>45023</v>
      </c>
      <c r="L418" s="2" t="s">
        <v>23</v>
      </c>
      <c r="M418" s="2" t="s">
        <v>46</v>
      </c>
      <c r="N418" s="2" t="s">
        <v>34</v>
      </c>
      <c r="O418" s="2">
        <v>35</v>
      </c>
      <c r="P418" s="2">
        <v>35</v>
      </c>
      <c r="Q418" s="2">
        <v>35</v>
      </c>
      <c r="R418" s="9" t="s">
        <v>30</v>
      </c>
      <c r="S418" s="9">
        <f t="shared" si="12"/>
        <v>35</v>
      </c>
      <c r="T418" s="10" t="str">
        <f t="shared" si="13"/>
        <v>Low</v>
      </c>
    </row>
    <row r="419" spans="1:20">
      <c r="A419" s="2">
        <v>500425</v>
      </c>
      <c r="B419" s="2">
        <v>107678</v>
      </c>
      <c r="C419" s="8">
        <v>45811</v>
      </c>
      <c r="D419" s="2">
        <v>2019</v>
      </c>
      <c r="E419" s="2">
        <v>2</v>
      </c>
      <c r="F419" s="2">
        <v>5</v>
      </c>
      <c r="G419" s="2" t="s">
        <v>20</v>
      </c>
      <c r="H419" s="2" t="s">
        <v>21</v>
      </c>
      <c r="I419" s="2">
        <v>56</v>
      </c>
      <c r="J419" s="2" t="s">
        <v>48</v>
      </c>
      <c r="K419" s="8">
        <v>44985</v>
      </c>
      <c r="L419" s="2" t="s">
        <v>49</v>
      </c>
      <c r="M419" s="2" t="s">
        <v>60</v>
      </c>
      <c r="N419" s="2" t="s">
        <v>34</v>
      </c>
      <c r="O419" s="2">
        <v>260</v>
      </c>
      <c r="P419" s="2">
        <v>494</v>
      </c>
      <c r="Q419" s="2">
        <v>494</v>
      </c>
      <c r="R419" s="9" t="s">
        <v>26</v>
      </c>
      <c r="S419" s="9">
        <f t="shared" si="12"/>
        <v>520</v>
      </c>
      <c r="T419" s="10" t="str">
        <f t="shared" si="13"/>
        <v>Low</v>
      </c>
    </row>
    <row r="420" spans="1:20">
      <c r="A420" s="2">
        <v>500426</v>
      </c>
      <c r="B420" s="2">
        <v>102713</v>
      </c>
      <c r="C420" s="8">
        <v>45890</v>
      </c>
      <c r="D420" s="2">
        <v>2008</v>
      </c>
      <c r="E420" s="2">
        <v>1</v>
      </c>
      <c r="F420" s="2">
        <v>5</v>
      </c>
      <c r="G420" s="2" t="s">
        <v>27</v>
      </c>
      <c r="H420" s="2" t="s">
        <v>21</v>
      </c>
      <c r="I420" s="2">
        <v>63</v>
      </c>
      <c r="J420" s="2" t="s">
        <v>43</v>
      </c>
      <c r="K420" s="8">
        <v>45389</v>
      </c>
      <c r="L420" s="2" t="s">
        <v>41</v>
      </c>
      <c r="M420" s="2" t="s">
        <v>39</v>
      </c>
      <c r="N420" s="2" t="s">
        <v>25</v>
      </c>
      <c r="O420" s="2">
        <v>14</v>
      </c>
      <c r="P420" s="2">
        <v>13</v>
      </c>
      <c r="Q420" s="2">
        <v>13</v>
      </c>
      <c r="R420" s="9" t="s">
        <v>26</v>
      </c>
      <c r="S420" s="9">
        <f t="shared" si="12"/>
        <v>14</v>
      </c>
      <c r="T420" s="10" t="str">
        <f t="shared" si="13"/>
        <v>Low</v>
      </c>
    </row>
    <row r="421" spans="1:20">
      <c r="A421" s="2">
        <v>500427</v>
      </c>
      <c r="B421" s="2">
        <v>100654</v>
      </c>
      <c r="C421" s="8">
        <v>45965</v>
      </c>
      <c r="D421" s="2">
        <v>2001</v>
      </c>
      <c r="E421" s="2">
        <v>1</v>
      </c>
      <c r="F421" s="2">
        <v>0</v>
      </c>
      <c r="G421" s="2" t="s">
        <v>20</v>
      </c>
      <c r="H421" s="2" t="s">
        <v>21</v>
      </c>
      <c r="I421" s="2">
        <v>56</v>
      </c>
      <c r="J421" s="2" t="s">
        <v>45</v>
      </c>
      <c r="K421" s="8">
        <v>45228</v>
      </c>
      <c r="L421" s="2" t="s">
        <v>23</v>
      </c>
      <c r="M421" s="2" t="s">
        <v>50</v>
      </c>
      <c r="N421" s="2" t="s">
        <v>34</v>
      </c>
      <c r="O421" s="2">
        <v>18</v>
      </c>
      <c r="P421" s="2">
        <v>18</v>
      </c>
      <c r="Q421" s="2">
        <v>18</v>
      </c>
      <c r="R421" s="9" t="s">
        <v>26</v>
      </c>
      <c r="S421" s="9">
        <f t="shared" si="12"/>
        <v>18</v>
      </c>
      <c r="T421" s="10" t="str">
        <f t="shared" si="13"/>
        <v>Low</v>
      </c>
    </row>
    <row r="422" spans="1:20">
      <c r="A422" s="2">
        <v>500428</v>
      </c>
      <c r="B422" s="2">
        <v>104143</v>
      </c>
      <c r="C422" s="8">
        <v>45898</v>
      </c>
      <c r="D422" s="2">
        <v>2016</v>
      </c>
      <c r="E422" s="2">
        <v>1</v>
      </c>
      <c r="F422" s="2">
        <v>30</v>
      </c>
      <c r="G422" s="2" t="s">
        <v>31</v>
      </c>
      <c r="H422" s="2" t="s">
        <v>21</v>
      </c>
      <c r="I422" s="2">
        <v>25</v>
      </c>
      <c r="J422" s="2" t="s">
        <v>32</v>
      </c>
      <c r="K422" s="8">
        <v>45789</v>
      </c>
      <c r="L422" s="2" t="s">
        <v>23</v>
      </c>
      <c r="M422" s="2" t="s">
        <v>67</v>
      </c>
      <c r="N422" s="2" t="s">
        <v>34</v>
      </c>
      <c r="O422" s="2">
        <v>21</v>
      </c>
      <c r="P422" s="2">
        <v>15</v>
      </c>
      <c r="Q422" s="2">
        <v>15</v>
      </c>
      <c r="R422" s="9" t="s">
        <v>26</v>
      </c>
      <c r="S422" s="9">
        <f t="shared" si="12"/>
        <v>21</v>
      </c>
      <c r="T422" s="10" t="str">
        <f t="shared" si="13"/>
        <v>High</v>
      </c>
    </row>
    <row r="423" spans="1:20">
      <c r="A423" s="2">
        <v>500429</v>
      </c>
      <c r="B423" s="2">
        <v>107669</v>
      </c>
      <c r="C423" s="8">
        <v>45770</v>
      </c>
      <c r="D423" s="2">
        <v>2001</v>
      </c>
      <c r="E423" s="2">
        <v>1</v>
      </c>
      <c r="F423" s="2">
        <v>5</v>
      </c>
      <c r="G423" s="2" t="s">
        <v>20</v>
      </c>
      <c r="H423" s="2" t="s">
        <v>47</v>
      </c>
      <c r="I423" s="2">
        <v>31</v>
      </c>
      <c r="J423" s="2" t="s">
        <v>43</v>
      </c>
      <c r="K423" s="8">
        <v>45012</v>
      </c>
      <c r="L423" s="2" t="s">
        <v>23</v>
      </c>
      <c r="M423" s="2" t="s">
        <v>50</v>
      </c>
      <c r="N423" s="2" t="s">
        <v>34</v>
      </c>
      <c r="O423" s="2">
        <v>18</v>
      </c>
      <c r="P423" s="2">
        <v>17</v>
      </c>
      <c r="Q423" s="2">
        <v>17</v>
      </c>
      <c r="R423" s="9" t="s">
        <v>26</v>
      </c>
      <c r="S423" s="9">
        <f t="shared" si="12"/>
        <v>18</v>
      </c>
      <c r="T423" s="10" t="str">
        <f t="shared" si="13"/>
        <v>Low</v>
      </c>
    </row>
    <row r="424" spans="1:20">
      <c r="A424" s="2">
        <v>500430</v>
      </c>
      <c r="B424" s="2">
        <v>107733</v>
      </c>
      <c r="C424" s="8">
        <v>45362</v>
      </c>
      <c r="D424" s="2">
        <v>2007</v>
      </c>
      <c r="E424" s="2">
        <v>2</v>
      </c>
      <c r="F424" s="2">
        <v>15</v>
      </c>
      <c r="G424" s="2" t="s">
        <v>20</v>
      </c>
      <c r="H424" s="2" t="s">
        <v>21</v>
      </c>
      <c r="I424" s="2">
        <v>31</v>
      </c>
      <c r="J424" s="2" t="s">
        <v>32</v>
      </c>
      <c r="K424" s="8">
        <v>45210</v>
      </c>
      <c r="L424" s="2" t="s">
        <v>23</v>
      </c>
      <c r="M424" s="2" t="s">
        <v>61</v>
      </c>
      <c r="N424" s="2" t="s">
        <v>34</v>
      </c>
      <c r="O424" s="2">
        <v>75</v>
      </c>
      <c r="P424" s="2">
        <v>128</v>
      </c>
      <c r="Q424" s="2">
        <v>128</v>
      </c>
      <c r="R424" s="9" t="s">
        <v>30</v>
      </c>
      <c r="S424" s="9">
        <f t="shared" si="12"/>
        <v>150</v>
      </c>
      <c r="T424" s="10" t="str">
        <f t="shared" si="13"/>
        <v>High</v>
      </c>
    </row>
    <row r="425" spans="1:20">
      <c r="A425" s="2">
        <v>500431</v>
      </c>
      <c r="B425" s="2">
        <v>105963</v>
      </c>
      <c r="C425" s="8">
        <v>46037</v>
      </c>
      <c r="D425" s="2">
        <v>2007</v>
      </c>
      <c r="E425" s="2">
        <v>2</v>
      </c>
      <c r="F425" s="2">
        <v>10</v>
      </c>
      <c r="G425" s="2" t="s">
        <v>56</v>
      </c>
      <c r="H425" s="2" t="s">
        <v>21</v>
      </c>
      <c r="I425" s="2">
        <v>57</v>
      </c>
      <c r="J425" s="2" t="s">
        <v>28</v>
      </c>
      <c r="K425" s="8">
        <v>45423</v>
      </c>
      <c r="L425" s="2" t="s">
        <v>49</v>
      </c>
      <c r="M425" s="2" t="s">
        <v>61</v>
      </c>
      <c r="N425" s="2" t="s">
        <v>34</v>
      </c>
      <c r="O425" s="2">
        <v>75</v>
      </c>
      <c r="P425" s="2">
        <v>135</v>
      </c>
      <c r="Q425" s="2">
        <v>135</v>
      </c>
      <c r="R425" s="9" t="s">
        <v>26</v>
      </c>
      <c r="S425" s="9">
        <f t="shared" si="12"/>
        <v>150</v>
      </c>
      <c r="T425" s="10" t="str">
        <f t="shared" si="13"/>
        <v>Average</v>
      </c>
    </row>
    <row r="426" spans="1:20">
      <c r="A426" s="2">
        <v>500432</v>
      </c>
      <c r="B426" s="2">
        <v>107631</v>
      </c>
      <c r="C426" s="8">
        <v>46182</v>
      </c>
      <c r="D426" s="2">
        <v>2006</v>
      </c>
      <c r="E426" s="2">
        <v>1</v>
      </c>
      <c r="F426" s="2">
        <v>0</v>
      </c>
      <c r="G426" s="2" t="s">
        <v>20</v>
      </c>
      <c r="H426" s="2" t="s">
        <v>21</v>
      </c>
      <c r="I426" s="2">
        <v>32</v>
      </c>
      <c r="J426" s="2" t="s">
        <v>45</v>
      </c>
      <c r="K426" s="8">
        <v>45533</v>
      </c>
      <c r="L426" s="2" t="s">
        <v>41</v>
      </c>
      <c r="M426" s="2" t="s">
        <v>57</v>
      </c>
      <c r="N426" s="2" t="s">
        <v>34</v>
      </c>
      <c r="O426" s="2">
        <v>48</v>
      </c>
      <c r="P426" s="2">
        <v>48</v>
      </c>
      <c r="Q426" s="2">
        <v>48</v>
      </c>
      <c r="R426" s="9" t="s">
        <v>26</v>
      </c>
      <c r="S426" s="9">
        <f t="shared" si="12"/>
        <v>48</v>
      </c>
      <c r="T426" s="10" t="str">
        <f t="shared" si="13"/>
        <v>Low</v>
      </c>
    </row>
    <row r="427" spans="1:20">
      <c r="A427" s="2">
        <v>500433</v>
      </c>
      <c r="B427" s="2">
        <v>108038</v>
      </c>
      <c r="C427" s="8">
        <v>45964</v>
      </c>
      <c r="D427" s="2">
        <v>2014</v>
      </c>
      <c r="E427" s="2">
        <v>3</v>
      </c>
      <c r="F427" s="2">
        <v>0</v>
      </c>
      <c r="G427" s="2" t="s">
        <v>27</v>
      </c>
      <c r="H427" s="2" t="s">
        <v>21</v>
      </c>
      <c r="I427" s="2">
        <v>22</v>
      </c>
      <c r="J427" s="2" t="s">
        <v>48</v>
      </c>
      <c r="K427" s="8">
        <v>45125</v>
      </c>
      <c r="L427" s="2" t="s">
        <v>41</v>
      </c>
      <c r="M427" s="2" t="s">
        <v>29</v>
      </c>
      <c r="N427" s="2" t="s">
        <v>25</v>
      </c>
      <c r="O427" s="2">
        <v>42</v>
      </c>
      <c r="P427" s="2">
        <v>126</v>
      </c>
      <c r="Q427" s="2">
        <v>126</v>
      </c>
      <c r="R427" s="9" t="s">
        <v>26</v>
      </c>
      <c r="S427" s="9">
        <f t="shared" si="12"/>
        <v>126</v>
      </c>
      <c r="T427" s="10" t="str">
        <f t="shared" si="13"/>
        <v>Low</v>
      </c>
    </row>
    <row r="428" spans="1:20">
      <c r="A428" s="2">
        <v>500435</v>
      </c>
      <c r="B428" s="2">
        <v>104561</v>
      </c>
      <c r="C428" s="8">
        <v>45944</v>
      </c>
      <c r="D428" s="2">
        <v>2003</v>
      </c>
      <c r="E428" s="2">
        <v>5</v>
      </c>
      <c r="F428" s="2">
        <v>15</v>
      </c>
      <c r="G428" s="2" t="s">
        <v>27</v>
      </c>
      <c r="H428" s="2" t="s">
        <v>21</v>
      </c>
      <c r="I428" s="2">
        <v>41</v>
      </c>
      <c r="J428" s="2" t="s">
        <v>48</v>
      </c>
      <c r="K428" s="8">
        <v>45108</v>
      </c>
      <c r="L428" s="2" t="s">
        <v>23</v>
      </c>
      <c r="M428" s="2" t="s">
        <v>24</v>
      </c>
      <c r="N428" s="2" t="s">
        <v>25</v>
      </c>
      <c r="O428" s="2">
        <v>9</v>
      </c>
      <c r="P428" s="2">
        <v>38</v>
      </c>
      <c r="Q428" s="2">
        <v>38</v>
      </c>
      <c r="R428" s="9" t="s">
        <v>26</v>
      </c>
      <c r="S428" s="9">
        <f t="shared" si="12"/>
        <v>45</v>
      </c>
      <c r="T428" s="10" t="str">
        <f t="shared" si="13"/>
        <v>High</v>
      </c>
    </row>
    <row r="429" spans="1:20">
      <c r="A429" s="2">
        <v>500436</v>
      </c>
      <c r="B429" s="2">
        <v>108208</v>
      </c>
      <c r="C429" s="8">
        <v>45525</v>
      </c>
      <c r="D429" s="2">
        <v>2008</v>
      </c>
      <c r="E429" s="2">
        <v>1</v>
      </c>
      <c r="F429" s="2">
        <v>5</v>
      </c>
      <c r="G429" s="2" t="s">
        <v>31</v>
      </c>
      <c r="H429" s="2" t="s">
        <v>40</v>
      </c>
      <c r="I429" s="2">
        <v>32</v>
      </c>
      <c r="J429" s="2" t="s">
        <v>52</v>
      </c>
      <c r="K429" s="8">
        <v>45643</v>
      </c>
      <c r="L429" s="2" t="s">
        <v>49</v>
      </c>
      <c r="M429" s="2" t="s">
        <v>39</v>
      </c>
      <c r="N429" s="2" t="s">
        <v>25</v>
      </c>
      <c r="O429" s="2">
        <v>14</v>
      </c>
      <c r="P429" s="2">
        <v>13</v>
      </c>
      <c r="Q429" s="2">
        <v>13</v>
      </c>
      <c r="R429" s="9" t="s">
        <v>30</v>
      </c>
      <c r="S429" s="9">
        <f t="shared" si="12"/>
        <v>14</v>
      </c>
      <c r="T429" s="10" t="str">
        <f t="shared" si="13"/>
        <v>Low</v>
      </c>
    </row>
    <row r="430" spans="1:20">
      <c r="A430" s="2">
        <v>500437</v>
      </c>
      <c r="B430" s="2">
        <v>106836</v>
      </c>
      <c r="C430" s="8">
        <v>46155</v>
      </c>
      <c r="D430" s="2">
        <v>2019</v>
      </c>
      <c r="E430" s="2">
        <v>4</v>
      </c>
      <c r="F430" s="2">
        <v>10</v>
      </c>
      <c r="G430" s="2" t="s">
        <v>20</v>
      </c>
      <c r="H430" s="2" t="s">
        <v>21</v>
      </c>
      <c r="I430" s="2">
        <v>55</v>
      </c>
      <c r="J430" s="2" t="s">
        <v>55</v>
      </c>
      <c r="K430" s="8">
        <v>45678</v>
      </c>
      <c r="L430" s="2" t="s">
        <v>41</v>
      </c>
      <c r="M430" s="2" t="s">
        <v>60</v>
      </c>
      <c r="N430" s="2" t="s">
        <v>34</v>
      </c>
      <c r="O430" s="2">
        <v>260</v>
      </c>
      <c r="P430" s="2">
        <v>936</v>
      </c>
      <c r="Q430" s="2">
        <v>936</v>
      </c>
      <c r="R430" s="9" t="s">
        <v>26</v>
      </c>
      <c r="S430" s="9">
        <f t="shared" si="12"/>
        <v>1040</v>
      </c>
      <c r="T430" s="10" t="str">
        <f t="shared" si="13"/>
        <v>Average</v>
      </c>
    </row>
    <row r="431" spans="1:20">
      <c r="A431" s="2">
        <v>500438</v>
      </c>
      <c r="B431" s="2">
        <v>105284</v>
      </c>
      <c r="C431" s="8">
        <v>45346</v>
      </c>
      <c r="D431" s="2">
        <v>2001</v>
      </c>
      <c r="E431" s="2">
        <v>3</v>
      </c>
      <c r="F431" s="2">
        <v>5</v>
      </c>
      <c r="G431" s="2" t="s">
        <v>31</v>
      </c>
      <c r="H431" s="2" t="s">
        <v>21</v>
      </c>
      <c r="I431" s="2">
        <v>54</v>
      </c>
      <c r="J431" s="2" t="s">
        <v>28</v>
      </c>
      <c r="K431" s="8">
        <v>45966</v>
      </c>
      <c r="L431" s="2" t="s">
        <v>41</v>
      </c>
      <c r="M431" s="2" t="s">
        <v>50</v>
      </c>
      <c r="N431" s="2" t="s">
        <v>34</v>
      </c>
      <c r="O431" s="2">
        <v>18</v>
      </c>
      <c r="P431" s="2">
        <v>51</v>
      </c>
      <c r="Q431" s="2">
        <v>51</v>
      </c>
      <c r="R431" s="9" t="s">
        <v>30</v>
      </c>
      <c r="S431" s="9">
        <f t="shared" si="12"/>
        <v>54</v>
      </c>
      <c r="T431" s="10" t="str">
        <f t="shared" si="13"/>
        <v>Low</v>
      </c>
    </row>
    <row r="432" spans="1:20">
      <c r="A432" s="2">
        <v>500439</v>
      </c>
      <c r="B432" s="2">
        <v>101081</v>
      </c>
      <c r="C432" s="8">
        <v>45371</v>
      </c>
      <c r="D432" s="2">
        <v>2015</v>
      </c>
      <c r="E432" s="2">
        <v>2</v>
      </c>
      <c r="F432" s="2">
        <v>0</v>
      </c>
      <c r="G432" s="2" t="s">
        <v>20</v>
      </c>
      <c r="H432" s="2" t="s">
        <v>21</v>
      </c>
      <c r="I432" s="2">
        <v>62</v>
      </c>
      <c r="J432" s="2" t="s">
        <v>32</v>
      </c>
      <c r="K432" s="8">
        <v>45549</v>
      </c>
      <c r="L432" s="2" t="s">
        <v>23</v>
      </c>
      <c r="M432" s="2" t="s">
        <v>66</v>
      </c>
      <c r="N432" s="2" t="s">
        <v>34</v>
      </c>
      <c r="O432" s="2">
        <v>58</v>
      </c>
      <c r="P432" s="2">
        <v>116</v>
      </c>
      <c r="Q432" s="2">
        <v>116</v>
      </c>
      <c r="R432" s="9" t="s">
        <v>30</v>
      </c>
      <c r="S432" s="9">
        <f t="shared" si="12"/>
        <v>116</v>
      </c>
      <c r="T432" s="10" t="str">
        <f t="shared" si="13"/>
        <v>Low</v>
      </c>
    </row>
    <row r="433" spans="1:20">
      <c r="A433" s="2">
        <v>500440</v>
      </c>
      <c r="B433" s="2">
        <v>107967</v>
      </c>
      <c r="C433" s="8">
        <v>45448</v>
      </c>
      <c r="D433" s="2">
        <v>2019</v>
      </c>
      <c r="E433" s="2">
        <v>3</v>
      </c>
      <c r="F433" s="2">
        <v>5</v>
      </c>
      <c r="G433" s="2" t="s">
        <v>20</v>
      </c>
      <c r="H433" s="2" t="s">
        <v>21</v>
      </c>
      <c r="I433" s="2">
        <v>28</v>
      </c>
      <c r="J433" s="2" t="s">
        <v>35</v>
      </c>
      <c r="K433" s="8">
        <v>45030</v>
      </c>
      <c r="L433" s="2" t="s">
        <v>41</v>
      </c>
      <c r="M433" s="2" t="s">
        <v>60</v>
      </c>
      <c r="N433" s="2" t="s">
        <v>34</v>
      </c>
      <c r="O433" s="2">
        <v>260</v>
      </c>
      <c r="P433" s="2">
        <v>741</v>
      </c>
      <c r="Q433" s="2">
        <v>741</v>
      </c>
      <c r="R433" s="9" t="s">
        <v>30</v>
      </c>
      <c r="S433" s="9">
        <f t="shared" si="12"/>
        <v>780</v>
      </c>
      <c r="T433" s="10" t="str">
        <f t="shared" si="13"/>
        <v>Low</v>
      </c>
    </row>
    <row r="434" spans="1:20">
      <c r="A434" s="2">
        <v>500441</v>
      </c>
      <c r="B434" s="2">
        <v>100480</v>
      </c>
      <c r="C434" s="8">
        <v>45942</v>
      </c>
      <c r="D434" s="2">
        <v>2001</v>
      </c>
      <c r="E434" s="2">
        <v>2</v>
      </c>
      <c r="F434" s="2">
        <v>30</v>
      </c>
      <c r="G434" s="2" t="s">
        <v>20</v>
      </c>
      <c r="H434" s="2" t="s">
        <v>40</v>
      </c>
      <c r="I434" s="2">
        <v>23</v>
      </c>
      <c r="J434" s="2" t="s">
        <v>28</v>
      </c>
      <c r="K434" s="8">
        <v>45238</v>
      </c>
      <c r="L434" s="2" t="s">
        <v>23</v>
      </c>
      <c r="M434" s="2" t="s">
        <v>50</v>
      </c>
      <c r="N434" s="2" t="s">
        <v>34</v>
      </c>
      <c r="O434" s="2">
        <v>18</v>
      </c>
      <c r="P434" s="2">
        <v>25</v>
      </c>
      <c r="Q434" s="2">
        <v>25</v>
      </c>
      <c r="R434" s="9" t="s">
        <v>26</v>
      </c>
      <c r="S434" s="9">
        <f t="shared" si="12"/>
        <v>36</v>
      </c>
      <c r="T434" s="10" t="str">
        <f t="shared" si="13"/>
        <v>High</v>
      </c>
    </row>
    <row r="435" spans="1:20">
      <c r="A435" s="2">
        <v>500442</v>
      </c>
      <c r="B435" s="2">
        <v>108017</v>
      </c>
      <c r="C435" s="8">
        <v>45854</v>
      </c>
      <c r="D435" s="2">
        <v>2004</v>
      </c>
      <c r="E435" s="2">
        <v>1</v>
      </c>
      <c r="F435" s="2">
        <v>15</v>
      </c>
      <c r="G435" s="2" t="s">
        <v>27</v>
      </c>
      <c r="H435" s="2" t="s">
        <v>21</v>
      </c>
      <c r="I435" s="2">
        <v>37</v>
      </c>
      <c r="J435" s="2" t="s">
        <v>38</v>
      </c>
      <c r="K435" s="8">
        <v>45530</v>
      </c>
      <c r="L435" s="2" t="s">
        <v>23</v>
      </c>
      <c r="M435" s="2" t="s">
        <v>46</v>
      </c>
      <c r="N435" s="2" t="s">
        <v>34</v>
      </c>
      <c r="O435" s="2">
        <v>35</v>
      </c>
      <c r="P435" s="2">
        <v>30</v>
      </c>
      <c r="Q435" s="2">
        <v>30</v>
      </c>
      <c r="R435" s="9" t="s">
        <v>26</v>
      </c>
      <c r="S435" s="9">
        <f t="shared" si="12"/>
        <v>35</v>
      </c>
      <c r="T435" s="10" t="str">
        <f t="shared" si="13"/>
        <v>High</v>
      </c>
    </row>
    <row r="436" spans="1:20">
      <c r="A436" s="2">
        <v>500443</v>
      </c>
      <c r="B436" s="2">
        <v>105601</v>
      </c>
      <c r="C436" s="8">
        <v>45920</v>
      </c>
      <c r="D436" s="2">
        <v>2001</v>
      </c>
      <c r="E436" s="2">
        <v>5</v>
      </c>
      <c r="F436" s="2">
        <v>20</v>
      </c>
      <c r="G436" s="2" t="s">
        <v>31</v>
      </c>
      <c r="H436" s="2" t="s">
        <v>21</v>
      </c>
      <c r="I436" s="2">
        <v>34</v>
      </c>
      <c r="J436" s="2" t="s">
        <v>38</v>
      </c>
      <c r="K436" s="8">
        <v>45329</v>
      </c>
      <c r="L436" s="2" t="s">
        <v>23</v>
      </c>
      <c r="M436" s="2" t="s">
        <v>50</v>
      </c>
      <c r="N436" s="2" t="s">
        <v>34</v>
      </c>
      <c r="O436" s="2">
        <v>18</v>
      </c>
      <c r="P436" s="2">
        <v>72</v>
      </c>
      <c r="Q436" s="2">
        <v>72</v>
      </c>
      <c r="R436" s="9" t="s">
        <v>26</v>
      </c>
      <c r="S436" s="9">
        <f t="shared" si="12"/>
        <v>90</v>
      </c>
      <c r="T436" s="10" t="str">
        <f t="shared" si="13"/>
        <v>High</v>
      </c>
    </row>
    <row r="437" spans="1:20">
      <c r="A437" s="2">
        <v>500444</v>
      </c>
      <c r="B437" s="2">
        <v>105627</v>
      </c>
      <c r="C437" s="8">
        <v>45597</v>
      </c>
      <c r="D437" s="2">
        <v>2010</v>
      </c>
      <c r="E437" s="2">
        <v>1</v>
      </c>
      <c r="F437" s="2">
        <v>5</v>
      </c>
      <c r="G437" s="2" t="s">
        <v>31</v>
      </c>
      <c r="H437" s="2" t="s">
        <v>21</v>
      </c>
      <c r="I437" s="2">
        <v>38</v>
      </c>
      <c r="J437" s="2" t="s">
        <v>32</v>
      </c>
      <c r="K437" s="8">
        <v>45623</v>
      </c>
      <c r="L437" s="2" t="s">
        <v>23</v>
      </c>
      <c r="M437" s="2" t="s">
        <v>58</v>
      </c>
      <c r="N437" s="2" t="s">
        <v>59</v>
      </c>
      <c r="O437" s="2">
        <v>55</v>
      </c>
      <c r="P437" s="2">
        <v>52</v>
      </c>
      <c r="Q437" s="2">
        <v>52</v>
      </c>
      <c r="R437" s="9" t="s">
        <v>30</v>
      </c>
      <c r="S437" s="9">
        <f t="shared" si="12"/>
        <v>55</v>
      </c>
      <c r="T437" s="10" t="str">
        <f t="shared" si="13"/>
        <v>Low</v>
      </c>
    </row>
    <row r="438" spans="1:20">
      <c r="A438" s="2">
        <v>500445</v>
      </c>
      <c r="B438" s="2">
        <v>109569</v>
      </c>
      <c r="C438" s="8">
        <v>46052</v>
      </c>
      <c r="D438" s="2">
        <v>2019</v>
      </c>
      <c r="E438" s="2">
        <v>1</v>
      </c>
      <c r="F438" s="2">
        <v>15</v>
      </c>
      <c r="G438" s="2" t="s">
        <v>31</v>
      </c>
      <c r="H438" s="2" t="s">
        <v>21</v>
      </c>
      <c r="I438" s="2">
        <v>37</v>
      </c>
      <c r="J438" s="2" t="s">
        <v>32</v>
      </c>
      <c r="K438" s="8">
        <v>45380</v>
      </c>
      <c r="L438" s="2" t="s">
        <v>23</v>
      </c>
      <c r="M438" s="2" t="s">
        <v>60</v>
      </c>
      <c r="N438" s="2" t="s">
        <v>34</v>
      </c>
      <c r="O438" s="2">
        <v>260</v>
      </c>
      <c r="P438" s="2">
        <v>221</v>
      </c>
      <c r="Q438" s="2">
        <v>221</v>
      </c>
      <c r="R438" s="9" t="s">
        <v>26</v>
      </c>
      <c r="S438" s="9">
        <f t="shared" si="12"/>
        <v>260</v>
      </c>
      <c r="T438" s="10" t="str">
        <f t="shared" si="13"/>
        <v>High</v>
      </c>
    </row>
    <row r="439" spans="1:20">
      <c r="A439" s="2">
        <v>500446</v>
      </c>
      <c r="B439" s="2">
        <v>101832</v>
      </c>
      <c r="C439" s="8">
        <v>45677</v>
      </c>
      <c r="D439" s="2">
        <v>2016</v>
      </c>
      <c r="E439" s="2">
        <v>1</v>
      </c>
      <c r="F439" s="2">
        <v>5</v>
      </c>
      <c r="G439" s="2" t="s">
        <v>20</v>
      </c>
      <c r="H439" s="2" t="s">
        <v>21</v>
      </c>
      <c r="I439" s="2">
        <v>63</v>
      </c>
      <c r="J439" s="2" t="s">
        <v>48</v>
      </c>
      <c r="K439" s="8">
        <v>44991</v>
      </c>
      <c r="L439" s="2" t="s">
        <v>49</v>
      </c>
      <c r="M439" s="2" t="s">
        <v>67</v>
      </c>
      <c r="N439" s="2" t="s">
        <v>34</v>
      </c>
      <c r="O439" s="2">
        <v>21</v>
      </c>
      <c r="P439" s="2">
        <v>20</v>
      </c>
      <c r="Q439" s="2">
        <v>20</v>
      </c>
      <c r="R439" s="9" t="s">
        <v>26</v>
      </c>
      <c r="S439" s="9">
        <f t="shared" si="12"/>
        <v>21</v>
      </c>
      <c r="T439" s="10" t="str">
        <f t="shared" si="13"/>
        <v>Low</v>
      </c>
    </row>
    <row r="440" spans="1:20">
      <c r="A440" s="2">
        <v>500447</v>
      </c>
      <c r="B440" s="2">
        <v>104268</v>
      </c>
      <c r="C440" s="8">
        <v>45408</v>
      </c>
      <c r="D440" s="2">
        <v>2012</v>
      </c>
      <c r="E440" s="2">
        <v>1</v>
      </c>
      <c r="F440" s="2">
        <v>0</v>
      </c>
      <c r="G440" s="2" t="s">
        <v>27</v>
      </c>
      <c r="H440" s="2" t="s">
        <v>21</v>
      </c>
      <c r="I440" s="2">
        <v>62</v>
      </c>
      <c r="J440" s="2" t="s">
        <v>55</v>
      </c>
      <c r="K440" s="8">
        <v>45040</v>
      </c>
      <c r="L440" s="2" t="s">
        <v>23</v>
      </c>
      <c r="M440" s="2" t="s">
        <v>36</v>
      </c>
      <c r="N440" s="2" t="s">
        <v>37</v>
      </c>
      <c r="O440" s="2">
        <v>180</v>
      </c>
      <c r="P440" s="2">
        <v>180</v>
      </c>
      <c r="Q440" s="2">
        <v>180</v>
      </c>
      <c r="R440" s="9" t="s">
        <v>30</v>
      </c>
      <c r="S440" s="9">
        <f t="shared" si="12"/>
        <v>180</v>
      </c>
      <c r="T440" s="10" t="str">
        <f t="shared" si="13"/>
        <v>Low</v>
      </c>
    </row>
    <row r="441" spans="1:20">
      <c r="A441" s="2">
        <v>500448</v>
      </c>
      <c r="B441" s="2">
        <v>107349</v>
      </c>
      <c r="C441" s="8">
        <v>45955</v>
      </c>
      <c r="D441" s="2">
        <v>2018</v>
      </c>
      <c r="E441" s="2">
        <v>2</v>
      </c>
      <c r="F441" s="2">
        <v>0</v>
      </c>
      <c r="G441" s="2" t="s">
        <v>31</v>
      </c>
      <c r="H441" s="2" t="s">
        <v>21</v>
      </c>
      <c r="I441" s="2">
        <v>62</v>
      </c>
      <c r="J441" s="2" t="s">
        <v>52</v>
      </c>
      <c r="K441" s="8">
        <v>45356</v>
      </c>
      <c r="L441" s="2" t="s">
        <v>49</v>
      </c>
      <c r="M441" s="2" t="s">
        <v>64</v>
      </c>
      <c r="N441" s="2" t="s">
        <v>34</v>
      </c>
      <c r="O441" s="2">
        <v>85</v>
      </c>
      <c r="P441" s="2">
        <v>170</v>
      </c>
      <c r="Q441" s="2">
        <v>170</v>
      </c>
      <c r="R441" s="9" t="s">
        <v>26</v>
      </c>
      <c r="S441" s="9">
        <f t="shared" si="12"/>
        <v>170</v>
      </c>
      <c r="T441" s="10" t="str">
        <f t="shared" si="13"/>
        <v>Low</v>
      </c>
    </row>
    <row r="442" spans="1:20">
      <c r="A442" s="2">
        <v>500449</v>
      </c>
      <c r="B442" s="2">
        <v>109044</v>
      </c>
      <c r="C442" s="8">
        <v>45749</v>
      </c>
      <c r="D442" s="2">
        <v>2008</v>
      </c>
      <c r="E442" s="2">
        <v>1</v>
      </c>
      <c r="F442" s="2">
        <v>0</v>
      </c>
      <c r="G442" s="2" t="s">
        <v>31</v>
      </c>
      <c r="H442" s="2" t="s">
        <v>21</v>
      </c>
      <c r="I442" s="2">
        <v>37</v>
      </c>
      <c r="J442" s="2" t="s">
        <v>55</v>
      </c>
      <c r="K442" s="8">
        <v>45984</v>
      </c>
      <c r="L442" s="2" t="s">
        <v>23</v>
      </c>
      <c r="M442" s="2" t="s">
        <v>39</v>
      </c>
      <c r="N442" s="2" t="s">
        <v>25</v>
      </c>
      <c r="O442" s="2">
        <v>14</v>
      </c>
      <c r="P442" s="2">
        <v>14</v>
      </c>
      <c r="Q442" s="2">
        <v>14</v>
      </c>
      <c r="R442" s="9" t="s">
        <v>26</v>
      </c>
      <c r="S442" s="9">
        <f t="shared" si="12"/>
        <v>14</v>
      </c>
      <c r="T442" s="10" t="str">
        <f t="shared" si="13"/>
        <v>Low</v>
      </c>
    </row>
    <row r="443" spans="1:20">
      <c r="A443" s="2">
        <v>500450</v>
      </c>
      <c r="B443" s="2">
        <v>108339</v>
      </c>
      <c r="C443" s="8">
        <v>45804</v>
      </c>
      <c r="D443" s="2">
        <v>2020</v>
      </c>
      <c r="E443" s="2">
        <v>1</v>
      </c>
      <c r="F443" s="2">
        <v>15</v>
      </c>
      <c r="G443" s="2" t="s">
        <v>31</v>
      </c>
      <c r="H443" s="2" t="s">
        <v>21</v>
      </c>
      <c r="I443" s="2">
        <v>48</v>
      </c>
      <c r="J443" s="2" t="s">
        <v>38</v>
      </c>
      <c r="K443" s="8">
        <v>45555</v>
      </c>
      <c r="L443" s="2" t="s">
        <v>41</v>
      </c>
      <c r="M443" s="2" t="s">
        <v>62</v>
      </c>
      <c r="N443" s="2" t="s">
        <v>63</v>
      </c>
      <c r="O443" s="2">
        <v>68</v>
      </c>
      <c r="P443" s="2">
        <v>58</v>
      </c>
      <c r="Q443" s="2">
        <v>58</v>
      </c>
      <c r="R443" s="9" t="s">
        <v>26</v>
      </c>
      <c r="S443" s="9">
        <f t="shared" si="12"/>
        <v>68</v>
      </c>
      <c r="T443" s="10" t="str">
        <f t="shared" si="13"/>
        <v>High</v>
      </c>
    </row>
    <row r="444" spans="1:20">
      <c r="A444" s="2">
        <v>500451</v>
      </c>
      <c r="B444" s="2">
        <v>106895</v>
      </c>
      <c r="C444" s="8">
        <v>45624</v>
      </c>
      <c r="D444" s="2">
        <v>2004</v>
      </c>
      <c r="E444" s="2">
        <v>2</v>
      </c>
      <c r="F444" s="2">
        <v>5</v>
      </c>
      <c r="G444" s="2" t="s">
        <v>31</v>
      </c>
      <c r="H444" s="2" t="s">
        <v>21</v>
      </c>
      <c r="I444" s="2">
        <v>51</v>
      </c>
      <c r="J444" s="2" t="s">
        <v>32</v>
      </c>
      <c r="K444" s="8">
        <v>45980</v>
      </c>
      <c r="L444" s="2" t="s">
        <v>49</v>
      </c>
      <c r="M444" s="2" t="s">
        <v>46</v>
      </c>
      <c r="N444" s="2" t="s">
        <v>34</v>
      </c>
      <c r="O444" s="2">
        <v>35</v>
      </c>
      <c r="P444" s="2">
        <v>66</v>
      </c>
      <c r="Q444" s="2">
        <v>66</v>
      </c>
      <c r="R444" s="9" t="s">
        <v>30</v>
      </c>
      <c r="S444" s="9">
        <f t="shared" si="12"/>
        <v>70</v>
      </c>
      <c r="T444" s="10" t="str">
        <f t="shared" si="13"/>
        <v>Low</v>
      </c>
    </row>
    <row r="445" spans="1:20">
      <c r="A445" s="2">
        <v>500452</v>
      </c>
      <c r="B445" s="2">
        <v>105315</v>
      </c>
      <c r="C445" s="8">
        <v>45906</v>
      </c>
      <c r="D445" s="2">
        <v>2015</v>
      </c>
      <c r="E445" s="2">
        <v>1</v>
      </c>
      <c r="F445" s="2">
        <v>5</v>
      </c>
      <c r="G445" s="2" t="s">
        <v>20</v>
      </c>
      <c r="H445" s="2" t="s">
        <v>21</v>
      </c>
      <c r="I445" s="2">
        <v>37</v>
      </c>
      <c r="J445" s="2" t="s">
        <v>38</v>
      </c>
      <c r="K445" s="8">
        <v>45466</v>
      </c>
      <c r="L445" s="2" t="s">
        <v>23</v>
      </c>
      <c r="M445" s="2" t="s">
        <v>66</v>
      </c>
      <c r="N445" s="2" t="s">
        <v>34</v>
      </c>
      <c r="O445" s="2">
        <v>58</v>
      </c>
      <c r="P445" s="2">
        <v>55</v>
      </c>
      <c r="Q445" s="2">
        <v>55</v>
      </c>
      <c r="R445" s="9" t="s">
        <v>26</v>
      </c>
      <c r="S445" s="9">
        <f t="shared" si="12"/>
        <v>58</v>
      </c>
      <c r="T445" s="10" t="str">
        <f t="shared" si="13"/>
        <v>Low</v>
      </c>
    </row>
    <row r="446" spans="1:20">
      <c r="A446" s="2">
        <v>500453</v>
      </c>
      <c r="B446" s="2">
        <v>109076</v>
      </c>
      <c r="C446" s="8">
        <v>45322</v>
      </c>
      <c r="D446" s="2">
        <v>2002</v>
      </c>
      <c r="E446" s="2">
        <v>4</v>
      </c>
      <c r="F446" s="2">
        <v>10</v>
      </c>
      <c r="G446" s="2" t="s">
        <v>27</v>
      </c>
      <c r="H446" s="2" t="s">
        <v>21</v>
      </c>
      <c r="I446" s="2">
        <v>59</v>
      </c>
      <c r="J446" s="2" t="s">
        <v>45</v>
      </c>
      <c r="K446" s="8">
        <v>45244</v>
      </c>
      <c r="L446" s="2" t="s">
        <v>23</v>
      </c>
      <c r="M446" s="2" t="s">
        <v>33</v>
      </c>
      <c r="N446" s="2" t="s">
        <v>34</v>
      </c>
      <c r="O446" s="2">
        <v>62</v>
      </c>
      <c r="P446" s="2">
        <v>223</v>
      </c>
      <c r="Q446" s="2">
        <v>223</v>
      </c>
      <c r="R446" s="9" t="s">
        <v>30</v>
      </c>
      <c r="S446" s="9">
        <f t="shared" si="12"/>
        <v>248</v>
      </c>
      <c r="T446" s="10" t="str">
        <f t="shared" si="13"/>
        <v>Average</v>
      </c>
    </row>
    <row r="447" spans="1:20">
      <c r="A447" s="2">
        <v>500454</v>
      </c>
      <c r="B447" s="2">
        <v>107082</v>
      </c>
      <c r="C447" s="8">
        <v>45716</v>
      </c>
      <c r="D447" s="2">
        <v>2001</v>
      </c>
      <c r="E447" s="2">
        <v>1</v>
      </c>
      <c r="F447" s="2">
        <v>10</v>
      </c>
      <c r="G447" s="2" t="s">
        <v>27</v>
      </c>
      <c r="H447" s="2" t="s">
        <v>21</v>
      </c>
      <c r="I447" s="2">
        <v>60</v>
      </c>
      <c r="J447" s="2" t="s">
        <v>55</v>
      </c>
      <c r="K447" s="8">
        <v>45714</v>
      </c>
      <c r="L447" s="2" t="s">
        <v>23</v>
      </c>
      <c r="M447" s="2" t="s">
        <v>50</v>
      </c>
      <c r="N447" s="2" t="s">
        <v>34</v>
      </c>
      <c r="O447" s="2">
        <v>18</v>
      </c>
      <c r="P447" s="2">
        <v>16</v>
      </c>
      <c r="Q447" s="2">
        <v>16</v>
      </c>
      <c r="R447" s="9" t="s">
        <v>26</v>
      </c>
      <c r="S447" s="9">
        <f t="shared" si="12"/>
        <v>18</v>
      </c>
      <c r="T447" s="10" t="str">
        <f t="shared" si="13"/>
        <v>Average</v>
      </c>
    </row>
    <row r="448" spans="1:20">
      <c r="A448" s="2">
        <v>500455</v>
      </c>
      <c r="B448" s="2">
        <v>105554</v>
      </c>
      <c r="C448" s="8">
        <v>45661</v>
      </c>
      <c r="D448" s="2">
        <v>2009</v>
      </c>
      <c r="E448" s="2">
        <v>2</v>
      </c>
      <c r="F448" s="2">
        <v>0</v>
      </c>
      <c r="G448" s="2" t="s">
        <v>20</v>
      </c>
      <c r="H448" s="2" t="s">
        <v>21</v>
      </c>
      <c r="I448" s="2">
        <v>49</v>
      </c>
      <c r="J448" s="2" t="s">
        <v>32</v>
      </c>
      <c r="K448" s="8">
        <v>45561</v>
      </c>
      <c r="L448" s="2" t="s">
        <v>41</v>
      </c>
      <c r="M448" s="2" t="s">
        <v>65</v>
      </c>
      <c r="N448" s="2" t="s">
        <v>59</v>
      </c>
      <c r="O448" s="2">
        <v>120</v>
      </c>
      <c r="P448" s="2">
        <v>240</v>
      </c>
      <c r="Q448" s="2">
        <v>240</v>
      </c>
      <c r="R448" s="9" t="s">
        <v>26</v>
      </c>
      <c r="S448" s="9">
        <f t="shared" si="12"/>
        <v>240</v>
      </c>
      <c r="T448" s="10" t="str">
        <f t="shared" si="13"/>
        <v>Low</v>
      </c>
    </row>
    <row r="449" spans="1:20">
      <c r="A449" s="2">
        <v>500456</v>
      </c>
      <c r="B449" s="2">
        <v>104889</v>
      </c>
      <c r="C449" s="8">
        <v>45936</v>
      </c>
      <c r="D449" s="2">
        <v>2015</v>
      </c>
      <c r="E449" s="2">
        <v>1</v>
      </c>
      <c r="F449" s="2">
        <v>0</v>
      </c>
      <c r="G449" s="2" t="s">
        <v>20</v>
      </c>
      <c r="H449" s="2" t="s">
        <v>21</v>
      </c>
      <c r="I449" s="2">
        <v>34</v>
      </c>
      <c r="J449" s="2" t="s">
        <v>32</v>
      </c>
      <c r="K449" s="8">
        <v>45828</v>
      </c>
      <c r="L449" s="2" t="s">
        <v>41</v>
      </c>
      <c r="M449" s="2" t="s">
        <v>66</v>
      </c>
      <c r="N449" s="2" t="s">
        <v>34</v>
      </c>
      <c r="O449" s="2">
        <v>58</v>
      </c>
      <c r="P449" s="2">
        <v>58</v>
      </c>
      <c r="Q449" s="2">
        <v>58</v>
      </c>
      <c r="R449" s="9" t="s">
        <v>26</v>
      </c>
      <c r="S449" s="9">
        <f t="shared" si="12"/>
        <v>58</v>
      </c>
      <c r="T449" s="10" t="str">
        <f t="shared" si="13"/>
        <v>Low</v>
      </c>
    </row>
    <row r="450" spans="1:20">
      <c r="A450" s="2">
        <v>500457</v>
      </c>
      <c r="B450" s="2">
        <v>103298</v>
      </c>
      <c r="C450" s="8">
        <v>45521</v>
      </c>
      <c r="D450" s="2">
        <v>2001</v>
      </c>
      <c r="E450" s="2">
        <v>2</v>
      </c>
      <c r="F450" s="2">
        <v>20</v>
      </c>
      <c r="G450" s="2" t="s">
        <v>20</v>
      </c>
      <c r="H450" s="2" t="s">
        <v>21</v>
      </c>
      <c r="I450" s="2">
        <v>61</v>
      </c>
      <c r="J450" s="2" t="s">
        <v>32</v>
      </c>
      <c r="K450" s="8">
        <v>45841</v>
      </c>
      <c r="L450" s="2" t="s">
        <v>41</v>
      </c>
      <c r="M450" s="2" t="s">
        <v>50</v>
      </c>
      <c r="N450" s="2" t="s">
        <v>34</v>
      </c>
      <c r="O450" s="2">
        <v>18</v>
      </c>
      <c r="P450" s="2">
        <v>29</v>
      </c>
      <c r="Q450" s="2">
        <v>29</v>
      </c>
      <c r="R450" s="9" t="s">
        <v>30</v>
      </c>
      <c r="S450" s="9">
        <f t="shared" ref="S450:S513" si="14">SUM(E450*O450)</f>
        <v>36</v>
      </c>
      <c r="T450" s="10" t="str">
        <f t="shared" ref="T450:T513" si="15">IF(F450&lt;=5,"Low",IF(F450&lt;=10,"Average",IF(F450&gt;10,"High")))</f>
        <v>High</v>
      </c>
    </row>
    <row r="451" spans="1:20">
      <c r="A451" s="2">
        <v>500458</v>
      </c>
      <c r="B451" s="2">
        <v>100065</v>
      </c>
      <c r="C451" s="8">
        <v>45493</v>
      </c>
      <c r="D451" s="2">
        <v>2015</v>
      </c>
      <c r="E451" s="2">
        <v>1</v>
      </c>
      <c r="F451" s="2">
        <v>10</v>
      </c>
      <c r="G451" s="2" t="s">
        <v>20</v>
      </c>
      <c r="H451" s="2" t="s">
        <v>21</v>
      </c>
      <c r="I451" s="2">
        <v>37</v>
      </c>
      <c r="J451" s="2" t="s">
        <v>52</v>
      </c>
      <c r="K451" s="8">
        <v>45704</v>
      </c>
      <c r="L451" s="2" t="s">
        <v>23</v>
      </c>
      <c r="M451" s="2" t="s">
        <v>66</v>
      </c>
      <c r="N451" s="2" t="s">
        <v>34</v>
      </c>
      <c r="O451" s="2">
        <v>58</v>
      </c>
      <c r="P451" s="2">
        <v>52</v>
      </c>
      <c r="Q451" s="2">
        <v>52</v>
      </c>
      <c r="R451" s="9" t="s">
        <v>30</v>
      </c>
      <c r="S451" s="9">
        <f t="shared" si="14"/>
        <v>58</v>
      </c>
      <c r="T451" s="10" t="str">
        <f t="shared" si="15"/>
        <v>Average</v>
      </c>
    </row>
    <row r="452" spans="1:20">
      <c r="A452" s="2">
        <v>500459</v>
      </c>
      <c r="B452" s="2">
        <v>107171</v>
      </c>
      <c r="C452" s="8">
        <v>45568</v>
      </c>
      <c r="D452" s="2">
        <v>2018</v>
      </c>
      <c r="E452" s="2">
        <v>1</v>
      </c>
      <c r="F452" s="2">
        <v>5</v>
      </c>
      <c r="G452" s="2" t="s">
        <v>20</v>
      </c>
      <c r="H452" s="2" t="s">
        <v>21</v>
      </c>
      <c r="I452" s="2">
        <v>61</v>
      </c>
      <c r="J452" s="2" t="s">
        <v>35</v>
      </c>
      <c r="K452" s="8">
        <v>45368</v>
      </c>
      <c r="L452" s="2" t="s">
        <v>23</v>
      </c>
      <c r="M452" s="2" t="s">
        <v>64</v>
      </c>
      <c r="N452" s="2" t="s">
        <v>34</v>
      </c>
      <c r="O452" s="2">
        <v>85</v>
      </c>
      <c r="P452" s="2">
        <v>81</v>
      </c>
      <c r="Q452" s="2">
        <v>81</v>
      </c>
      <c r="R452" s="9" t="s">
        <v>30</v>
      </c>
      <c r="S452" s="9">
        <f t="shared" si="14"/>
        <v>85</v>
      </c>
      <c r="T452" s="10" t="str">
        <f t="shared" si="15"/>
        <v>Low</v>
      </c>
    </row>
    <row r="453" spans="1:20">
      <c r="A453" s="2">
        <v>500460</v>
      </c>
      <c r="B453" s="2">
        <v>107812</v>
      </c>
      <c r="C453" s="8">
        <v>45707</v>
      </c>
      <c r="D453" s="2">
        <v>2001</v>
      </c>
      <c r="E453" s="2">
        <v>2</v>
      </c>
      <c r="F453" s="2">
        <v>0</v>
      </c>
      <c r="G453" s="2" t="s">
        <v>56</v>
      </c>
      <c r="H453" s="2" t="s">
        <v>21</v>
      </c>
      <c r="I453" s="2">
        <v>50</v>
      </c>
      <c r="J453" s="2" t="s">
        <v>48</v>
      </c>
      <c r="K453" s="8">
        <v>45827</v>
      </c>
      <c r="L453" s="2" t="s">
        <v>41</v>
      </c>
      <c r="M453" s="2" t="s">
        <v>50</v>
      </c>
      <c r="N453" s="2" t="s">
        <v>34</v>
      </c>
      <c r="O453" s="2">
        <v>18</v>
      </c>
      <c r="P453" s="2">
        <v>36</v>
      </c>
      <c r="Q453" s="2">
        <v>36</v>
      </c>
      <c r="R453" s="9" t="s">
        <v>26</v>
      </c>
      <c r="S453" s="9">
        <f t="shared" si="14"/>
        <v>36</v>
      </c>
      <c r="T453" s="10" t="str">
        <f t="shared" si="15"/>
        <v>Low</v>
      </c>
    </row>
    <row r="454" spans="1:20">
      <c r="A454" s="2">
        <v>500461</v>
      </c>
      <c r="B454" s="2">
        <v>100529</v>
      </c>
      <c r="C454" s="8">
        <v>45473</v>
      </c>
      <c r="D454" s="2">
        <v>2002</v>
      </c>
      <c r="E454" s="2">
        <v>2</v>
      </c>
      <c r="F454" s="2">
        <v>10</v>
      </c>
      <c r="G454" s="2" t="s">
        <v>20</v>
      </c>
      <c r="H454" s="2" t="s">
        <v>21</v>
      </c>
      <c r="I454" s="2">
        <v>61</v>
      </c>
      <c r="J454" s="2" t="s">
        <v>28</v>
      </c>
      <c r="K454" s="8">
        <v>45443</v>
      </c>
      <c r="L454" s="2" t="s">
        <v>23</v>
      </c>
      <c r="M454" s="2" t="s">
        <v>33</v>
      </c>
      <c r="N454" s="2" t="s">
        <v>34</v>
      </c>
      <c r="O454" s="2">
        <v>62</v>
      </c>
      <c r="P454" s="2">
        <v>112</v>
      </c>
      <c r="Q454" s="2">
        <v>112</v>
      </c>
      <c r="R454" s="9" t="s">
        <v>30</v>
      </c>
      <c r="S454" s="9">
        <f t="shared" si="14"/>
        <v>124</v>
      </c>
      <c r="T454" s="10" t="str">
        <f t="shared" si="15"/>
        <v>Average</v>
      </c>
    </row>
    <row r="455" spans="1:20">
      <c r="A455" s="2">
        <v>500462</v>
      </c>
      <c r="B455" s="2">
        <v>104518</v>
      </c>
      <c r="C455" s="8">
        <v>45883</v>
      </c>
      <c r="D455" s="2">
        <v>2015</v>
      </c>
      <c r="E455" s="2">
        <v>1</v>
      </c>
      <c r="F455" s="2">
        <v>15</v>
      </c>
      <c r="G455" s="2" t="s">
        <v>56</v>
      </c>
      <c r="H455" s="2" t="s">
        <v>21</v>
      </c>
      <c r="I455" s="2">
        <v>20</v>
      </c>
      <c r="J455" s="2" t="s">
        <v>45</v>
      </c>
      <c r="K455" s="8">
        <v>45302</v>
      </c>
      <c r="L455" s="2" t="s">
        <v>23</v>
      </c>
      <c r="M455" s="2" t="s">
        <v>66</v>
      </c>
      <c r="N455" s="2" t="s">
        <v>34</v>
      </c>
      <c r="O455" s="2">
        <v>58</v>
      </c>
      <c r="P455" s="2">
        <v>49</v>
      </c>
      <c r="Q455" s="2">
        <v>49</v>
      </c>
      <c r="R455" s="9" t="s">
        <v>26</v>
      </c>
      <c r="S455" s="9">
        <f t="shared" si="14"/>
        <v>58</v>
      </c>
      <c r="T455" s="10" t="str">
        <f t="shared" si="15"/>
        <v>High</v>
      </c>
    </row>
    <row r="456" spans="1:20">
      <c r="A456" s="2">
        <v>500463</v>
      </c>
      <c r="B456" s="2">
        <v>103318</v>
      </c>
      <c r="C456" s="8">
        <v>45578</v>
      </c>
      <c r="D456" s="2">
        <v>2003</v>
      </c>
      <c r="E456" s="2">
        <v>1</v>
      </c>
      <c r="F456" s="2">
        <v>10</v>
      </c>
      <c r="G456" s="2" t="s">
        <v>20</v>
      </c>
      <c r="H456" s="2" t="s">
        <v>47</v>
      </c>
      <c r="I456" s="2">
        <v>37</v>
      </c>
      <c r="J456" s="2" t="s">
        <v>55</v>
      </c>
      <c r="K456" s="8">
        <v>45613</v>
      </c>
      <c r="L456" s="2" t="s">
        <v>23</v>
      </c>
      <c r="M456" s="2" t="s">
        <v>24</v>
      </c>
      <c r="N456" s="2" t="s">
        <v>25</v>
      </c>
      <c r="O456" s="2">
        <v>9</v>
      </c>
      <c r="P456" s="2">
        <v>8</v>
      </c>
      <c r="Q456" s="2">
        <v>8</v>
      </c>
      <c r="R456" s="9" t="s">
        <v>30</v>
      </c>
      <c r="S456" s="9">
        <f t="shared" si="14"/>
        <v>9</v>
      </c>
      <c r="T456" s="10" t="str">
        <f t="shared" si="15"/>
        <v>Average</v>
      </c>
    </row>
    <row r="457" spans="1:20">
      <c r="A457" s="2">
        <v>500464</v>
      </c>
      <c r="B457" s="2">
        <v>109641</v>
      </c>
      <c r="C457" s="8">
        <v>45656</v>
      </c>
      <c r="D457" s="2">
        <v>2003</v>
      </c>
      <c r="E457" s="2">
        <v>3</v>
      </c>
      <c r="F457" s="2">
        <v>30</v>
      </c>
      <c r="G457" s="2" t="s">
        <v>20</v>
      </c>
      <c r="H457" s="2" t="s">
        <v>40</v>
      </c>
      <c r="I457" s="2">
        <v>35</v>
      </c>
      <c r="J457" s="2" t="s">
        <v>48</v>
      </c>
      <c r="K457" s="8">
        <v>45041</v>
      </c>
      <c r="L457" s="2" t="s">
        <v>41</v>
      </c>
      <c r="M457" s="2" t="s">
        <v>24</v>
      </c>
      <c r="N457" s="2" t="s">
        <v>25</v>
      </c>
      <c r="O457" s="2">
        <v>9</v>
      </c>
      <c r="P457" s="2">
        <v>19</v>
      </c>
      <c r="Q457" s="2">
        <v>19</v>
      </c>
      <c r="R457" s="9" t="s">
        <v>30</v>
      </c>
      <c r="S457" s="9">
        <f t="shared" si="14"/>
        <v>27</v>
      </c>
      <c r="T457" s="10" t="str">
        <f t="shared" si="15"/>
        <v>High</v>
      </c>
    </row>
    <row r="458" spans="1:20">
      <c r="A458" s="2">
        <v>500465</v>
      </c>
      <c r="B458" s="2">
        <v>108216</v>
      </c>
      <c r="C458" s="8">
        <v>45773</v>
      </c>
      <c r="D458" s="2">
        <v>2010</v>
      </c>
      <c r="E458" s="2">
        <v>1</v>
      </c>
      <c r="F458" s="2">
        <v>0</v>
      </c>
      <c r="G458" s="2" t="s">
        <v>27</v>
      </c>
      <c r="H458" s="2" t="s">
        <v>21</v>
      </c>
      <c r="I458" s="2">
        <v>52</v>
      </c>
      <c r="J458" s="2" t="s">
        <v>32</v>
      </c>
      <c r="K458" s="8">
        <v>45508</v>
      </c>
      <c r="L458" s="2" t="s">
        <v>23</v>
      </c>
      <c r="M458" s="2" t="s">
        <v>58</v>
      </c>
      <c r="N458" s="2" t="s">
        <v>59</v>
      </c>
      <c r="O458" s="2">
        <v>55</v>
      </c>
      <c r="P458" s="2">
        <v>55</v>
      </c>
      <c r="Q458" s="2">
        <v>55</v>
      </c>
      <c r="R458" s="9" t="s">
        <v>26</v>
      </c>
      <c r="S458" s="9">
        <f t="shared" si="14"/>
        <v>55</v>
      </c>
      <c r="T458" s="10" t="str">
        <f t="shared" si="15"/>
        <v>Low</v>
      </c>
    </row>
    <row r="459" spans="1:20">
      <c r="A459" s="2">
        <v>500466</v>
      </c>
      <c r="B459" s="2">
        <v>100286</v>
      </c>
      <c r="C459" s="8">
        <v>45617</v>
      </c>
      <c r="D459" s="2">
        <v>2012</v>
      </c>
      <c r="E459" s="2">
        <v>3</v>
      </c>
      <c r="F459" s="2">
        <v>0</v>
      </c>
      <c r="G459" s="2" t="s">
        <v>20</v>
      </c>
      <c r="H459" s="2" t="s">
        <v>21</v>
      </c>
      <c r="I459" s="2">
        <v>63</v>
      </c>
      <c r="J459" s="2" t="s">
        <v>32</v>
      </c>
      <c r="K459" s="8">
        <v>44977</v>
      </c>
      <c r="L459" s="2" t="s">
        <v>41</v>
      </c>
      <c r="M459" s="2" t="s">
        <v>36</v>
      </c>
      <c r="N459" s="2" t="s">
        <v>37</v>
      </c>
      <c r="O459" s="2">
        <v>180</v>
      </c>
      <c r="P459" s="2">
        <v>540</v>
      </c>
      <c r="Q459" s="2">
        <v>540</v>
      </c>
      <c r="R459" s="9" t="s">
        <v>30</v>
      </c>
      <c r="S459" s="9">
        <f t="shared" si="14"/>
        <v>540</v>
      </c>
      <c r="T459" s="10" t="str">
        <f t="shared" si="15"/>
        <v>Low</v>
      </c>
    </row>
    <row r="460" spans="1:20">
      <c r="A460" s="2">
        <v>500467</v>
      </c>
      <c r="B460" s="2">
        <v>104100</v>
      </c>
      <c r="C460" s="8">
        <v>45898</v>
      </c>
      <c r="D460" s="2">
        <v>2005</v>
      </c>
      <c r="E460" s="2">
        <v>3</v>
      </c>
      <c r="F460" s="2">
        <v>20</v>
      </c>
      <c r="G460" s="2" t="s">
        <v>20</v>
      </c>
      <c r="H460" s="2" t="s">
        <v>21</v>
      </c>
      <c r="I460" s="2">
        <v>34</v>
      </c>
      <c r="J460" s="2" t="s">
        <v>28</v>
      </c>
      <c r="K460" s="8">
        <v>44945</v>
      </c>
      <c r="L460" s="2" t="s">
        <v>49</v>
      </c>
      <c r="M460" s="2" t="s">
        <v>51</v>
      </c>
      <c r="N460" s="2" t="s">
        <v>25</v>
      </c>
      <c r="O460" s="2">
        <v>28</v>
      </c>
      <c r="P460" s="2">
        <v>67</v>
      </c>
      <c r="Q460" s="2">
        <v>67</v>
      </c>
      <c r="R460" s="9" t="s">
        <v>26</v>
      </c>
      <c r="S460" s="9">
        <f t="shared" si="14"/>
        <v>84</v>
      </c>
      <c r="T460" s="10" t="str">
        <f t="shared" si="15"/>
        <v>High</v>
      </c>
    </row>
    <row r="461" spans="1:20">
      <c r="A461" s="2">
        <v>500468</v>
      </c>
      <c r="B461" s="2">
        <v>108687</v>
      </c>
      <c r="C461" s="8">
        <v>45858</v>
      </c>
      <c r="D461" s="2">
        <v>2010</v>
      </c>
      <c r="E461" s="2">
        <v>1</v>
      </c>
      <c r="F461" s="2">
        <v>0</v>
      </c>
      <c r="G461" s="2" t="s">
        <v>56</v>
      </c>
      <c r="H461" s="2" t="s">
        <v>21</v>
      </c>
      <c r="I461" s="2">
        <v>22</v>
      </c>
      <c r="J461" s="2" t="s">
        <v>35</v>
      </c>
      <c r="K461" s="8">
        <v>45373</v>
      </c>
      <c r="L461" s="2" t="s">
        <v>23</v>
      </c>
      <c r="M461" s="2" t="s">
        <v>58</v>
      </c>
      <c r="N461" s="2" t="s">
        <v>59</v>
      </c>
      <c r="O461" s="2">
        <v>55</v>
      </c>
      <c r="P461" s="2">
        <v>55</v>
      </c>
      <c r="Q461" s="2">
        <v>55</v>
      </c>
      <c r="R461" s="9" t="s">
        <v>26</v>
      </c>
      <c r="S461" s="9">
        <f t="shared" si="14"/>
        <v>55</v>
      </c>
      <c r="T461" s="10" t="str">
        <f t="shared" si="15"/>
        <v>Low</v>
      </c>
    </row>
    <row r="462" spans="1:20">
      <c r="A462" s="2">
        <v>500469</v>
      </c>
      <c r="B462" s="2">
        <v>106538</v>
      </c>
      <c r="C462" s="8">
        <v>45946</v>
      </c>
      <c r="D462" s="2">
        <v>2003</v>
      </c>
      <c r="E462" s="2">
        <v>3</v>
      </c>
      <c r="F462" s="2">
        <v>15</v>
      </c>
      <c r="G462" s="2" t="s">
        <v>31</v>
      </c>
      <c r="H462" s="2" t="s">
        <v>21</v>
      </c>
      <c r="I462" s="2">
        <v>63</v>
      </c>
      <c r="J462" s="2" t="s">
        <v>32</v>
      </c>
      <c r="K462" s="8">
        <v>45106</v>
      </c>
      <c r="L462" s="2" t="s">
        <v>23</v>
      </c>
      <c r="M462" s="2" t="s">
        <v>24</v>
      </c>
      <c r="N462" s="2" t="s">
        <v>25</v>
      </c>
      <c r="O462" s="2">
        <v>9</v>
      </c>
      <c r="P462" s="2">
        <v>23</v>
      </c>
      <c r="Q462" s="2">
        <v>23</v>
      </c>
      <c r="R462" s="9" t="s">
        <v>26</v>
      </c>
      <c r="S462" s="9">
        <f t="shared" si="14"/>
        <v>27</v>
      </c>
      <c r="T462" s="10" t="str">
        <f t="shared" si="15"/>
        <v>High</v>
      </c>
    </row>
    <row r="463" spans="1:20">
      <c r="A463" s="2">
        <v>500470</v>
      </c>
      <c r="B463" s="2">
        <v>101368</v>
      </c>
      <c r="C463" s="8">
        <v>45744</v>
      </c>
      <c r="D463" s="2">
        <v>2001</v>
      </c>
      <c r="E463" s="2">
        <v>1</v>
      </c>
      <c r="F463" s="2">
        <v>15</v>
      </c>
      <c r="G463" s="2" t="s">
        <v>56</v>
      </c>
      <c r="H463" s="2" t="s">
        <v>21</v>
      </c>
      <c r="I463" s="2">
        <v>39</v>
      </c>
      <c r="J463" s="2" t="s">
        <v>32</v>
      </c>
      <c r="K463" s="8">
        <v>45804</v>
      </c>
      <c r="L463" s="2" t="s">
        <v>41</v>
      </c>
      <c r="M463" s="2" t="s">
        <v>50</v>
      </c>
      <c r="N463" s="2" t="s">
        <v>34</v>
      </c>
      <c r="O463" s="2">
        <v>18</v>
      </c>
      <c r="P463" s="2">
        <v>15</v>
      </c>
      <c r="Q463" s="2">
        <v>15</v>
      </c>
      <c r="R463" s="9" t="s">
        <v>26</v>
      </c>
      <c r="S463" s="9">
        <f t="shared" si="14"/>
        <v>18</v>
      </c>
      <c r="T463" s="10" t="str">
        <f t="shared" si="15"/>
        <v>High</v>
      </c>
    </row>
    <row r="464" spans="1:20">
      <c r="A464" s="2">
        <v>500471</v>
      </c>
      <c r="B464" s="2">
        <v>104279</v>
      </c>
      <c r="C464" s="8">
        <v>45609</v>
      </c>
      <c r="D464" s="2">
        <v>2002</v>
      </c>
      <c r="E464" s="2">
        <v>2</v>
      </c>
      <c r="F464" s="2">
        <v>0</v>
      </c>
      <c r="G464" s="2" t="s">
        <v>27</v>
      </c>
      <c r="H464" s="2" t="s">
        <v>21</v>
      </c>
      <c r="I464" s="2">
        <v>53</v>
      </c>
      <c r="J464" s="2" t="s">
        <v>45</v>
      </c>
      <c r="K464" s="8">
        <v>46020</v>
      </c>
      <c r="L464" s="2" t="s">
        <v>49</v>
      </c>
      <c r="M464" s="2" t="s">
        <v>33</v>
      </c>
      <c r="N464" s="2" t="s">
        <v>34</v>
      </c>
      <c r="O464" s="2">
        <v>62</v>
      </c>
      <c r="P464" s="2">
        <v>124</v>
      </c>
      <c r="Q464" s="2">
        <v>124</v>
      </c>
      <c r="R464" s="9" t="s">
        <v>30</v>
      </c>
      <c r="S464" s="9">
        <f t="shared" si="14"/>
        <v>124</v>
      </c>
      <c r="T464" s="10" t="str">
        <f t="shared" si="15"/>
        <v>Low</v>
      </c>
    </row>
    <row r="465" spans="1:20">
      <c r="A465" s="2">
        <v>500472</v>
      </c>
      <c r="B465" s="2">
        <v>100804</v>
      </c>
      <c r="C465" s="8">
        <v>45465</v>
      </c>
      <c r="D465" s="2">
        <v>2008</v>
      </c>
      <c r="E465" s="2">
        <v>1</v>
      </c>
      <c r="F465" s="2">
        <v>15</v>
      </c>
      <c r="G465" s="2" t="s">
        <v>20</v>
      </c>
      <c r="H465" s="2" t="s">
        <v>21</v>
      </c>
      <c r="I465" s="2">
        <v>62</v>
      </c>
      <c r="J465" s="2" t="s">
        <v>35</v>
      </c>
      <c r="K465" s="8">
        <v>45349</v>
      </c>
      <c r="L465" s="2" t="s">
        <v>23</v>
      </c>
      <c r="M465" s="2" t="s">
        <v>39</v>
      </c>
      <c r="N465" s="2" t="s">
        <v>25</v>
      </c>
      <c r="O465" s="2">
        <v>14</v>
      </c>
      <c r="P465" s="2">
        <v>12</v>
      </c>
      <c r="Q465" s="2">
        <v>12</v>
      </c>
      <c r="R465" s="9" t="s">
        <v>30</v>
      </c>
      <c r="S465" s="9">
        <f t="shared" si="14"/>
        <v>14</v>
      </c>
      <c r="T465" s="10" t="str">
        <f t="shared" si="15"/>
        <v>High</v>
      </c>
    </row>
    <row r="466" spans="1:20">
      <c r="A466" s="2">
        <v>500473</v>
      </c>
      <c r="B466" s="2">
        <v>102415</v>
      </c>
      <c r="C466" s="8">
        <v>45669</v>
      </c>
      <c r="D466" s="2">
        <v>2003</v>
      </c>
      <c r="E466" s="2">
        <v>2</v>
      </c>
      <c r="F466" s="2">
        <v>15</v>
      </c>
      <c r="G466" s="2" t="s">
        <v>20</v>
      </c>
      <c r="H466" s="2" t="s">
        <v>21</v>
      </c>
      <c r="I466" s="2">
        <v>35</v>
      </c>
      <c r="J466" s="2" t="s">
        <v>48</v>
      </c>
      <c r="K466" s="8">
        <v>45339</v>
      </c>
      <c r="L466" s="2" t="s">
        <v>41</v>
      </c>
      <c r="M466" s="2" t="s">
        <v>24</v>
      </c>
      <c r="N466" s="2" t="s">
        <v>25</v>
      </c>
      <c r="O466" s="2">
        <v>9</v>
      </c>
      <c r="P466" s="2">
        <v>15</v>
      </c>
      <c r="Q466" s="2">
        <v>15</v>
      </c>
      <c r="R466" s="9" t="s">
        <v>26</v>
      </c>
      <c r="S466" s="9">
        <f t="shared" si="14"/>
        <v>18</v>
      </c>
      <c r="T466" s="10" t="str">
        <f t="shared" si="15"/>
        <v>High</v>
      </c>
    </row>
    <row r="467" spans="1:20">
      <c r="A467" s="2">
        <v>500474</v>
      </c>
      <c r="B467" s="2">
        <v>104056</v>
      </c>
      <c r="C467" s="8">
        <v>46046</v>
      </c>
      <c r="D467" s="2">
        <v>2013</v>
      </c>
      <c r="E467" s="2">
        <v>1</v>
      </c>
      <c r="F467" s="2">
        <v>0</v>
      </c>
      <c r="G467" s="2" t="s">
        <v>20</v>
      </c>
      <c r="H467" s="2" t="s">
        <v>21</v>
      </c>
      <c r="I467" s="2">
        <v>36</v>
      </c>
      <c r="J467" s="2" t="s">
        <v>52</v>
      </c>
      <c r="K467" s="8">
        <v>45217</v>
      </c>
      <c r="L467" s="2" t="s">
        <v>41</v>
      </c>
      <c r="M467" s="2" t="s">
        <v>53</v>
      </c>
      <c r="N467" s="2" t="s">
        <v>54</v>
      </c>
      <c r="O467" s="2">
        <v>7</v>
      </c>
      <c r="P467" s="2">
        <v>7</v>
      </c>
      <c r="Q467" s="2">
        <v>7</v>
      </c>
      <c r="R467" s="9" t="s">
        <v>26</v>
      </c>
      <c r="S467" s="9">
        <f t="shared" si="14"/>
        <v>7</v>
      </c>
      <c r="T467" s="10" t="str">
        <f t="shared" si="15"/>
        <v>Low</v>
      </c>
    </row>
    <row r="468" spans="1:20">
      <c r="A468" s="2">
        <v>500475</v>
      </c>
      <c r="B468" s="2">
        <v>108735</v>
      </c>
      <c r="C468" s="8">
        <v>45396</v>
      </c>
      <c r="D468" s="2">
        <v>2010</v>
      </c>
      <c r="E468" s="2">
        <v>2</v>
      </c>
      <c r="F468" s="2">
        <v>0</v>
      </c>
      <c r="G468" s="2" t="s">
        <v>56</v>
      </c>
      <c r="H468" s="2" t="s">
        <v>21</v>
      </c>
      <c r="I468" s="2">
        <v>55</v>
      </c>
      <c r="J468" s="2" t="s">
        <v>55</v>
      </c>
      <c r="K468" s="8">
        <v>45428</v>
      </c>
      <c r="L468" s="2" t="s">
        <v>23</v>
      </c>
      <c r="M468" s="2" t="s">
        <v>58</v>
      </c>
      <c r="N468" s="2" t="s">
        <v>59</v>
      </c>
      <c r="O468" s="2">
        <v>55</v>
      </c>
      <c r="P468" s="2">
        <v>110</v>
      </c>
      <c r="Q468" s="2">
        <v>110</v>
      </c>
      <c r="R468" s="9" t="s">
        <v>30</v>
      </c>
      <c r="S468" s="9">
        <f t="shared" si="14"/>
        <v>110</v>
      </c>
      <c r="T468" s="10" t="str">
        <f t="shared" si="15"/>
        <v>Low</v>
      </c>
    </row>
    <row r="469" spans="1:20">
      <c r="A469" s="2">
        <v>500476</v>
      </c>
      <c r="B469" s="2">
        <v>101816</v>
      </c>
      <c r="C469" s="8">
        <v>45478</v>
      </c>
      <c r="D469" s="2">
        <v>2012</v>
      </c>
      <c r="E469" s="2">
        <v>3</v>
      </c>
      <c r="F469" s="2">
        <v>5</v>
      </c>
      <c r="G469" s="2" t="s">
        <v>27</v>
      </c>
      <c r="H469" s="2" t="s">
        <v>21</v>
      </c>
      <c r="I469" s="2">
        <v>23</v>
      </c>
      <c r="J469" s="2" t="s">
        <v>32</v>
      </c>
      <c r="K469" s="8">
        <v>45109</v>
      </c>
      <c r="L469" s="2" t="s">
        <v>23</v>
      </c>
      <c r="M469" s="2" t="s">
        <v>36</v>
      </c>
      <c r="N469" s="2" t="s">
        <v>37</v>
      </c>
      <c r="O469" s="2">
        <v>180</v>
      </c>
      <c r="P469" s="2">
        <v>513</v>
      </c>
      <c r="Q469" s="2">
        <v>513</v>
      </c>
      <c r="R469" s="9" t="s">
        <v>30</v>
      </c>
      <c r="S469" s="9">
        <f t="shared" si="14"/>
        <v>540</v>
      </c>
      <c r="T469" s="10" t="str">
        <f t="shared" si="15"/>
        <v>Low</v>
      </c>
    </row>
    <row r="470" spans="1:20">
      <c r="A470" s="2">
        <v>500477</v>
      </c>
      <c r="B470" s="2">
        <v>105247</v>
      </c>
      <c r="C470" s="8">
        <v>45866</v>
      </c>
      <c r="D470" s="2">
        <v>2003</v>
      </c>
      <c r="E470" s="2">
        <v>2</v>
      </c>
      <c r="F470" s="2">
        <v>10</v>
      </c>
      <c r="G470" s="2" t="s">
        <v>20</v>
      </c>
      <c r="H470" s="2" t="s">
        <v>21</v>
      </c>
      <c r="I470" s="2">
        <v>46</v>
      </c>
      <c r="J470" s="2" t="s">
        <v>32</v>
      </c>
      <c r="K470" s="8">
        <v>45596</v>
      </c>
      <c r="L470" s="2" t="s">
        <v>23</v>
      </c>
      <c r="M470" s="2" t="s">
        <v>24</v>
      </c>
      <c r="N470" s="2" t="s">
        <v>25</v>
      </c>
      <c r="O470" s="2">
        <v>9</v>
      </c>
      <c r="P470" s="2">
        <v>16</v>
      </c>
      <c r="Q470" s="2">
        <v>16</v>
      </c>
      <c r="R470" s="9" t="s">
        <v>26</v>
      </c>
      <c r="S470" s="9">
        <f t="shared" si="14"/>
        <v>18</v>
      </c>
      <c r="T470" s="10" t="str">
        <f t="shared" si="15"/>
        <v>Average</v>
      </c>
    </row>
    <row r="471" spans="1:20">
      <c r="A471" s="2">
        <v>500478</v>
      </c>
      <c r="B471" s="2">
        <v>106556</v>
      </c>
      <c r="C471" s="8">
        <v>45788</v>
      </c>
      <c r="D471" s="2">
        <v>2017</v>
      </c>
      <c r="E471" s="2">
        <v>3</v>
      </c>
      <c r="F471" s="2">
        <v>15</v>
      </c>
      <c r="G471" s="2" t="s">
        <v>27</v>
      </c>
      <c r="H471" s="2" t="s">
        <v>21</v>
      </c>
      <c r="I471" s="2">
        <v>43</v>
      </c>
      <c r="J471" s="2" t="s">
        <v>43</v>
      </c>
      <c r="K471" s="8">
        <v>45713</v>
      </c>
      <c r="L471" s="2" t="s">
        <v>23</v>
      </c>
      <c r="M471" s="2" t="s">
        <v>44</v>
      </c>
      <c r="N471" s="2" t="s">
        <v>25</v>
      </c>
      <c r="O471" s="2">
        <v>11</v>
      </c>
      <c r="P471" s="2">
        <v>28</v>
      </c>
      <c r="Q471" s="2">
        <v>28</v>
      </c>
      <c r="R471" s="9" t="s">
        <v>26</v>
      </c>
      <c r="S471" s="9">
        <f t="shared" si="14"/>
        <v>33</v>
      </c>
      <c r="T471" s="10" t="str">
        <f t="shared" si="15"/>
        <v>High</v>
      </c>
    </row>
    <row r="472" spans="1:20">
      <c r="A472" s="2">
        <v>500479</v>
      </c>
      <c r="B472" s="2">
        <v>107719</v>
      </c>
      <c r="C472" s="8">
        <v>46097</v>
      </c>
      <c r="D472" s="2">
        <v>2017</v>
      </c>
      <c r="E472" s="2">
        <v>3</v>
      </c>
      <c r="F472" s="2">
        <v>10</v>
      </c>
      <c r="G472" s="2" t="s">
        <v>31</v>
      </c>
      <c r="H472" s="2" t="s">
        <v>21</v>
      </c>
      <c r="I472" s="2">
        <v>38</v>
      </c>
      <c r="J472" s="2" t="s">
        <v>45</v>
      </c>
      <c r="K472" s="8">
        <v>45506</v>
      </c>
      <c r="L472" s="2" t="s">
        <v>41</v>
      </c>
      <c r="M472" s="2" t="s">
        <v>44</v>
      </c>
      <c r="N472" s="2" t="s">
        <v>25</v>
      </c>
      <c r="O472" s="2">
        <v>11</v>
      </c>
      <c r="P472" s="2">
        <v>30</v>
      </c>
      <c r="Q472" s="2">
        <v>30</v>
      </c>
      <c r="R472" s="9" t="s">
        <v>26</v>
      </c>
      <c r="S472" s="9">
        <f t="shared" si="14"/>
        <v>33</v>
      </c>
      <c r="T472" s="10" t="str">
        <f t="shared" si="15"/>
        <v>Average</v>
      </c>
    </row>
    <row r="473" spans="1:20">
      <c r="A473" s="2">
        <v>500480</v>
      </c>
      <c r="B473" s="2">
        <v>106064</v>
      </c>
      <c r="C473" s="8">
        <v>45317</v>
      </c>
      <c r="D473" s="2">
        <v>2007</v>
      </c>
      <c r="E473" s="2">
        <v>1</v>
      </c>
      <c r="F473" s="2">
        <v>0</v>
      </c>
      <c r="G473" s="2" t="s">
        <v>20</v>
      </c>
      <c r="H473" s="2" t="s">
        <v>21</v>
      </c>
      <c r="I473" s="2">
        <v>21</v>
      </c>
      <c r="J473" s="2" t="s">
        <v>45</v>
      </c>
      <c r="K473" s="8">
        <v>45992</v>
      </c>
      <c r="L473" s="2" t="s">
        <v>41</v>
      </c>
      <c r="M473" s="2" t="s">
        <v>61</v>
      </c>
      <c r="N473" s="2" t="s">
        <v>34</v>
      </c>
      <c r="O473" s="2">
        <v>75</v>
      </c>
      <c r="P473" s="2">
        <v>75</v>
      </c>
      <c r="Q473" s="2">
        <v>75</v>
      </c>
      <c r="R473" s="9" t="s">
        <v>30</v>
      </c>
      <c r="S473" s="9">
        <f t="shared" si="14"/>
        <v>75</v>
      </c>
      <c r="T473" s="10" t="str">
        <f t="shared" si="15"/>
        <v>Low</v>
      </c>
    </row>
    <row r="474" spans="1:20">
      <c r="A474" s="2">
        <v>500481</v>
      </c>
      <c r="B474" s="2">
        <v>101307</v>
      </c>
      <c r="C474" s="8">
        <v>46051</v>
      </c>
      <c r="D474" s="2">
        <v>2008</v>
      </c>
      <c r="E474" s="2">
        <v>2</v>
      </c>
      <c r="F474" s="2">
        <v>15</v>
      </c>
      <c r="G474" s="2" t="s">
        <v>20</v>
      </c>
      <c r="H474" s="2" t="s">
        <v>21</v>
      </c>
      <c r="I474" s="2">
        <v>30</v>
      </c>
      <c r="J474" s="2" t="s">
        <v>38</v>
      </c>
      <c r="K474" s="8">
        <v>45825</v>
      </c>
      <c r="L474" s="2" t="s">
        <v>23</v>
      </c>
      <c r="M474" s="2" t="s">
        <v>39</v>
      </c>
      <c r="N474" s="2" t="s">
        <v>25</v>
      </c>
      <c r="O474" s="2">
        <v>14</v>
      </c>
      <c r="P474" s="2">
        <v>24</v>
      </c>
      <c r="Q474" s="2">
        <v>24</v>
      </c>
      <c r="R474" s="9" t="s">
        <v>26</v>
      </c>
      <c r="S474" s="9">
        <f t="shared" si="14"/>
        <v>28</v>
      </c>
      <c r="T474" s="10" t="str">
        <f t="shared" si="15"/>
        <v>High</v>
      </c>
    </row>
    <row r="475" spans="1:20">
      <c r="A475" s="2">
        <v>500482</v>
      </c>
      <c r="B475" s="2">
        <v>108365</v>
      </c>
      <c r="C475" s="8">
        <v>45918</v>
      </c>
      <c r="D475" s="2">
        <v>2008</v>
      </c>
      <c r="E475" s="2">
        <v>4</v>
      </c>
      <c r="F475" s="2">
        <v>20</v>
      </c>
      <c r="G475" s="2" t="s">
        <v>20</v>
      </c>
      <c r="H475" s="2" t="s">
        <v>21</v>
      </c>
      <c r="I475" s="2">
        <v>60</v>
      </c>
      <c r="J475" s="2" t="s">
        <v>45</v>
      </c>
      <c r="K475" s="8">
        <v>44980</v>
      </c>
      <c r="L475" s="2" t="s">
        <v>23</v>
      </c>
      <c r="M475" s="2" t="s">
        <v>39</v>
      </c>
      <c r="N475" s="2" t="s">
        <v>25</v>
      </c>
      <c r="O475" s="2">
        <v>14</v>
      </c>
      <c r="P475" s="2">
        <v>45</v>
      </c>
      <c r="Q475" s="2">
        <v>45</v>
      </c>
      <c r="R475" s="9" t="s">
        <v>26</v>
      </c>
      <c r="S475" s="9">
        <f t="shared" si="14"/>
        <v>56</v>
      </c>
      <c r="T475" s="10" t="str">
        <f t="shared" si="15"/>
        <v>High</v>
      </c>
    </row>
    <row r="476" spans="1:20">
      <c r="A476" s="2">
        <v>500483</v>
      </c>
      <c r="B476" s="2">
        <v>109469</v>
      </c>
      <c r="C476" s="8">
        <v>45962</v>
      </c>
      <c r="D476" s="2">
        <v>2008</v>
      </c>
      <c r="E476" s="2">
        <v>4</v>
      </c>
      <c r="F476" s="2">
        <v>0</v>
      </c>
      <c r="G476" s="2" t="s">
        <v>56</v>
      </c>
      <c r="H476" s="2" t="s">
        <v>21</v>
      </c>
      <c r="I476" s="2">
        <v>60</v>
      </c>
      <c r="J476" s="2" t="s">
        <v>45</v>
      </c>
      <c r="K476" s="8">
        <v>45625</v>
      </c>
      <c r="L476" s="2" t="s">
        <v>23</v>
      </c>
      <c r="M476" s="2" t="s">
        <v>39</v>
      </c>
      <c r="N476" s="2" t="s">
        <v>25</v>
      </c>
      <c r="O476" s="2">
        <v>14</v>
      </c>
      <c r="P476" s="2">
        <v>56</v>
      </c>
      <c r="Q476" s="2">
        <v>56</v>
      </c>
      <c r="R476" s="9" t="s">
        <v>26</v>
      </c>
      <c r="S476" s="9">
        <f t="shared" si="14"/>
        <v>56</v>
      </c>
      <c r="T476" s="10" t="str">
        <f t="shared" si="15"/>
        <v>Low</v>
      </c>
    </row>
    <row r="477" spans="1:20">
      <c r="A477" s="2">
        <v>500484</v>
      </c>
      <c r="B477" s="2">
        <v>108502</v>
      </c>
      <c r="C477" s="8">
        <v>45619</v>
      </c>
      <c r="D477" s="2">
        <v>2008</v>
      </c>
      <c r="E477" s="2">
        <v>1</v>
      </c>
      <c r="F477" s="2">
        <v>0</v>
      </c>
      <c r="G477" s="2" t="s">
        <v>20</v>
      </c>
      <c r="H477" s="2" t="s">
        <v>21</v>
      </c>
      <c r="I477" s="2">
        <v>34</v>
      </c>
      <c r="J477" s="2" t="s">
        <v>45</v>
      </c>
      <c r="K477" s="8">
        <v>45397</v>
      </c>
      <c r="L477" s="2" t="s">
        <v>23</v>
      </c>
      <c r="M477" s="2" t="s">
        <v>39</v>
      </c>
      <c r="N477" s="2" t="s">
        <v>25</v>
      </c>
      <c r="O477" s="2">
        <v>14</v>
      </c>
      <c r="P477" s="2">
        <v>14</v>
      </c>
      <c r="Q477" s="2">
        <v>14</v>
      </c>
      <c r="R477" s="9" t="s">
        <v>30</v>
      </c>
      <c r="S477" s="9">
        <f t="shared" si="14"/>
        <v>14</v>
      </c>
      <c r="T477" s="10" t="str">
        <f t="shared" si="15"/>
        <v>Low</v>
      </c>
    </row>
    <row r="478" spans="1:20">
      <c r="A478" s="2">
        <v>500485</v>
      </c>
      <c r="B478" s="2">
        <v>101862</v>
      </c>
      <c r="C478" s="8">
        <v>45557</v>
      </c>
      <c r="D478" s="2">
        <v>2009</v>
      </c>
      <c r="E478" s="2">
        <v>5</v>
      </c>
      <c r="F478" s="2">
        <v>15</v>
      </c>
      <c r="G478" s="2" t="s">
        <v>20</v>
      </c>
      <c r="H478" s="2" t="s">
        <v>21</v>
      </c>
      <c r="I478" s="2">
        <v>32</v>
      </c>
      <c r="J478" s="2" t="s">
        <v>52</v>
      </c>
      <c r="K478" s="8">
        <v>45623</v>
      </c>
      <c r="L478" s="2" t="s">
        <v>23</v>
      </c>
      <c r="M478" s="2" t="s">
        <v>65</v>
      </c>
      <c r="N478" s="2" t="s">
        <v>59</v>
      </c>
      <c r="O478" s="2">
        <v>120</v>
      </c>
      <c r="P478" s="2">
        <v>510</v>
      </c>
      <c r="Q478" s="2">
        <v>510</v>
      </c>
      <c r="R478" s="9" t="s">
        <v>30</v>
      </c>
      <c r="S478" s="9">
        <f t="shared" si="14"/>
        <v>600</v>
      </c>
      <c r="T478" s="10" t="str">
        <f t="shared" si="15"/>
        <v>High</v>
      </c>
    </row>
    <row r="479" spans="1:20">
      <c r="A479" s="2">
        <v>500486</v>
      </c>
      <c r="B479" s="2">
        <v>102924</v>
      </c>
      <c r="C479" s="8">
        <v>45304</v>
      </c>
      <c r="D479" s="2">
        <v>2012</v>
      </c>
      <c r="E479" s="2">
        <v>2</v>
      </c>
      <c r="F479" s="2">
        <v>0</v>
      </c>
      <c r="G479" s="2" t="s">
        <v>27</v>
      </c>
      <c r="H479" s="2" t="s">
        <v>21</v>
      </c>
      <c r="I479" s="2">
        <v>43</v>
      </c>
      <c r="J479" s="2" t="s">
        <v>35</v>
      </c>
      <c r="K479" s="8">
        <v>45908</v>
      </c>
      <c r="L479" s="2" t="s">
        <v>23</v>
      </c>
      <c r="M479" s="2" t="s">
        <v>36</v>
      </c>
      <c r="N479" s="2" t="s">
        <v>37</v>
      </c>
      <c r="O479" s="2">
        <v>180</v>
      </c>
      <c r="P479" s="2">
        <v>360</v>
      </c>
      <c r="Q479" s="2">
        <v>360</v>
      </c>
      <c r="R479" s="9" t="s">
        <v>30</v>
      </c>
      <c r="S479" s="9">
        <f t="shared" si="14"/>
        <v>360</v>
      </c>
      <c r="T479" s="10" t="str">
        <f t="shared" si="15"/>
        <v>Low</v>
      </c>
    </row>
    <row r="480" spans="1:20">
      <c r="A480" s="2">
        <v>500487</v>
      </c>
      <c r="B480" s="2">
        <v>100586</v>
      </c>
      <c r="C480" s="8">
        <v>45972</v>
      </c>
      <c r="D480" s="2">
        <v>2008</v>
      </c>
      <c r="E480" s="2">
        <v>1</v>
      </c>
      <c r="F480" s="2">
        <v>0</v>
      </c>
      <c r="G480" s="2" t="s">
        <v>27</v>
      </c>
      <c r="H480" s="2" t="s">
        <v>40</v>
      </c>
      <c r="I480" s="2">
        <v>62</v>
      </c>
      <c r="J480" s="2" t="s">
        <v>28</v>
      </c>
      <c r="K480" s="8">
        <v>45720</v>
      </c>
      <c r="L480" s="2" t="s">
        <v>41</v>
      </c>
      <c r="M480" s="2" t="s">
        <v>39</v>
      </c>
      <c r="N480" s="2" t="s">
        <v>25</v>
      </c>
      <c r="O480" s="2">
        <v>14</v>
      </c>
      <c r="P480" s="2">
        <v>14</v>
      </c>
      <c r="Q480" s="2">
        <v>14</v>
      </c>
      <c r="R480" s="9" t="s">
        <v>26</v>
      </c>
      <c r="S480" s="9">
        <f t="shared" si="14"/>
        <v>14</v>
      </c>
      <c r="T480" s="10" t="str">
        <f t="shared" si="15"/>
        <v>Low</v>
      </c>
    </row>
    <row r="481" spans="1:20">
      <c r="A481" s="2">
        <v>500488</v>
      </c>
      <c r="B481" s="2">
        <v>107727</v>
      </c>
      <c r="C481" s="8">
        <v>45431</v>
      </c>
      <c r="D481" s="2">
        <v>2004</v>
      </c>
      <c r="E481" s="2">
        <v>1</v>
      </c>
      <c r="F481" s="2">
        <v>20</v>
      </c>
      <c r="G481" s="2" t="s">
        <v>56</v>
      </c>
      <c r="H481" s="2" t="s">
        <v>21</v>
      </c>
      <c r="I481" s="2">
        <v>18</v>
      </c>
      <c r="J481" s="2" t="s">
        <v>55</v>
      </c>
      <c r="K481" s="8">
        <v>46016</v>
      </c>
      <c r="L481" s="2" t="s">
        <v>49</v>
      </c>
      <c r="M481" s="2" t="s">
        <v>46</v>
      </c>
      <c r="N481" s="2" t="s">
        <v>34</v>
      </c>
      <c r="O481" s="2">
        <v>35</v>
      </c>
      <c r="P481" s="2">
        <v>28</v>
      </c>
      <c r="Q481" s="2">
        <v>28</v>
      </c>
      <c r="R481" s="9" t="s">
        <v>30</v>
      </c>
      <c r="S481" s="9">
        <f t="shared" si="14"/>
        <v>35</v>
      </c>
      <c r="T481" s="10" t="str">
        <f t="shared" si="15"/>
        <v>High</v>
      </c>
    </row>
    <row r="482" spans="1:20">
      <c r="A482" s="2">
        <v>500489</v>
      </c>
      <c r="B482" s="2">
        <v>102142</v>
      </c>
      <c r="C482" s="8">
        <v>45487</v>
      </c>
      <c r="D482" s="2">
        <v>2012</v>
      </c>
      <c r="E482" s="2">
        <v>4</v>
      </c>
      <c r="F482" s="2">
        <v>0</v>
      </c>
      <c r="G482" s="2" t="s">
        <v>20</v>
      </c>
      <c r="H482" s="2" t="s">
        <v>21</v>
      </c>
      <c r="I482" s="2">
        <v>60</v>
      </c>
      <c r="J482" s="2" t="s">
        <v>38</v>
      </c>
      <c r="K482" s="8">
        <v>44971</v>
      </c>
      <c r="L482" s="2" t="s">
        <v>23</v>
      </c>
      <c r="M482" s="2" t="s">
        <v>36</v>
      </c>
      <c r="N482" s="2" t="s">
        <v>37</v>
      </c>
      <c r="O482" s="2">
        <v>180</v>
      </c>
      <c r="P482" s="2">
        <v>720</v>
      </c>
      <c r="Q482" s="2">
        <v>720</v>
      </c>
      <c r="R482" s="9" t="s">
        <v>30</v>
      </c>
      <c r="S482" s="9">
        <f t="shared" si="14"/>
        <v>720</v>
      </c>
      <c r="T482" s="10" t="str">
        <f t="shared" si="15"/>
        <v>Low</v>
      </c>
    </row>
    <row r="483" spans="1:20">
      <c r="A483" s="2">
        <v>500490</v>
      </c>
      <c r="B483" s="2">
        <v>109407</v>
      </c>
      <c r="C483" s="8">
        <v>45530</v>
      </c>
      <c r="D483" s="2">
        <v>2006</v>
      </c>
      <c r="E483" s="2">
        <v>1</v>
      </c>
      <c r="F483" s="2">
        <v>5</v>
      </c>
      <c r="G483" s="2" t="s">
        <v>20</v>
      </c>
      <c r="H483" s="2" t="s">
        <v>21</v>
      </c>
      <c r="I483" s="2">
        <v>60</v>
      </c>
      <c r="J483" s="2" t="s">
        <v>45</v>
      </c>
      <c r="K483" s="8">
        <v>45528</v>
      </c>
      <c r="L483" s="2" t="s">
        <v>23</v>
      </c>
      <c r="M483" s="2" t="s">
        <v>57</v>
      </c>
      <c r="N483" s="2" t="s">
        <v>34</v>
      </c>
      <c r="O483" s="2">
        <v>48</v>
      </c>
      <c r="P483" s="2">
        <v>46</v>
      </c>
      <c r="Q483" s="2">
        <v>46</v>
      </c>
      <c r="R483" s="9" t="s">
        <v>30</v>
      </c>
      <c r="S483" s="9">
        <f t="shared" si="14"/>
        <v>48</v>
      </c>
      <c r="T483" s="10" t="str">
        <f t="shared" si="15"/>
        <v>Low</v>
      </c>
    </row>
    <row r="484" spans="1:20">
      <c r="A484" s="2">
        <v>500491</v>
      </c>
      <c r="B484" s="2">
        <v>106249</v>
      </c>
      <c r="C484" s="8">
        <v>46043</v>
      </c>
      <c r="D484" s="2">
        <v>2002</v>
      </c>
      <c r="E484" s="2">
        <v>3</v>
      </c>
      <c r="F484" s="2">
        <v>5</v>
      </c>
      <c r="G484" s="2" t="s">
        <v>20</v>
      </c>
      <c r="H484" s="2" t="s">
        <v>21</v>
      </c>
      <c r="I484" s="2">
        <v>20</v>
      </c>
      <c r="J484" s="2" t="s">
        <v>32</v>
      </c>
      <c r="K484" s="8">
        <v>45751</v>
      </c>
      <c r="L484" s="2" t="s">
        <v>41</v>
      </c>
      <c r="M484" s="2" t="s">
        <v>33</v>
      </c>
      <c r="N484" s="2" t="s">
        <v>34</v>
      </c>
      <c r="O484" s="2">
        <v>62</v>
      </c>
      <c r="P484" s="2">
        <v>177</v>
      </c>
      <c r="Q484" s="2">
        <v>177</v>
      </c>
      <c r="R484" s="9" t="s">
        <v>26</v>
      </c>
      <c r="S484" s="9">
        <f t="shared" si="14"/>
        <v>186</v>
      </c>
      <c r="T484" s="10" t="str">
        <f t="shared" si="15"/>
        <v>Low</v>
      </c>
    </row>
    <row r="485" spans="1:20">
      <c r="A485" s="2">
        <v>500492</v>
      </c>
      <c r="B485" s="2">
        <v>103206</v>
      </c>
      <c r="C485" s="8">
        <v>45540</v>
      </c>
      <c r="D485" s="2">
        <v>2008</v>
      </c>
      <c r="E485" s="2">
        <v>2</v>
      </c>
      <c r="F485" s="2">
        <v>15</v>
      </c>
      <c r="G485" s="2" t="s">
        <v>20</v>
      </c>
      <c r="H485" s="2" t="s">
        <v>21</v>
      </c>
      <c r="I485" s="2">
        <v>50</v>
      </c>
      <c r="J485" s="2" t="s">
        <v>45</v>
      </c>
      <c r="K485" s="8">
        <v>45067</v>
      </c>
      <c r="L485" s="2" t="s">
        <v>23</v>
      </c>
      <c r="M485" s="2" t="s">
        <v>39</v>
      </c>
      <c r="N485" s="2" t="s">
        <v>25</v>
      </c>
      <c r="O485" s="2">
        <v>14</v>
      </c>
      <c r="P485" s="2">
        <v>24</v>
      </c>
      <c r="Q485" s="2">
        <v>24</v>
      </c>
      <c r="R485" s="9" t="s">
        <v>30</v>
      </c>
      <c r="S485" s="9">
        <f t="shared" si="14"/>
        <v>28</v>
      </c>
      <c r="T485" s="10" t="str">
        <f t="shared" si="15"/>
        <v>High</v>
      </c>
    </row>
    <row r="486" spans="1:20">
      <c r="A486" s="2">
        <v>500493</v>
      </c>
      <c r="B486" s="2">
        <v>104577</v>
      </c>
      <c r="C486" s="8">
        <v>45659</v>
      </c>
      <c r="D486" s="2">
        <v>2011</v>
      </c>
      <c r="E486" s="2">
        <v>2</v>
      </c>
      <c r="F486" s="2">
        <v>20</v>
      </c>
      <c r="G486" s="2" t="s">
        <v>20</v>
      </c>
      <c r="H486" s="2" t="s">
        <v>21</v>
      </c>
      <c r="I486" s="2">
        <v>21</v>
      </c>
      <c r="J486" s="2" t="s">
        <v>32</v>
      </c>
      <c r="K486" s="8">
        <v>45147</v>
      </c>
      <c r="L486" s="2" t="s">
        <v>23</v>
      </c>
      <c r="M486" s="2" t="s">
        <v>42</v>
      </c>
      <c r="N486" s="2" t="s">
        <v>37</v>
      </c>
      <c r="O486" s="2">
        <v>32</v>
      </c>
      <c r="P486" s="2">
        <v>51</v>
      </c>
      <c r="Q486" s="2">
        <v>51</v>
      </c>
      <c r="R486" s="9" t="s">
        <v>26</v>
      </c>
      <c r="S486" s="9">
        <f t="shared" si="14"/>
        <v>64</v>
      </c>
      <c r="T486" s="10" t="str">
        <f t="shared" si="15"/>
        <v>High</v>
      </c>
    </row>
    <row r="487" spans="1:20">
      <c r="A487" s="2">
        <v>500494</v>
      </c>
      <c r="B487" s="2">
        <v>103581</v>
      </c>
      <c r="C487" s="8">
        <v>45937</v>
      </c>
      <c r="D487" s="2">
        <v>2004</v>
      </c>
      <c r="E487" s="2">
        <v>2</v>
      </c>
      <c r="F487" s="2">
        <v>10</v>
      </c>
      <c r="G487" s="2" t="s">
        <v>20</v>
      </c>
      <c r="H487" s="2" t="s">
        <v>40</v>
      </c>
      <c r="I487" s="2">
        <v>60</v>
      </c>
      <c r="J487" s="2" t="s">
        <v>35</v>
      </c>
      <c r="K487" s="8">
        <v>45373</v>
      </c>
      <c r="L487" s="2" t="s">
        <v>41</v>
      </c>
      <c r="M487" s="2" t="s">
        <v>46</v>
      </c>
      <c r="N487" s="2" t="s">
        <v>34</v>
      </c>
      <c r="O487" s="2">
        <v>35</v>
      </c>
      <c r="P487" s="2">
        <v>63</v>
      </c>
      <c r="Q487" s="2">
        <v>63</v>
      </c>
      <c r="R487" s="9" t="s">
        <v>26</v>
      </c>
      <c r="S487" s="9">
        <f t="shared" si="14"/>
        <v>70</v>
      </c>
      <c r="T487" s="10" t="str">
        <f t="shared" si="15"/>
        <v>Average</v>
      </c>
    </row>
    <row r="488" spans="1:20">
      <c r="A488" s="2">
        <v>500495</v>
      </c>
      <c r="B488" s="2">
        <v>100929</v>
      </c>
      <c r="C488" s="8">
        <v>46067</v>
      </c>
      <c r="D488" s="2">
        <v>2020</v>
      </c>
      <c r="E488" s="2">
        <v>1</v>
      </c>
      <c r="F488" s="2">
        <v>5</v>
      </c>
      <c r="G488" s="2" t="s">
        <v>31</v>
      </c>
      <c r="H488" s="2" t="s">
        <v>21</v>
      </c>
      <c r="I488" s="2">
        <v>38</v>
      </c>
      <c r="J488" s="2" t="s">
        <v>55</v>
      </c>
      <c r="K488" s="8">
        <v>45139</v>
      </c>
      <c r="L488" s="2" t="s">
        <v>23</v>
      </c>
      <c r="M488" s="2" t="s">
        <v>62</v>
      </c>
      <c r="N488" s="2" t="s">
        <v>63</v>
      </c>
      <c r="O488" s="2">
        <v>68</v>
      </c>
      <c r="P488" s="2">
        <v>65</v>
      </c>
      <c r="Q488" s="2">
        <v>65</v>
      </c>
      <c r="R488" s="9" t="s">
        <v>26</v>
      </c>
      <c r="S488" s="9">
        <f t="shared" si="14"/>
        <v>68</v>
      </c>
      <c r="T488" s="10" t="str">
        <f t="shared" si="15"/>
        <v>Low</v>
      </c>
    </row>
    <row r="489" spans="1:20">
      <c r="A489" s="2">
        <v>500496</v>
      </c>
      <c r="B489" s="2">
        <v>101529</v>
      </c>
      <c r="C489" s="8">
        <v>45975</v>
      </c>
      <c r="D489" s="2">
        <v>2017</v>
      </c>
      <c r="E489" s="2">
        <v>1</v>
      </c>
      <c r="F489" s="2">
        <v>5</v>
      </c>
      <c r="G489" s="2" t="s">
        <v>20</v>
      </c>
      <c r="H489" s="2" t="s">
        <v>21</v>
      </c>
      <c r="I489" s="2">
        <v>18</v>
      </c>
      <c r="J489" s="2" t="s">
        <v>35</v>
      </c>
      <c r="K489" s="8">
        <v>45532</v>
      </c>
      <c r="L489" s="2" t="s">
        <v>23</v>
      </c>
      <c r="M489" s="2" t="s">
        <v>44</v>
      </c>
      <c r="N489" s="2" t="s">
        <v>25</v>
      </c>
      <c r="O489" s="2">
        <v>11</v>
      </c>
      <c r="P489" s="2">
        <v>10</v>
      </c>
      <c r="Q489" s="2">
        <v>10</v>
      </c>
      <c r="R489" s="9" t="s">
        <v>26</v>
      </c>
      <c r="S489" s="9">
        <f t="shared" si="14"/>
        <v>11</v>
      </c>
      <c r="T489" s="10" t="str">
        <f t="shared" si="15"/>
        <v>Low</v>
      </c>
    </row>
    <row r="490" spans="1:20">
      <c r="A490" s="2">
        <v>500497</v>
      </c>
      <c r="B490" s="2">
        <v>105350</v>
      </c>
      <c r="C490" s="8">
        <v>45754</v>
      </c>
      <c r="D490" s="2">
        <v>2004</v>
      </c>
      <c r="E490" s="2">
        <v>1</v>
      </c>
      <c r="F490" s="2">
        <v>15</v>
      </c>
      <c r="G490" s="2" t="s">
        <v>56</v>
      </c>
      <c r="H490" s="2" t="s">
        <v>21</v>
      </c>
      <c r="I490" s="2">
        <v>45</v>
      </c>
      <c r="J490" s="2" t="s">
        <v>22</v>
      </c>
      <c r="K490" s="8">
        <v>45704</v>
      </c>
      <c r="L490" s="2" t="s">
        <v>23</v>
      </c>
      <c r="M490" s="2" t="s">
        <v>46</v>
      </c>
      <c r="N490" s="2" t="s">
        <v>34</v>
      </c>
      <c r="O490" s="2">
        <v>35</v>
      </c>
      <c r="P490" s="2">
        <v>30</v>
      </c>
      <c r="Q490" s="2">
        <v>30</v>
      </c>
      <c r="R490" s="9" t="s">
        <v>26</v>
      </c>
      <c r="S490" s="9">
        <f t="shared" si="14"/>
        <v>35</v>
      </c>
      <c r="T490" s="10" t="str">
        <f t="shared" si="15"/>
        <v>High</v>
      </c>
    </row>
    <row r="491" spans="1:20">
      <c r="A491" s="2">
        <v>500498</v>
      </c>
      <c r="B491" s="2">
        <v>109959</v>
      </c>
      <c r="C491" s="8">
        <v>45294</v>
      </c>
      <c r="D491" s="2">
        <v>2017</v>
      </c>
      <c r="E491" s="2">
        <v>3</v>
      </c>
      <c r="F491" s="2">
        <v>10</v>
      </c>
      <c r="G491" s="2" t="s">
        <v>20</v>
      </c>
      <c r="H491" s="2" t="s">
        <v>47</v>
      </c>
      <c r="I491" s="2">
        <v>32</v>
      </c>
      <c r="J491" s="2" t="s">
        <v>55</v>
      </c>
      <c r="K491" s="8">
        <v>44951</v>
      </c>
      <c r="L491" s="2" t="s">
        <v>41</v>
      </c>
      <c r="M491" s="2" t="s">
        <v>44</v>
      </c>
      <c r="N491" s="2" t="s">
        <v>25</v>
      </c>
      <c r="O491" s="2">
        <v>11</v>
      </c>
      <c r="P491" s="2">
        <v>30</v>
      </c>
      <c r="Q491" s="2">
        <v>30</v>
      </c>
      <c r="R491" s="9" t="s">
        <v>30</v>
      </c>
      <c r="S491" s="9">
        <f t="shared" si="14"/>
        <v>33</v>
      </c>
      <c r="T491" s="10" t="str">
        <f t="shared" si="15"/>
        <v>Average</v>
      </c>
    </row>
    <row r="492" spans="1:20">
      <c r="A492" s="2">
        <v>500499</v>
      </c>
      <c r="B492" s="2">
        <v>101752</v>
      </c>
      <c r="C492" s="8">
        <v>45428</v>
      </c>
      <c r="D492" s="2">
        <v>2004</v>
      </c>
      <c r="E492" s="2">
        <v>2</v>
      </c>
      <c r="F492" s="2">
        <v>0</v>
      </c>
      <c r="G492" s="2" t="s">
        <v>27</v>
      </c>
      <c r="H492" s="2" t="s">
        <v>21</v>
      </c>
      <c r="I492" s="2">
        <v>60</v>
      </c>
      <c r="J492" s="2" t="s">
        <v>32</v>
      </c>
      <c r="K492" s="8">
        <v>45643</v>
      </c>
      <c r="L492" s="2" t="s">
        <v>23</v>
      </c>
      <c r="M492" s="2" t="s">
        <v>46</v>
      </c>
      <c r="N492" s="2" t="s">
        <v>34</v>
      </c>
      <c r="O492" s="2">
        <v>35</v>
      </c>
      <c r="P492" s="2">
        <v>70</v>
      </c>
      <c r="Q492" s="2">
        <v>70</v>
      </c>
      <c r="R492" s="9" t="s">
        <v>30</v>
      </c>
      <c r="S492" s="9">
        <f t="shared" si="14"/>
        <v>70</v>
      </c>
      <c r="T492" s="10" t="str">
        <f t="shared" si="15"/>
        <v>Low</v>
      </c>
    </row>
    <row r="493" spans="1:20">
      <c r="A493" s="2">
        <v>500500</v>
      </c>
      <c r="B493" s="2">
        <v>109538</v>
      </c>
      <c r="C493" s="8">
        <v>45511</v>
      </c>
      <c r="D493" s="2">
        <v>2016</v>
      </c>
      <c r="E493" s="2">
        <v>1</v>
      </c>
      <c r="F493" s="2">
        <v>0</v>
      </c>
      <c r="G493" s="2" t="s">
        <v>20</v>
      </c>
      <c r="H493" s="2" t="s">
        <v>21</v>
      </c>
      <c r="I493" s="2">
        <v>28</v>
      </c>
      <c r="J493" s="2" t="s">
        <v>28</v>
      </c>
      <c r="K493" s="8">
        <v>45780</v>
      </c>
      <c r="L493" s="2" t="s">
        <v>41</v>
      </c>
      <c r="M493" s="2" t="s">
        <v>67</v>
      </c>
      <c r="N493" s="2" t="s">
        <v>34</v>
      </c>
      <c r="O493" s="2">
        <v>21</v>
      </c>
      <c r="P493" s="2">
        <v>21</v>
      </c>
      <c r="Q493" s="2">
        <v>21</v>
      </c>
      <c r="R493" s="9" t="s">
        <v>30</v>
      </c>
      <c r="S493" s="9">
        <f t="shared" si="14"/>
        <v>21</v>
      </c>
      <c r="T493" s="10" t="str">
        <f t="shared" si="15"/>
        <v>Low</v>
      </c>
    </row>
    <row r="494" spans="1:20">
      <c r="A494" s="2">
        <v>500501</v>
      </c>
      <c r="B494" s="2">
        <v>101637</v>
      </c>
      <c r="C494" s="8">
        <v>45649</v>
      </c>
      <c r="D494" s="2">
        <v>2004</v>
      </c>
      <c r="E494" s="2">
        <v>1</v>
      </c>
      <c r="F494" s="2">
        <v>10</v>
      </c>
      <c r="G494" s="2" t="s">
        <v>20</v>
      </c>
      <c r="H494" s="2" t="s">
        <v>21</v>
      </c>
      <c r="I494" s="2">
        <v>25</v>
      </c>
      <c r="J494" s="2" t="s">
        <v>32</v>
      </c>
      <c r="K494" s="8">
        <v>45687</v>
      </c>
      <c r="L494" s="2" t="s">
        <v>41</v>
      </c>
      <c r="M494" s="2" t="s">
        <v>46</v>
      </c>
      <c r="N494" s="2" t="s">
        <v>34</v>
      </c>
      <c r="O494" s="2">
        <v>35</v>
      </c>
      <c r="P494" s="2">
        <v>32</v>
      </c>
      <c r="Q494" s="2">
        <v>32</v>
      </c>
      <c r="R494" s="9" t="s">
        <v>30</v>
      </c>
      <c r="S494" s="9">
        <f t="shared" si="14"/>
        <v>35</v>
      </c>
      <c r="T494" s="10" t="str">
        <f t="shared" si="15"/>
        <v>Average</v>
      </c>
    </row>
    <row r="495" spans="1:20">
      <c r="A495" s="2">
        <v>500502</v>
      </c>
      <c r="B495" s="2">
        <v>107089</v>
      </c>
      <c r="C495" s="8">
        <v>45605</v>
      </c>
      <c r="D495" s="2">
        <v>2007</v>
      </c>
      <c r="E495" s="2">
        <v>1</v>
      </c>
      <c r="F495" s="2">
        <v>0</v>
      </c>
      <c r="G495" s="2" t="s">
        <v>20</v>
      </c>
      <c r="H495" s="2" t="s">
        <v>40</v>
      </c>
      <c r="I495" s="2">
        <v>24</v>
      </c>
      <c r="J495" s="2" t="s">
        <v>32</v>
      </c>
      <c r="K495" s="8">
        <v>44992</v>
      </c>
      <c r="L495" s="2" t="s">
        <v>41</v>
      </c>
      <c r="M495" s="2" t="s">
        <v>61</v>
      </c>
      <c r="N495" s="2" t="s">
        <v>34</v>
      </c>
      <c r="O495" s="2">
        <v>75</v>
      </c>
      <c r="P495" s="2">
        <v>75</v>
      </c>
      <c r="Q495" s="2">
        <v>75</v>
      </c>
      <c r="R495" s="9" t="s">
        <v>30</v>
      </c>
      <c r="S495" s="9">
        <f t="shared" si="14"/>
        <v>75</v>
      </c>
      <c r="T495" s="10" t="str">
        <f t="shared" si="15"/>
        <v>Low</v>
      </c>
    </row>
    <row r="496" spans="1:20">
      <c r="A496" s="2">
        <v>500503</v>
      </c>
      <c r="B496" s="2">
        <v>109219</v>
      </c>
      <c r="C496" s="8">
        <v>45736</v>
      </c>
      <c r="D496" s="2">
        <v>2015</v>
      </c>
      <c r="E496" s="2">
        <v>1</v>
      </c>
      <c r="F496" s="2">
        <v>0</v>
      </c>
      <c r="G496" s="2" t="s">
        <v>27</v>
      </c>
      <c r="H496" s="2" t="s">
        <v>21</v>
      </c>
      <c r="I496" s="2">
        <v>23</v>
      </c>
      <c r="J496" s="2" t="s">
        <v>38</v>
      </c>
      <c r="K496" s="8">
        <v>45641</v>
      </c>
      <c r="L496" s="2" t="s">
        <v>23</v>
      </c>
      <c r="M496" s="2" t="s">
        <v>66</v>
      </c>
      <c r="N496" s="2" t="s">
        <v>34</v>
      </c>
      <c r="O496" s="2">
        <v>58</v>
      </c>
      <c r="P496" s="2">
        <v>58</v>
      </c>
      <c r="Q496" s="2">
        <v>58</v>
      </c>
      <c r="R496" s="9" t="s">
        <v>26</v>
      </c>
      <c r="S496" s="9">
        <f t="shared" si="14"/>
        <v>58</v>
      </c>
      <c r="T496" s="10" t="str">
        <f t="shared" si="15"/>
        <v>Low</v>
      </c>
    </row>
    <row r="497" spans="1:20">
      <c r="A497" s="2">
        <v>500505</v>
      </c>
      <c r="B497" s="2">
        <v>102917</v>
      </c>
      <c r="C497" s="8">
        <v>45919</v>
      </c>
      <c r="D497" s="2">
        <v>2003</v>
      </c>
      <c r="E497" s="2">
        <v>2</v>
      </c>
      <c r="F497" s="2">
        <v>30</v>
      </c>
      <c r="G497" s="2" t="s">
        <v>56</v>
      </c>
      <c r="H497" s="2" t="s">
        <v>21</v>
      </c>
      <c r="I497" s="2">
        <v>47</v>
      </c>
      <c r="J497" s="2" t="s">
        <v>55</v>
      </c>
      <c r="K497" s="8">
        <v>45156</v>
      </c>
      <c r="L497" s="2" t="s">
        <v>49</v>
      </c>
      <c r="M497" s="2" t="s">
        <v>24</v>
      </c>
      <c r="N497" s="2" t="s">
        <v>25</v>
      </c>
      <c r="O497" s="2">
        <v>9</v>
      </c>
      <c r="P497" s="2">
        <v>13</v>
      </c>
      <c r="Q497" s="2">
        <v>13</v>
      </c>
      <c r="R497" s="9" t="s">
        <v>26</v>
      </c>
      <c r="S497" s="9">
        <f t="shared" si="14"/>
        <v>18</v>
      </c>
      <c r="T497" s="10" t="str">
        <f t="shared" si="15"/>
        <v>High</v>
      </c>
    </row>
    <row r="498" spans="1:20">
      <c r="A498" s="2">
        <v>500506</v>
      </c>
      <c r="B498" s="2">
        <v>105130</v>
      </c>
      <c r="C498" s="8">
        <v>45337</v>
      </c>
      <c r="D498" s="2">
        <v>2017</v>
      </c>
      <c r="E498" s="2">
        <v>1</v>
      </c>
      <c r="F498" s="2">
        <v>0</v>
      </c>
      <c r="G498" s="2" t="s">
        <v>20</v>
      </c>
      <c r="H498" s="2" t="s">
        <v>21</v>
      </c>
      <c r="I498" s="2">
        <v>46</v>
      </c>
      <c r="J498" s="2" t="s">
        <v>45</v>
      </c>
      <c r="K498" s="8">
        <v>45598</v>
      </c>
      <c r="L498" s="2" t="s">
        <v>23</v>
      </c>
      <c r="M498" s="2" t="s">
        <v>44</v>
      </c>
      <c r="N498" s="2" t="s">
        <v>25</v>
      </c>
      <c r="O498" s="2">
        <v>11</v>
      </c>
      <c r="P498" s="2">
        <v>11</v>
      </c>
      <c r="Q498" s="2">
        <v>11</v>
      </c>
      <c r="R498" s="9" t="s">
        <v>30</v>
      </c>
      <c r="S498" s="9">
        <f t="shared" si="14"/>
        <v>11</v>
      </c>
      <c r="T498" s="10" t="str">
        <f t="shared" si="15"/>
        <v>Low</v>
      </c>
    </row>
    <row r="499" spans="1:20">
      <c r="A499" s="2">
        <v>500507</v>
      </c>
      <c r="B499" s="2">
        <v>105403</v>
      </c>
      <c r="C499" s="8">
        <v>46197</v>
      </c>
      <c r="D499" s="2">
        <v>2008</v>
      </c>
      <c r="E499" s="2">
        <v>4</v>
      </c>
      <c r="F499" s="2">
        <v>5</v>
      </c>
      <c r="G499" s="2" t="s">
        <v>56</v>
      </c>
      <c r="H499" s="2" t="s">
        <v>47</v>
      </c>
      <c r="I499" s="2">
        <v>50</v>
      </c>
      <c r="J499" s="2" t="s">
        <v>43</v>
      </c>
      <c r="K499" s="8">
        <v>45905</v>
      </c>
      <c r="L499" s="2" t="s">
        <v>23</v>
      </c>
      <c r="M499" s="2" t="s">
        <v>39</v>
      </c>
      <c r="N499" s="2" t="s">
        <v>25</v>
      </c>
      <c r="O499" s="2">
        <v>14</v>
      </c>
      <c r="P499" s="2">
        <v>53</v>
      </c>
      <c r="Q499" s="2">
        <v>53</v>
      </c>
      <c r="R499" s="9" t="s">
        <v>26</v>
      </c>
      <c r="S499" s="9">
        <f t="shared" si="14"/>
        <v>56</v>
      </c>
      <c r="T499" s="10" t="str">
        <f t="shared" si="15"/>
        <v>Low</v>
      </c>
    </row>
    <row r="500" spans="1:20">
      <c r="A500" s="2">
        <v>500508</v>
      </c>
      <c r="B500" s="2">
        <v>108728</v>
      </c>
      <c r="C500" s="8">
        <v>46020</v>
      </c>
      <c r="D500" s="2">
        <v>2011</v>
      </c>
      <c r="E500" s="2">
        <v>1</v>
      </c>
      <c r="F500" s="2">
        <v>0</v>
      </c>
      <c r="G500" s="2" t="s">
        <v>56</v>
      </c>
      <c r="H500" s="2" t="s">
        <v>21</v>
      </c>
      <c r="I500" s="2">
        <v>64</v>
      </c>
      <c r="J500" s="2" t="s">
        <v>48</v>
      </c>
      <c r="K500" s="8">
        <v>45180</v>
      </c>
      <c r="L500" s="2" t="s">
        <v>41</v>
      </c>
      <c r="M500" s="2" t="s">
        <v>42</v>
      </c>
      <c r="N500" s="2" t="s">
        <v>37</v>
      </c>
      <c r="O500" s="2">
        <v>32</v>
      </c>
      <c r="P500" s="2">
        <v>32</v>
      </c>
      <c r="Q500" s="2">
        <v>32</v>
      </c>
      <c r="R500" s="9" t="s">
        <v>26</v>
      </c>
      <c r="S500" s="9">
        <f t="shared" si="14"/>
        <v>32</v>
      </c>
      <c r="T500" s="10" t="str">
        <f t="shared" si="15"/>
        <v>Low</v>
      </c>
    </row>
    <row r="501" spans="1:20">
      <c r="A501" s="2">
        <v>500509</v>
      </c>
      <c r="B501" s="2">
        <v>103213</v>
      </c>
      <c r="C501" s="8">
        <v>45581</v>
      </c>
      <c r="D501" s="2">
        <v>2017</v>
      </c>
      <c r="E501" s="2">
        <v>2</v>
      </c>
      <c r="F501" s="2">
        <v>5</v>
      </c>
      <c r="G501" s="2" t="s">
        <v>20</v>
      </c>
      <c r="H501" s="2" t="s">
        <v>21</v>
      </c>
      <c r="I501" s="2">
        <v>34</v>
      </c>
      <c r="J501" s="2" t="s">
        <v>48</v>
      </c>
      <c r="K501" s="8">
        <v>45132</v>
      </c>
      <c r="L501" s="2" t="s">
        <v>23</v>
      </c>
      <c r="M501" s="2" t="s">
        <v>44</v>
      </c>
      <c r="N501" s="2" t="s">
        <v>25</v>
      </c>
      <c r="O501" s="2">
        <v>11</v>
      </c>
      <c r="P501" s="2">
        <v>21</v>
      </c>
      <c r="Q501" s="2">
        <v>21</v>
      </c>
      <c r="R501" s="9" t="s">
        <v>30</v>
      </c>
      <c r="S501" s="9">
        <f t="shared" si="14"/>
        <v>22</v>
      </c>
      <c r="T501" s="10" t="str">
        <f t="shared" si="15"/>
        <v>Low</v>
      </c>
    </row>
    <row r="502" spans="1:20">
      <c r="A502" s="2">
        <v>500510</v>
      </c>
      <c r="B502" s="2">
        <v>100890</v>
      </c>
      <c r="C502" s="8">
        <v>45634</v>
      </c>
      <c r="D502" s="2">
        <v>2007</v>
      </c>
      <c r="E502" s="2">
        <v>1</v>
      </c>
      <c r="F502" s="2">
        <v>5</v>
      </c>
      <c r="G502" s="2" t="s">
        <v>31</v>
      </c>
      <c r="H502" s="2" t="s">
        <v>21</v>
      </c>
      <c r="I502" s="2">
        <v>30</v>
      </c>
      <c r="J502" s="2" t="s">
        <v>32</v>
      </c>
      <c r="K502" s="8">
        <v>45919</v>
      </c>
      <c r="L502" s="2" t="s">
        <v>23</v>
      </c>
      <c r="M502" s="2" t="s">
        <v>61</v>
      </c>
      <c r="N502" s="2" t="s">
        <v>34</v>
      </c>
      <c r="O502" s="2">
        <v>75</v>
      </c>
      <c r="P502" s="2">
        <v>71</v>
      </c>
      <c r="Q502" s="2">
        <v>71</v>
      </c>
      <c r="R502" s="9" t="s">
        <v>30</v>
      </c>
      <c r="S502" s="9">
        <f t="shared" si="14"/>
        <v>75</v>
      </c>
      <c r="T502" s="10" t="str">
        <f t="shared" si="15"/>
        <v>Low</v>
      </c>
    </row>
    <row r="503" spans="1:20">
      <c r="A503" s="2">
        <v>500511</v>
      </c>
      <c r="B503" s="2">
        <v>106523</v>
      </c>
      <c r="C503" s="8">
        <v>46157</v>
      </c>
      <c r="D503" s="2">
        <v>2005</v>
      </c>
      <c r="E503" s="2">
        <v>1</v>
      </c>
      <c r="F503" s="2">
        <v>10</v>
      </c>
      <c r="G503" s="2" t="s">
        <v>27</v>
      </c>
      <c r="H503" s="2" t="s">
        <v>21</v>
      </c>
      <c r="I503" s="2">
        <v>25</v>
      </c>
      <c r="J503" s="2" t="s">
        <v>55</v>
      </c>
      <c r="K503" s="8">
        <v>45634</v>
      </c>
      <c r="L503" s="2" t="s">
        <v>23</v>
      </c>
      <c r="M503" s="2" t="s">
        <v>51</v>
      </c>
      <c r="N503" s="2" t="s">
        <v>25</v>
      </c>
      <c r="O503" s="2">
        <v>28</v>
      </c>
      <c r="P503" s="2">
        <v>25</v>
      </c>
      <c r="Q503" s="2">
        <v>25</v>
      </c>
      <c r="R503" s="9" t="s">
        <v>26</v>
      </c>
      <c r="S503" s="9">
        <f t="shared" si="14"/>
        <v>28</v>
      </c>
      <c r="T503" s="10" t="str">
        <f t="shared" si="15"/>
        <v>Average</v>
      </c>
    </row>
    <row r="504" spans="1:20">
      <c r="A504" s="2">
        <v>500512</v>
      </c>
      <c r="B504" s="2">
        <v>104203</v>
      </c>
      <c r="C504" s="8">
        <v>46122</v>
      </c>
      <c r="D504" s="2">
        <v>2019</v>
      </c>
      <c r="E504" s="2">
        <v>1</v>
      </c>
      <c r="F504" s="2">
        <v>10</v>
      </c>
      <c r="G504" s="2" t="s">
        <v>20</v>
      </c>
      <c r="H504" s="2" t="s">
        <v>21</v>
      </c>
      <c r="I504" s="2">
        <v>34</v>
      </c>
      <c r="J504" s="2" t="s">
        <v>43</v>
      </c>
      <c r="K504" s="8">
        <v>45190</v>
      </c>
      <c r="L504" s="2" t="s">
        <v>23</v>
      </c>
      <c r="M504" s="2" t="s">
        <v>60</v>
      </c>
      <c r="N504" s="2" t="s">
        <v>34</v>
      </c>
      <c r="O504" s="2">
        <v>260</v>
      </c>
      <c r="P504" s="2">
        <v>234</v>
      </c>
      <c r="Q504" s="2">
        <v>234</v>
      </c>
      <c r="R504" s="9" t="s">
        <v>26</v>
      </c>
      <c r="S504" s="9">
        <f t="shared" si="14"/>
        <v>260</v>
      </c>
      <c r="T504" s="10" t="str">
        <f t="shared" si="15"/>
        <v>Average</v>
      </c>
    </row>
    <row r="505" spans="1:20">
      <c r="A505" s="2">
        <v>500513</v>
      </c>
      <c r="B505" s="2">
        <v>102015</v>
      </c>
      <c r="C505" s="8">
        <v>45631</v>
      </c>
      <c r="D505" s="2">
        <v>2002</v>
      </c>
      <c r="E505" s="2">
        <v>3</v>
      </c>
      <c r="F505" s="2">
        <v>20</v>
      </c>
      <c r="G505" s="2" t="s">
        <v>31</v>
      </c>
      <c r="H505" s="2" t="s">
        <v>21</v>
      </c>
      <c r="I505" s="2">
        <v>49</v>
      </c>
      <c r="J505" s="2" t="s">
        <v>32</v>
      </c>
      <c r="K505" s="8">
        <v>45450</v>
      </c>
      <c r="L505" s="2" t="s">
        <v>41</v>
      </c>
      <c r="M505" s="2" t="s">
        <v>33</v>
      </c>
      <c r="N505" s="2" t="s">
        <v>34</v>
      </c>
      <c r="O505" s="2">
        <v>62</v>
      </c>
      <c r="P505" s="2">
        <v>149</v>
      </c>
      <c r="Q505" s="2">
        <v>149</v>
      </c>
      <c r="R505" s="9" t="s">
        <v>30</v>
      </c>
      <c r="S505" s="9">
        <f t="shared" si="14"/>
        <v>186</v>
      </c>
      <c r="T505" s="10" t="str">
        <f t="shared" si="15"/>
        <v>High</v>
      </c>
    </row>
    <row r="506" spans="1:20">
      <c r="A506" s="2">
        <v>500514</v>
      </c>
      <c r="B506" s="2">
        <v>100929</v>
      </c>
      <c r="C506" s="8">
        <v>45343</v>
      </c>
      <c r="D506" s="2">
        <v>2010</v>
      </c>
      <c r="E506" s="2">
        <v>1</v>
      </c>
      <c r="F506" s="2">
        <v>10</v>
      </c>
      <c r="G506" s="2" t="s">
        <v>20</v>
      </c>
      <c r="H506" s="2" t="s">
        <v>21</v>
      </c>
      <c r="I506" s="2">
        <v>38</v>
      </c>
      <c r="J506" s="2" t="s">
        <v>55</v>
      </c>
      <c r="K506" s="8">
        <v>45139</v>
      </c>
      <c r="L506" s="2" t="s">
        <v>23</v>
      </c>
      <c r="M506" s="2" t="s">
        <v>58</v>
      </c>
      <c r="N506" s="2" t="s">
        <v>59</v>
      </c>
      <c r="O506" s="2">
        <v>55</v>
      </c>
      <c r="P506" s="2">
        <v>50</v>
      </c>
      <c r="Q506" s="2">
        <v>50</v>
      </c>
      <c r="R506" s="9" t="s">
        <v>30</v>
      </c>
      <c r="S506" s="9">
        <f t="shared" si="14"/>
        <v>55</v>
      </c>
      <c r="T506" s="10" t="str">
        <f t="shared" si="15"/>
        <v>Average</v>
      </c>
    </row>
    <row r="507" spans="1:20">
      <c r="A507" s="2">
        <v>500515</v>
      </c>
      <c r="B507" s="2">
        <v>103303</v>
      </c>
      <c r="C507" s="8">
        <v>46188</v>
      </c>
      <c r="D507" s="2">
        <v>2007</v>
      </c>
      <c r="E507" s="2">
        <v>2</v>
      </c>
      <c r="F507" s="2">
        <v>5</v>
      </c>
      <c r="G507" s="2" t="s">
        <v>20</v>
      </c>
      <c r="H507" s="2" t="s">
        <v>21</v>
      </c>
      <c r="I507" s="2">
        <v>46</v>
      </c>
      <c r="J507" s="2" t="s">
        <v>32</v>
      </c>
      <c r="K507" s="8">
        <v>45687</v>
      </c>
      <c r="L507" s="2" t="s">
        <v>41</v>
      </c>
      <c r="M507" s="2" t="s">
        <v>61</v>
      </c>
      <c r="N507" s="2" t="s">
        <v>34</v>
      </c>
      <c r="O507" s="2">
        <v>75</v>
      </c>
      <c r="P507" s="2">
        <v>142</v>
      </c>
      <c r="Q507" s="2">
        <v>142</v>
      </c>
      <c r="R507" s="9" t="s">
        <v>26</v>
      </c>
      <c r="S507" s="9">
        <f t="shared" si="14"/>
        <v>150</v>
      </c>
      <c r="T507" s="10" t="str">
        <f t="shared" si="15"/>
        <v>Low</v>
      </c>
    </row>
    <row r="508" spans="1:20">
      <c r="A508" s="2">
        <v>500516</v>
      </c>
      <c r="B508" s="2">
        <v>108958</v>
      </c>
      <c r="C508" s="8">
        <v>45856</v>
      </c>
      <c r="D508" s="2">
        <v>2005</v>
      </c>
      <c r="E508" s="2">
        <v>1</v>
      </c>
      <c r="F508" s="2">
        <v>0</v>
      </c>
      <c r="G508" s="2" t="s">
        <v>31</v>
      </c>
      <c r="H508" s="2" t="s">
        <v>21</v>
      </c>
      <c r="I508" s="2">
        <v>57</v>
      </c>
      <c r="J508" s="2" t="s">
        <v>45</v>
      </c>
      <c r="K508" s="8">
        <v>45195</v>
      </c>
      <c r="L508" s="2" t="s">
        <v>23</v>
      </c>
      <c r="M508" s="2" t="s">
        <v>51</v>
      </c>
      <c r="N508" s="2" t="s">
        <v>25</v>
      </c>
      <c r="O508" s="2">
        <v>28</v>
      </c>
      <c r="P508" s="2">
        <v>28</v>
      </c>
      <c r="Q508" s="2">
        <v>28</v>
      </c>
      <c r="R508" s="9" t="s">
        <v>26</v>
      </c>
      <c r="S508" s="9">
        <f t="shared" si="14"/>
        <v>28</v>
      </c>
      <c r="T508" s="10" t="str">
        <f t="shared" si="15"/>
        <v>Low</v>
      </c>
    </row>
    <row r="509" spans="1:20">
      <c r="A509" s="2">
        <v>500517</v>
      </c>
      <c r="B509" s="2">
        <v>100434</v>
      </c>
      <c r="C509" s="8">
        <v>45890</v>
      </c>
      <c r="D509" s="2">
        <v>2002</v>
      </c>
      <c r="E509" s="2">
        <v>3</v>
      </c>
      <c r="F509" s="2">
        <v>0</v>
      </c>
      <c r="G509" s="2" t="s">
        <v>20</v>
      </c>
      <c r="H509" s="2" t="s">
        <v>47</v>
      </c>
      <c r="I509" s="2">
        <v>24</v>
      </c>
      <c r="J509" s="2" t="s">
        <v>43</v>
      </c>
      <c r="K509" s="8">
        <v>45404</v>
      </c>
      <c r="L509" s="2" t="s">
        <v>23</v>
      </c>
      <c r="M509" s="2" t="s">
        <v>33</v>
      </c>
      <c r="N509" s="2" t="s">
        <v>34</v>
      </c>
      <c r="O509" s="2">
        <v>62</v>
      </c>
      <c r="P509" s="2">
        <v>186</v>
      </c>
      <c r="Q509" s="2">
        <v>186</v>
      </c>
      <c r="R509" s="9" t="s">
        <v>26</v>
      </c>
      <c r="S509" s="9">
        <f t="shared" si="14"/>
        <v>186</v>
      </c>
      <c r="T509" s="10" t="str">
        <f t="shared" si="15"/>
        <v>Low</v>
      </c>
    </row>
    <row r="510" spans="1:20">
      <c r="A510" s="2">
        <v>500518</v>
      </c>
      <c r="B510" s="2">
        <v>106348</v>
      </c>
      <c r="C510" s="8">
        <v>45529</v>
      </c>
      <c r="D510" s="2">
        <v>2017</v>
      </c>
      <c r="E510" s="2">
        <v>3</v>
      </c>
      <c r="F510" s="2">
        <v>5</v>
      </c>
      <c r="G510" s="2" t="s">
        <v>27</v>
      </c>
      <c r="H510" s="2" t="s">
        <v>21</v>
      </c>
      <c r="I510" s="2">
        <v>65</v>
      </c>
      <c r="J510" s="2" t="s">
        <v>32</v>
      </c>
      <c r="K510" s="8">
        <v>45927</v>
      </c>
      <c r="L510" s="2" t="s">
        <v>41</v>
      </c>
      <c r="M510" s="2" t="s">
        <v>44</v>
      </c>
      <c r="N510" s="2" t="s">
        <v>25</v>
      </c>
      <c r="O510" s="2">
        <v>11</v>
      </c>
      <c r="P510" s="2">
        <v>31</v>
      </c>
      <c r="Q510" s="2">
        <v>31</v>
      </c>
      <c r="R510" s="9" t="s">
        <v>30</v>
      </c>
      <c r="S510" s="9">
        <f t="shared" si="14"/>
        <v>33</v>
      </c>
      <c r="T510" s="10" t="str">
        <f t="shared" si="15"/>
        <v>Low</v>
      </c>
    </row>
    <row r="511" spans="1:20">
      <c r="A511" s="2">
        <v>500519</v>
      </c>
      <c r="B511" s="2">
        <v>102567</v>
      </c>
      <c r="C511" s="8">
        <v>45999</v>
      </c>
      <c r="D511" s="2">
        <v>2013</v>
      </c>
      <c r="E511" s="2">
        <v>2</v>
      </c>
      <c r="F511" s="2">
        <v>0</v>
      </c>
      <c r="G511" s="2" t="s">
        <v>31</v>
      </c>
      <c r="H511" s="2" t="s">
        <v>21</v>
      </c>
      <c r="I511" s="2">
        <v>56</v>
      </c>
      <c r="J511" s="2" t="s">
        <v>32</v>
      </c>
      <c r="K511" s="8">
        <v>45816</v>
      </c>
      <c r="L511" s="2" t="s">
        <v>23</v>
      </c>
      <c r="M511" s="2" t="s">
        <v>53</v>
      </c>
      <c r="N511" s="2" t="s">
        <v>54</v>
      </c>
      <c r="O511" s="2">
        <v>7</v>
      </c>
      <c r="P511" s="2">
        <v>14</v>
      </c>
      <c r="Q511" s="2">
        <v>14</v>
      </c>
      <c r="R511" s="9" t="s">
        <v>26</v>
      </c>
      <c r="S511" s="9">
        <f t="shared" si="14"/>
        <v>14</v>
      </c>
      <c r="T511" s="10" t="str">
        <f t="shared" si="15"/>
        <v>Low</v>
      </c>
    </row>
    <row r="512" spans="1:20">
      <c r="A512" s="2">
        <v>500520</v>
      </c>
      <c r="B512" s="2">
        <v>106202</v>
      </c>
      <c r="C512" s="8">
        <v>45773</v>
      </c>
      <c r="D512" s="2">
        <v>2008</v>
      </c>
      <c r="E512" s="2">
        <v>1</v>
      </c>
      <c r="F512" s="2">
        <v>0</v>
      </c>
      <c r="G512" s="2" t="s">
        <v>20</v>
      </c>
      <c r="H512" s="2" t="s">
        <v>21</v>
      </c>
      <c r="I512" s="2">
        <v>63</v>
      </c>
      <c r="J512" s="2" t="s">
        <v>32</v>
      </c>
      <c r="K512" s="8">
        <v>45346</v>
      </c>
      <c r="L512" s="2" t="s">
        <v>41</v>
      </c>
      <c r="M512" s="2" t="s">
        <v>39</v>
      </c>
      <c r="N512" s="2" t="s">
        <v>25</v>
      </c>
      <c r="O512" s="2">
        <v>14</v>
      </c>
      <c r="P512" s="2">
        <v>14</v>
      </c>
      <c r="Q512" s="2">
        <v>14</v>
      </c>
      <c r="R512" s="9" t="s">
        <v>26</v>
      </c>
      <c r="S512" s="9">
        <f t="shared" si="14"/>
        <v>14</v>
      </c>
      <c r="T512" s="10" t="str">
        <f t="shared" si="15"/>
        <v>Low</v>
      </c>
    </row>
    <row r="513" spans="1:20">
      <c r="A513" s="2">
        <v>500521</v>
      </c>
      <c r="B513" s="2">
        <v>108727</v>
      </c>
      <c r="C513" s="8">
        <v>45698</v>
      </c>
      <c r="D513" s="2">
        <v>2016</v>
      </c>
      <c r="E513" s="2">
        <v>1</v>
      </c>
      <c r="F513" s="2">
        <v>10</v>
      </c>
      <c r="G513" s="2" t="s">
        <v>56</v>
      </c>
      <c r="H513" s="2" t="s">
        <v>21</v>
      </c>
      <c r="I513" s="2">
        <v>60</v>
      </c>
      <c r="J513" s="2" t="s">
        <v>43</v>
      </c>
      <c r="K513" s="8">
        <v>45773</v>
      </c>
      <c r="L513" s="2" t="s">
        <v>41</v>
      </c>
      <c r="M513" s="2" t="s">
        <v>67</v>
      </c>
      <c r="N513" s="2" t="s">
        <v>34</v>
      </c>
      <c r="O513" s="2">
        <v>21</v>
      </c>
      <c r="P513" s="2">
        <v>19</v>
      </c>
      <c r="Q513" s="2">
        <v>19</v>
      </c>
      <c r="R513" s="9" t="s">
        <v>26</v>
      </c>
      <c r="S513" s="9">
        <f t="shared" si="14"/>
        <v>21</v>
      </c>
      <c r="T513" s="10" t="str">
        <f t="shared" si="15"/>
        <v>Average</v>
      </c>
    </row>
    <row r="514" spans="1:20">
      <c r="A514" s="2">
        <v>500522</v>
      </c>
      <c r="B514" s="2">
        <v>103168</v>
      </c>
      <c r="C514" s="8">
        <v>45932</v>
      </c>
      <c r="D514" s="2">
        <v>2008</v>
      </c>
      <c r="E514" s="2">
        <v>2</v>
      </c>
      <c r="F514" s="2">
        <v>15</v>
      </c>
      <c r="G514" s="2" t="s">
        <v>56</v>
      </c>
      <c r="H514" s="2" t="s">
        <v>21</v>
      </c>
      <c r="I514" s="2">
        <v>30</v>
      </c>
      <c r="J514" s="2" t="s">
        <v>28</v>
      </c>
      <c r="K514" s="8">
        <v>45813</v>
      </c>
      <c r="L514" s="2" t="s">
        <v>23</v>
      </c>
      <c r="M514" s="2" t="s">
        <v>39</v>
      </c>
      <c r="N514" s="2" t="s">
        <v>25</v>
      </c>
      <c r="O514" s="2">
        <v>14</v>
      </c>
      <c r="P514" s="2">
        <v>24</v>
      </c>
      <c r="Q514" s="2">
        <v>24</v>
      </c>
      <c r="R514" s="9" t="s">
        <v>26</v>
      </c>
      <c r="S514" s="9">
        <f t="shared" ref="S514:S577" si="16">SUM(E514*O514)</f>
        <v>28</v>
      </c>
      <c r="T514" s="10" t="str">
        <f t="shared" ref="T514:T577" si="17">IF(F514&lt;=5,"Low",IF(F514&lt;=10,"Average",IF(F514&gt;10,"High")))</f>
        <v>High</v>
      </c>
    </row>
    <row r="515" spans="1:20">
      <c r="A515" s="2">
        <v>500523</v>
      </c>
      <c r="B515" s="2">
        <v>104029</v>
      </c>
      <c r="C515" s="8">
        <v>45613</v>
      </c>
      <c r="D515" s="2">
        <v>2020</v>
      </c>
      <c r="E515" s="2">
        <v>1</v>
      </c>
      <c r="F515" s="2">
        <v>10</v>
      </c>
      <c r="G515" s="2" t="s">
        <v>31</v>
      </c>
      <c r="H515" s="2" t="s">
        <v>21</v>
      </c>
      <c r="I515" s="2">
        <v>51</v>
      </c>
      <c r="J515" s="2" t="s">
        <v>32</v>
      </c>
      <c r="K515" s="8">
        <v>45000</v>
      </c>
      <c r="L515" s="2" t="s">
        <v>23</v>
      </c>
      <c r="M515" s="2" t="s">
        <v>62</v>
      </c>
      <c r="N515" s="2" t="s">
        <v>63</v>
      </c>
      <c r="O515" s="2">
        <v>68</v>
      </c>
      <c r="P515" s="2">
        <v>61</v>
      </c>
      <c r="Q515" s="2">
        <v>61</v>
      </c>
      <c r="R515" s="9" t="s">
        <v>30</v>
      </c>
      <c r="S515" s="9">
        <f t="shared" si="16"/>
        <v>68</v>
      </c>
      <c r="T515" s="10" t="str">
        <f t="shared" si="17"/>
        <v>Average</v>
      </c>
    </row>
    <row r="516" spans="1:20">
      <c r="A516" s="2">
        <v>500524</v>
      </c>
      <c r="B516" s="2">
        <v>104078</v>
      </c>
      <c r="C516" s="8">
        <v>45662</v>
      </c>
      <c r="D516" s="2">
        <v>2003</v>
      </c>
      <c r="E516" s="2">
        <v>1</v>
      </c>
      <c r="F516" s="2">
        <v>5</v>
      </c>
      <c r="G516" s="2" t="s">
        <v>20</v>
      </c>
      <c r="H516" s="2" t="s">
        <v>21</v>
      </c>
      <c r="I516" s="2">
        <v>46</v>
      </c>
      <c r="J516" s="2" t="s">
        <v>38</v>
      </c>
      <c r="K516" s="8">
        <v>45086</v>
      </c>
      <c r="L516" s="2" t="s">
        <v>41</v>
      </c>
      <c r="M516" s="2" t="s">
        <v>24</v>
      </c>
      <c r="N516" s="2" t="s">
        <v>25</v>
      </c>
      <c r="O516" s="2">
        <v>9</v>
      </c>
      <c r="P516" s="2">
        <v>9</v>
      </c>
      <c r="Q516" s="2">
        <v>9</v>
      </c>
      <c r="R516" s="9" t="s">
        <v>26</v>
      </c>
      <c r="S516" s="9">
        <f t="shared" si="16"/>
        <v>9</v>
      </c>
      <c r="T516" s="10" t="str">
        <f t="shared" si="17"/>
        <v>Low</v>
      </c>
    </row>
    <row r="517" spans="1:20">
      <c r="A517" s="2">
        <v>500525</v>
      </c>
      <c r="B517" s="2">
        <v>107099</v>
      </c>
      <c r="C517" s="8">
        <v>45855</v>
      </c>
      <c r="D517" s="2">
        <v>2019</v>
      </c>
      <c r="E517" s="2">
        <v>2</v>
      </c>
      <c r="F517" s="2">
        <v>30</v>
      </c>
      <c r="G517" s="2" t="s">
        <v>20</v>
      </c>
      <c r="H517" s="2" t="s">
        <v>21</v>
      </c>
      <c r="I517" s="2">
        <v>29</v>
      </c>
      <c r="J517" s="2" t="s">
        <v>55</v>
      </c>
      <c r="K517" s="8">
        <v>45148</v>
      </c>
      <c r="L517" s="2" t="s">
        <v>49</v>
      </c>
      <c r="M517" s="2" t="s">
        <v>60</v>
      </c>
      <c r="N517" s="2" t="s">
        <v>34</v>
      </c>
      <c r="O517" s="2">
        <v>260</v>
      </c>
      <c r="P517" s="2">
        <v>364</v>
      </c>
      <c r="Q517" s="2">
        <v>364</v>
      </c>
      <c r="R517" s="9" t="s">
        <v>26</v>
      </c>
      <c r="S517" s="9">
        <f t="shared" si="16"/>
        <v>520</v>
      </c>
      <c r="T517" s="10" t="str">
        <f t="shared" si="17"/>
        <v>High</v>
      </c>
    </row>
    <row r="518" spans="1:20">
      <c r="A518" s="2">
        <v>500526</v>
      </c>
      <c r="B518" s="2">
        <v>107569</v>
      </c>
      <c r="C518" s="8">
        <v>45844</v>
      </c>
      <c r="D518" s="2">
        <v>2018</v>
      </c>
      <c r="E518" s="2">
        <v>2</v>
      </c>
      <c r="F518" s="2">
        <v>0</v>
      </c>
      <c r="G518" s="2" t="s">
        <v>56</v>
      </c>
      <c r="H518" s="2" t="s">
        <v>21</v>
      </c>
      <c r="I518" s="2">
        <v>35</v>
      </c>
      <c r="J518" s="2" t="s">
        <v>28</v>
      </c>
      <c r="K518" s="8">
        <v>45850</v>
      </c>
      <c r="L518" s="2" t="s">
        <v>41</v>
      </c>
      <c r="M518" s="2" t="s">
        <v>64</v>
      </c>
      <c r="N518" s="2" t="s">
        <v>34</v>
      </c>
      <c r="O518" s="2">
        <v>85</v>
      </c>
      <c r="P518" s="2">
        <v>170</v>
      </c>
      <c r="Q518" s="2">
        <v>170</v>
      </c>
      <c r="R518" s="9" t="s">
        <v>26</v>
      </c>
      <c r="S518" s="9">
        <f t="shared" si="16"/>
        <v>170</v>
      </c>
      <c r="T518" s="10" t="str">
        <f t="shared" si="17"/>
        <v>Low</v>
      </c>
    </row>
    <row r="519" spans="1:20">
      <c r="A519" s="2">
        <v>500527</v>
      </c>
      <c r="B519" s="2">
        <v>103975</v>
      </c>
      <c r="C519" s="8">
        <v>46167</v>
      </c>
      <c r="D519" s="2">
        <v>2018</v>
      </c>
      <c r="E519" s="2">
        <v>2</v>
      </c>
      <c r="F519" s="2">
        <v>5</v>
      </c>
      <c r="G519" s="2" t="s">
        <v>31</v>
      </c>
      <c r="H519" s="2" t="s">
        <v>47</v>
      </c>
      <c r="I519" s="2">
        <v>22</v>
      </c>
      <c r="J519" s="2" t="s">
        <v>45</v>
      </c>
      <c r="K519" s="8">
        <v>46009</v>
      </c>
      <c r="L519" s="2" t="s">
        <v>23</v>
      </c>
      <c r="M519" s="2" t="s">
        <v>64</v>
      </c>
      <c r="N519" s="2" t="s">
        <v>34</v>
      </c>
      <c r="O519" s="2">
        <v>85</v>
      </c>
      <c r="P519" s="2">
        <v>162</v>
      </c>
      <c r="Q519" s="2">
        <v>162</v>
      </c>
      <c r="R519" s="9" t="s">
        <v>26</v>
      </c>
      <c r="S519" s="9">
        <f t="shared" si="16"/>
        <v>170</v>
      </c>
      <c r="T519" s="10" t="str">
        <f t="shared" si="17"/>
        <v>Low</v>
      </c>
    </row>
    <row r="520" spans="1:20">
      <c r="A520" s="2">
        <v>500528</v>
      </c>
      <c r="B520" s="2">
        <v>100890</v>
      </c>
      <c r="C520" s="8">
        <v>45778</v>
      </c>
      <c r="D520" s="2">
        <v>2002</v>
      </c>
      <c r="E520" s="2">
        <v>1</v>
      </c>
      <c r="F520" s="2">
        <v>0</v>
      </c>
      <c r="G520" s="2" t="s">
        <v>27</v>
      </c>
      <c r="H520" s="2" t="s">
        <v>21</v>
      </c>
      <c r="I520" s="2">
        <v>30</v>
      </c>
      <c r="J520" s="2" t="s">
        <v>32</v>
      </c>
      <c r="K520" s="8">
        <v>45919</v>
      </c>
      <c r="L520" s="2" t="s">
        <v>23</v>
      </c>
      <c r="M520" s="2" t="s">
        <v>33</v>
      </c>
      <c r="N520" s="2" t="s">
        <v>34</v>
      </c>
      <c r="O520" s="2">
        <v>62</v>
      </c>
      <c r="P520" s="2">
        <v>62</v>
      </c>
      <c r="Q520" s="2">
        <v>62</v>
      </c>
      <c r="R520" s="9" t="s">
        <v>26</v>
      </c>
      <c r="S520" s="9">
        <f t="shared" si="16"/>
        <v>62</v>
      </c>
      <c r="T520" s="10" t="str">
        <f t="shared" si="17"/>
        <v>Low</v>
      </c>
    </row>
    <row r="521" spans="1:20">
      <c r="A521" s="2">
        <v>500529</v>
      </c>
      <c r="B521" s="2">
        <v>105438</v>
      </c>
      <c r="C521" s="8">
        <v>45569</v>
      </c>
      <c r="D521" s="2">
        <v>2006</v>
      </c>
      <c r="E521" s="2">
        <v>2</v>
      </c>
      <c r="F521" s="2">
        <v>20</v>
      </c>
      <c r="G521" s="2" t="s">
        <v>20</v>
      </c>
      <c r="H521" s="2" t="s">
        <v>21</v>
      </c>
      <c r="I521" s="2">
        <v>18</v>
      </c>
      <c r="J521" s="2" t="s">
        <v>52</v>
      </c>
      <c r="K521" s="8">
        <v>45171</v>
      </c>
      <c r="L521" s="2" t="s">
        <v>41</v>
      </c>
      <c r="M521" s="2" t="s">
        <v>57</v>
      </c>
      <c r="N521" s="2" t="s">
        <v>34</v>
      </c>
      <c r="O521" s="2">
        <v>48</v>
      </c>
      <c r="P521" s="2">
        <v>77</v>
      </c>
      <c r="Q521" s="2">
        <v>77</v>
      </c>
      <c r="R521" s="9" t="s">
        <v>30</v>
      </c>
      <c r="S521" s="9">
        <f t="shared" si="16"/>
        <v>96</v>
      </c>
      <c r="T521" s="10" t="str">
        <f t="shared" si="17"/>
        <v>High</v>
      </c>
    </row>
    <row r="522" spans="1:20">
      <c r="A522" s="2">
        <v>500530</v>
      </c>
      <c r="B522" s="2">
        <v>106973</v>
      </c>
      <c r="C522" s="8">
        <v>45540</v>
      </c>
      <c r="D522" s="2">
        <v>2014</v>
      </c>
      <c r="E522" s="2">
        <v>3</v>
      </c>
      <c r="F522" s="2">
        <v>10</v>
      </c>
      <c r="G522" s="2" t="s">
        <v>27</v>
      </c>
      <c r="H522" s="2" t="s">
        <v>47</v>
      </c>
      <c r="I522" s="2">
        <v>28</v>
      </c>
      <c r="J522" s="2" t="s">
        <v>52</v>
      </c>
      <c r="K522" s="8">
        <v>44937</v>
      </c>
      <c r="L522" s="2" t="s">
        <v>49</v>
      </c>
      <c r="M522" s="2" t="s">
        <v>29</v>
      </c>
      <c r="N522" s="2" t="s">
        <v>25</v>
      </c>
      <c r="O522" s="2">
        <v>42</v>
      </c>
      <c r="P522" s="2">
        <v>113</v>
      </c>
      <c r="Q522" s="2">
        <v>113</v>
      </c>
      <c r="R522" s="9" t="s">
        <v>30</v>
      </c>
      <c r="S522" s="9">
        <f t="shared" si="16"/>
        <v>126</v>
      </c>
      <c r="T522" s="10" t="str">
        <f t="shared" si="17"/>
        <v>Average</v>
      </c>
    </row>
    <row r="523" spans="1:20">
      <c r="A523" s="2">
        <v>500531</v>
      </c>
      <c r="B523" s="2">
        <v>104619</v>
      </c>
      <c r="C523" s="8">
        <v>45753</v>
      </c>
      <c r="D523" s="2">
        <v>2009</v>
      </c>
      <c r="E523" s="2">
        <v>1</v>
      </c>
      <c r="F523" s="2">
        <v>15</v>
      </c>
      <c r="G523" s="2" t="s">
        <v>20</v>
      </c>
      <c r="H523" s="2" t="s">
        <v>21</v>
      </c>
      <c r="I523" s="2">
        <v>48</v>
      </c>
      <c r="J523" s="2" t="s">
        <v>35</v>
      </c>
      <c r="K523" s="8">
        <v>45636</v>
      </c>
      <c r="L523" s="2" t="s">
        <v>41</v>
      </c>
      <c r="M523" s="2" t="s">
        <v>65</v>
      </c>
      <c r="N523" s="2" t="s">
        <v>59</v>
      </c>
      <c r="O523" s="2">
        <v>120</v>
      </c>
      <c r="P523" s="2">
        <v>102</v>
      </c>
      <c r="Q523" s="2">
        <v>102</v>
      </c>
      <c r="R523" s="9" t="s">
        <v>26</v>
      </c>
      <c r="S523" s="9">
        <f t="shared" si="16"/>
        <v>120</v>
      </c>
      <c r="T523" s="10" t="str">
        <f t="shared" si="17"/>
        <v>High</v>
      </c>
    </row>
    <row r="524" spans="1:20">
      <c r="A524" s="2">
        <v>500532</v>
      </c>
      <c r="B524" s="2">
        <v>104970</v>
      </c>
      <c r="C524" s="8">
        <v>45395</v>
      </c>
      <c r="D524" s="2">
        <v>2015</v>
      </c>
      <c r="E524" s="2">
        <v>1</v>
      </c>
      <c r="F524" s="2">
        <v>10</v>
      </c>
      <c r="G524" s="2" t="s">
        <v>27</v>
      </c>
      <c r="H524" s="2" t="s">
        <v>21</v>
      </c>
      <c r="I524" s="2">
        <v>57</v>
      </c>
      <c r="J524" s="2" t="s">
        <v>35</v>
      </c>
      <c r="K524" s="8">
        <v>45942</v>
      </c>
      <c r="L524" s="2" t="s">
        <v>41</v>
      </c>
      <c r="M524" s="2" t="s">
        <v>66</v>
      </c>
      <c r="N524" s="2" t="s">
        <v>34</v>
      </c>
      <c r="O524" s="2">
        <v>58</v>
      </c>
      <c r="P524" s="2">
        <v>52</v>
      </c>
      <c r="Q524" s="2">
        <v>52</v>
      </c>
      <c r="R524" s="9" t="s">
        <v>30</v>
      </c>
      <c r="S524" s="9">
        <f t="shared" si="16"/>
        <v>58</v>
      </c>
      <c r="T524" s="10" t="str">
        <f t="shared" si="17"/>
        <v>Average</v>
      </c>
    </row>
    <row r="525" spans="1:20">
      <c r="A525" s="2">
        <v>500533</v>
      </c>
      <c r="B525" s="2">
        <v>106679</v>
      </c>
      <c r="C525" s="8">
        <v>45800</v>
      </c>
      <c r="D525" s="2">
        <v>2009</v>
      </c>
      <c r="E525" s="2">
        <v>1</v>
      </c>
      <c r="F525" s="2">
        <v>0</v>
      </c>
      <c r="G525" s="2" t="s">
        <v>31</v>
      </c>
      <c r="H525" s="2" t="s">
        <v>21</v>
      </c>
      <c r="I525" s="2">
        <v>61</v>
      </c>
      <c r="J525" s="2" t="s">
        <v>43</v>
      </c>
      <c r="K525" s="8">
        <v>45338</v>
      </c>
      <c r="L525" s="2" t="s">
        <v>41</v>
      </c>
      <c r="M525" s="2" t="s">
        <v>65</v>
      </c>
      <c r="N525" s="2" t="s">
        <v>59</v>
      </c>
      <c r="O525" s="2">
        <v>120</v>
      </c>
      <c r="P525" s="2">
        <v>120</v>
      </c>
      <c r="Q525" s="2">
        <v>120</v>
      </c>
      <c r="R525" s="9" t="s">
        <v>26</v>
      </c>
      <c r="S525" s="9">
        <f t="shared" si="16"/>
        <v>120</v>
      </c>
      <c r="T525" s="10" t="str">
        <f t="shared" si="17"/>
        <v>Low</v>
      </c>
    </row>
    <row r="526" spans="1:20">
      <c r="A526" s="2">
        <v>500534</v>
      </c>
      <c r="B526" s="2">
        <v>104171</v>
      </c>
      <c r="C526" s="8">
        <v>45629</v>
      </c>
      <c r="D526" s="2">
        <v>2003</v>
      </c>
      <c r="E526" s="2">
        <v>1</v>
      </c>
      <c r="F526" s="2">
        <v>0</v>
      </c>
      <c r="G526" s="2" t="s">
        <v>56</v>
      </c>
      <c r="H526" s="2" t="s">
        <v>21</v>
      </c>
      <c r="I526" s="2">
        <v>35</v>
      </c>
      <c r="J526" s="2" t="s">
        <v>32</v>
      </c>
      <c r="K526" s="8">
        <v>45509</v>
      </c>
      <c r="L526" s="2" t="s">
        <v>23</v>
      </c>
      <c r="M526" s="2" t="s">
        <v>24</v>
      </c>
      <c r="N526" s="2" t="s">
        <v>25</v>
      </c>
      <c r="O526" s="2">
        <v>9</v>
      </c>
      <c r="P526" s="2">
        <v>9</v>
      </c>
      <c r="Q526" s="2">
        <v>9</v>
      </c>
      <c r="R526" s="9" t="s">
        <v>30</v>
      </c>
      <c r="S526" s="9">
        <f t="shared" si="16"/>
        <v>9</v>
      </c>
      <c r="T526" s="10" t="str">
        <f t="shared" si="17"/>
        <v>Low</v>
      </c>
    </row>
    <row r="527" spans="1:20">
      <c r="A527" s="2">
        <v>500535</v>
      </c>
      <c r="B527" s="2">
        <v>107168</v>
      </c>
      <c r="C527" s="8">
        <v>45596</v>
      </c>
      <c r="D527" s="2">
        <v>2004</v>
      </c>
      <c r="E527" s="2">
        <v>2</v>
      </c>
      <c r="F527" s="2">
        <v>0</v>
      </c>
      <c r="G527" s="2" t="s">
        <v>20</v>
      </c>
      <c r="H527" s="2" t="s">
        <v>21</v>
      </c>
      <c r="I527" s="2">
        <v>52</v>
      </c>
      <c r="J527" s="2" t="s">
        <v>28</v>
      </c>
      <c r="K527" s="8">
        <v>46017</v>
      </c>
      <c r="L527" s="2" t="s">
        <v>23</v>
      </c>
      <c r="M527" s="2" t="s">
        <v>46</v>
      </c>
      <c r="N527" s="2" t="s">
        <v>34</v>
      </c>
      <c r="O527" s="2">
        <v>35</v>
      </c>
      <c r="P527" s="2">
        <v>70</v>
      </c>
      <c r="Q527" s="2">
        <v>70</v>
      </c>
      <c r="R527" s="9" t="s">
        <v>30</v>
      </c>
      <c r="S527" s="9">
        <f t="shared" si="16"/>
        <v>70</v>
      </c>
      <c r="T527" s="10" t="str">
        <f t="shared" si="17"/>
        <v>Low</v>
      </c>
    </row>
    <row r="528" spans="1:20">
      <c r="A528" s="2">
        <v>500536</v>
      </c>
      <c r="B528" s="2">
        <v>106335</v>
      </c>
      <c r="C528" s="8">
        <v>45458</v>
      </c>
      <c r="D528" s="2">
        <v>2017</v>
      </c>
      <c r="E528" s="2">
        <v>1</v>
      </c>
      <c r="F528" s="2">
        <v>0</v>
      </c>
      <c r="G528" s="2" t="s">
        <v>31</v>
      </c>
      <c r="H528" s="2" t="s">
        <v>21</v>
      </c>
      <c r="I528" s="2">
        <v>21</v>
      </c>
      <c r="J528" s="2" t="s">
        <v>32</v>
      </c>
      <c r="K528" s="8">
        <v>46012</v>
      </c>
      <c r="L528" s="2" t="s">
        <v>23</v>
      </c>
      <c r="M528" s="2" t="s">
        <v>44</v>
      </c>
      <c r="N528" s="2" t="s">
        <v>25</v>
      </c>
      <c r="O528" s="2">
        <v>11</v>
      </c>
      <c r="P528" s="2">
        <v>11</v>
      </c>
      <c r="Q528" s="2">
        <v>11</v>
      </c>
      <c r="R528" s="9" t="s">
        <v>30</v>
      </c>
      <c r="S528" s="9">
        <f t="shared" si="16"/>
        <v>11</v>
      </c>
      <c r="T528" s="10" t="str">
        <f t="shared" si="17"/>
        <v>Low</v>
      </c>
    </row>
    <row r="529" spans="1:20">
      <c r="A529" s="2">
        <v>500537</v>
      </c>
      <c r="B529" s="2">
        <v>101001</v>
      </c>
      <c r="C529" s="8">
        <v>45720</v>
      </c>
      <c r="D529" s="2">
        <v>2007</v>
      </c>
      <c r="E529" s="2">
        <v>2</v>
      </c>
      <c r="F529" s="2">
        <v>0</v>
      </c>
      <c r="G529" s="2" t="s">
        <v>31</v>
      </c>
      <c r="H529" s="2" t="s">
        <v>21</v>
      </c>
      <c r="I529" s="2">
        <v>56</v>
      </c>
      <c r="J529" s="2" t="s">
        <v>43</v>
      </c>
      <c r="K529" s="8">
        <v>45887</v>
      </c>
      <c r="L529" s="2" t="s">
        <v>23</v>
      </c>
      <c r="M529" s="2" t="s">
        <v>61</v>
      </c>
      <c r="N529" s="2" t="s">
        <v>34</v>
      </c>
      <c r="O529" s="2">
        <v>75</v>
      </c>
      <c r="P529" s="2">
        <v>150</v>
      </c>
      <c r="Q529" s="2">
        <v>150</v>
      </c>
      <c r="R529" s="9" t="s">
        <v>26</v>
      </c>
      <c r="S529" s="9">
        <f t="shared" si="16"/>
        <v>150</v>
      </c>
      <c r="T529" s="10" t="str">
        <f t="shared" si="17"/>
        <v>Low</v>
      </c>
    </row>
    <row r="530" spans="1:20">
      <c r="A530" s="2">
        <v>500538</v>
      </c>
      <c r="B530" s="2">
        <v>100176</v>
      </c>
      <c r="C530" s="8">
        <v>45324</v>
      </c>
      <c r="D530" s="2">
        <v>2008</v>
      </c>
      <c r="E530" s="2">
        <v>1</v>
      </c>
      <c r="F530" s="2">
        <v>15</v>
      </c>
      <c r="G530" s="2" t="s">
        <v>31</v>
      </c>
      <c r="H530" s="2" t="s">
        <v>21</v>
      </c>
      <c r="I530" s="2">
        <v>40</v>
      </c>
      <c r="J530" s="2" t="s">
        <v>32</v>
      </c>
      <c r="K530" s="8">
        <v>45769</v>
      </c>
      <c r="L530" s="2" t="s">
        <v>49</v>
      </c>
      <c r="M530" s="2" t="s">
        <v>39</v>
      </c>
      <c r="N530" s="2" t="s">
        <v>25</v>
      </c>
      <c r="O530" s="2">
        <v>14</v>
      </c>
      <c r="P530" s="2">
        <v>12</v>
      </c>
      <c r="Q530" s="2">
        <v>12</v>
      </c>
      <c r="R530" s="9" t="s">
        <v>30</v>
      </c>
      <c r="S530" s="9">
        <f t="shared" si="16"/>
        <v>14</v>
      </c>
      <c r="T530" s="10" t="str">
        <f t="shared" si="17"/>
        <v>High</v>
      </c>
    </row>
    <row r="531" spans="1:20">
      <c r="A531" s="2">
        <v>500539</v>
      </c>
      <c r="B531" s="2">
        <v>109707</v>
      </c>
      <c r="C531" s="8">
        <v>45816</v>
      </c>
      <c r="D531" s="2">
        <v>2015</v>
      </c>
      <c r="E531" s="2">
        <v>1</v>
      </c>
      <c r="F531" s="2">
        <v>5</v>
      </c>
      <c r="G531" s="2" t="s">
        <v>20</v>
      </c>
      <c r="H531" s="2" t="s">
        <v>21</v>
      </c>
      <c r="I531" s="2">
        <v>33</v>
      </c>
      <c r="J531" s="2" t="s">
        <v>45</v>
      </c>
      <c r="K531" s="8">
        <v>45486</v>
      </c>
      <c r="L531" s="2" t="s">
        <v>49</v>
      </c>
      <c r="M531" s="2" t="s">
        <v>66</v>
      </c>
      <c r="N531" s="2" t="s">
        <v>34</v>
      </c>
      <c r="O531" s="2">
        <v>58</v>
      </c>
      <c r="P531" s="2">
        <v>55</v>
      </c>
      <c r="Q531" s="2">
        <v>55</v>
      </c>
      <c r="R531" s="9" t="s">
        <v>26</v>
      </c>
      <c r="S531" s="9">
        <f t="shared" si="16"/>
        <v>58</v>
      </c>
      <c r="T531" s="10" t="str">
        <f t="shared" si="17"/>
        <v>Low</v>
      </c>
    </row>
    <row r="532" spans="1:20">
      <c r="A532" s="2">
        <v>500540</v>
      </c>
      <c r="B532" s="2">
        <v>105313</v>
      </c>
      <c r="C532" s="8">
        <v>45538</v>
      </c>
      <c r="D532" s="2">
        <v>2017</v>
      </c>
      <c r="E532" s="2">
        <v>2</v>
      </c>
      <c r="F532" s="2">
        <v>5</v>
      </c>
      <c r="G532" s="2" t="s">
        <v>20</v>
      </c>
      <c r="H532" s="2" t="s">
        <v>21</v>
      </c>
      <c r="I532" s="2">
        <v>28</v>
      </c>
      <c r="J532" s="2" t="s">
        <v>35</v>
      </c>
      <c r="K532" s="8">
        <v>45833</v>
      </c>
      <c r="L532" s="2" t="s">
        <v>41</v>
      </c>
      <c r="M532" s="2" t="s">
        <v>44</v>
      </c>
      <c r="N532" s="2" t="s">
        <v>25</v>
      </c>
      <c r="O532" s="2">
        <v>11</v>
      </c>
      <c r="P532" s="2">
        <v>21</v>
      </c>
      <c r="Q532" s="2">
        <v>21</v>
      </c>
      <c r="R532" s="9" t="s">
        <v>30</v>
      </c>
      <c r="S532" s="9">
        <f t="shared" si="16"/>
        <v>22</v>
      </c>
      <c r="T532" s="10" t="str">
        <f t="shared" si="17"/>
        <v>Low</v>
      </c>
    </row>
    <row r="533" spans="1:20">
      <c r="A533" s="2">
        <v>500541</v>
      </c>
      <c r="B533" s="2">
        <v>107806</v>
      </c>
      <c r="C533" s="8">
        <v>46083</v>
      </c>
      <c r="D533" s="2">
        <v>2006</v>
      </c>
      <c r="E533" s="2">
        <v>2</v>
      </c>
      <c r="F533" s="2">
        <v>0</v>
      </c>
      <c r="G533" s="2" t="s">
        <v>31</v>
      </c>
      <c r="H533" s="2" t="s">
        <v>21</v>
      </c>
      <c r="I533" s="2">
        <v>51</v>
      </c>
      <c r="J533" s="2" t="s">
        <v>32</v>
      </c>
      <c r="K533" s="8">
        <v>45244</v>
      </c>
      <c r="L533" s="2" t="s">
        <v>23</v>
      </c>
      <c r="M533" s="2" t="s">
        <v>57</v>
      </c>
      <c r="N533" s="2" t="s">
        <v>34</v>
      </c>
      <c r="O533" s="2">
        <v>48</v>
      </c>
      <c r="P533" s="2">
        <v>96</v>
      </c>
      <c r="Q533" s="2">
        <v>96</v>
      </c>
      <c r="R533" s="9" t="s">
        <v>26</v>
      </c>
      <c r="S533" s="9">
        <f t="shared" si="16"/>
        <v>96</v>
      </c>
      <c r="T533" s="10" t="str">
        <f t="shared" si="17"/>
        <v>Low</v>
      </c>
    </row>
    <row r="534" spans="1:20">
      <c r="A534" s="2">
        <v>500542</v>
      </c>
      <c r="B534" s="2">
        <v>105675</v>
      </c>
      <c r="C534" s="8">
        <v>45746</v>
      </c>
      <c r="D534" s="2">
        <v>2003</v>
      </c>
      <c r="E534" s="2">
        <v>1</v>
      </c>
      <c r="F534" s="2">
        <v>5</v>
      </c>
      <c r="G534" s="2" t="s">
        <v>20</v>
      </c>
      <c r="H534" s="2" t="s">
        <v>21</v>
      </c>
      <c r="I534" s="2">
        <v>41</v>
      </c>
      <c r="J534" s="2" t="s">
        <v>52</v>
      </c>
      <c r="K534" s="8">
        <v>45557</v>
      </c>
      <c r="L534" s="2" t="s">
        <v>41</v>
      </c>
      <c r="M534" s="2" t="s">
        <v>24</v>
      </c>
      <c r="N534" s="2" t="s">
        <v>25</v>
      </c>
      <c r="O534" s="2">
        <v>9</v>
      </c>
      <c r="P534" s="2">
        <v>9</v>
      </c>
      <c r="Q534" s="2">
        <v>9</v>
      </c>
      <c r="R534" s="9" t="s">
        <v>26</v>
      </c>
      <c r="S534" s="9">
        <f t="shared" si="16"/>
        <v>9</v>
      </c>
      <c r="T534" s="10" t="str">
        <f t="shared" si="17"/>
        <v>Low</v>
      </c>
    </row>
    <row r="535" spans="1:20">
      <c r="A535" s="2">
        <v>500543</v>
      </c>
      <c r="B535" s="2">
        <v>102606</v>
      </c>
      <c r="C535" s="8">
        <v>45966</v>
      </c>
      <c r="D535" s="2">
        <v>2003</v>
      </c>
      <c r="E535" s="2">
        <v>2</v>
      </c>
      <c r="F535" s="2">
        <v>20</v>
      </c>
      <c r="G535" s="2" t="s">
        <v>20</v>
      </c>
      <c r="H535" s="2" t="s">
        <v>21</v>
      </c>
      <c r="I535" s="2">
        <v>54</v>
      </c>
      <c r="J535" s="2" t="s">
        <v>28</v>
      </c>
      <c r="K535" s="8">
        <v>45404</v>
      </c>
      <c r="L535" s="2" t="s">
        <v>23</v>
      </c>
      <c r="M535" s="2" t="s">
        <v>24</v>
      </c>
      <c r="N535" s="2" t="s">
        <v>25</v>
      </c>
      <c r="O535" s="2">
        <v>9</v>
      </c>
      <c r="P535" s="2">
        <v>14</v>
      </c>
      <c r="Q535" s="2">
        <v>14</v>
      </c>
      <c r="R535" s="9" t="s">
        <v>26</v>
      </c>
      <c r="S535" s="9">
        <f t="shared" si="16"/>
        <v>18</v>
      </c>
      <c r="T535" s="10" t="str">
        <f t="shared" si="17"/>
        <v>High</v>
      </c>
    </row>
    <row r="536" spans="1:20">
      <c r="A536" s="2">
        <v>500544</v>
      </c>
      <c r="B536" s="2">
        <v>101119</v>
      </c>
      <c r="C536" s="8">
        <v>46027</v>
      </c>
      <c r="D536" s="2">
        <v>2017</v>
      </c>
      <c r="E536" s="2">
        <v>1</v>
      </c>
      <c r="F536" s="2">
        <v>5</v>
      </c>
      <c r="G536" s="2" t="s">
        <v>20</v>
      </c>
      <c r="H536" s="2" t="s">
        <v>21</v>
      </c>
      <c r="I536" s="2">
        <v>52</v>
      </c>
      <c r="J536" s="2" t="s">
        <v>55</v>
      </c>
      <c r="K536" s="8">
        <v>45666</v>
      </c>
      <c r="L536" s="2" t="s">
        <v>41</v>
      </c>
      <c r="M536" s="2" t="s">
        <v>44</v>
      </c>
      <c r="N536" s="2" t="s">
        <v>25</v>
      </c>
      <c r="O536" s="2">
        <v>11</v>
      </c>
      <c r="P536" s="2">
        <v>10</v>
      </c>
      <c r="Q536" s="2">
        <v>10</v>
      </c>
      <c r="R536" s="9" t="s">
        <v>26</v>
      </c>
      <c r="S536" s="9">
        <f t="shared" si="16"/>
        <v>11</v>
      </c>
      <c r="T536" s="10" t="str">
        <f t="shared" si="17"/>
        <v>Low</v>
      </c>
    </row>
    <row r="537" spans="1:20">
      <c r="A537" s="2">
        <v>500545</v>
      </c>
      <c r="B537" s="2">
        <v>108498</v>
      </c>
      <c r="C537" s="8">
        <v>46051</v>
      </c>
      <c r="D537" s="2">
        <v>2010</v>
      </c>
      <c r="E537" s="2">
        <v>1</v>
      </c>
      <c r="F537" s="2">
        <v>5</v>
      </c>
      <c r="G537" s="2" t="s">
        <v>31</v>
      </c>
      <c r="H537" s="2" t="s">
        <v>21</v>
      </c>
      <c r="I537" s="2">
        <v>27</v>
      </c>
      <c r="J537" s="2" t="s">
        <v>43</v>
      </c>
      <c r="K537" s="8">
        <v>45710</v>
      </c>
      <c r="L537" s="2" t="s">
        <v>23</v>
      </c>
      <c r="M537" s="2" t="s">
        <v>58</v>
      </c>
      <c r="N537" s="2" t="s">
        <v>59</v>
      </c>
      <c r="O537" s="2">
        <v>55</v>
      </c>
      <c r="P537" s="2">
        <v>52</v>
      </c>
      <c r="Q537" s="2">
        <v>52</v>
      </c>
      <c r="R537" s="9" t="s">
        <v>26</v>
      </c>
      <c r="S537" s="9">
        <f t="shared" si="16"/>
        <v>55</v>
      </c>
      <c r="T537" s="10" t="str">
        <f t="shared" si="17"/>
        <v>Low</v>
      </c>
    </row>
    <row r="538" spans="1:20">
      <c r="A538" s="2">
        <v>500546</v>
      </c>
      <c r="B538" s="2">
        <v>101171</v>
      </c>
      <c r="C538" s="8">
        <v>46044</v>
      </c>
      <c r="D538" s="2">
        <v>2007</v>
      </c>
      <c r="E538" s="2">
        <v>3</v>
      </c>
      <c r="F538" s="2">
        <v>15</v>
      </c>
      <c r="G538" s="2" t="s">
        <v>20</v>
      </c>
      <c r="H538" s="2" t="s">
        <v>21</v>
      </c>
      <c r="I538" s="2">
        <v>48</v>
      </c>
      <c r="J538" s="2" t="s">
        <v>28</v>
      </c>
      <c r="K538" s="8">
        <v>44959</v>
      </c>
      <c r="L538" s="2" t="s">
        <v>23</v>
      </c>
      <c r="M538" s="2" t="s">
        <v>61</v>
      </c>
      <c r="N538" s="2" t="s">
        <v>34</v>
      </c>
      <c r="O538" s="2">
        <v>75</v>
      </c>
      <c r="P538" s="2">
        <v>191</v>
      </c>
      <c r="Q538" s="2">
        <v>191</v>
      </c>
      <c r="R538" s="9" t="s">
        <v>26</v>
      </c>
      <c r="S538" s="9">
        <f t="shared" si="16"/>
        <v>225</v>
      </c>
      <c r="T538" s="10" t="str">
        <f t="shared" si="17"/>
        <v>High</v>
      </c>
    </row>
    <row r="539" spans="1:20">
      <c r="A539" s="2">
        <v>500547</v>
      </c>
      <c r="B539" s="2">
        <v>104021</v>
      </c>
      <c r="C539" s="8">
        <v>45486</v>
      </c>
      <c r="D539" s="2">
        <v>2008</v>
      </c>
      <c r="E539" s="2">
        <v>2</v>
      </c>
      <c r="F539" s="2">
        <v>5</v>
      </c>
      <c r="G539" s="2" t="s">
        <v>20</v>
      </c>
      <c r="H539" s="2" t="s">
        <v>21</v>
      </c>
      <c r="I539" s="2">
        <v>24</v>
      </c>
      <c r="J539" s="2" t="s">
        <v>45</v>
      </c>
      <c r="K539" s="8">
        <v>45272</v>
      </c>
      <c r="L539" s="2" t="s">
        <v>49</v>
      </c>
      <c r="M539" s="2" t="s">
        <v>39</v>
      </c>
      <c r="N539" s="2" t="s">
        <v>25</v>
      </c>
      <c r="O539" s="2">
        <v>14</v>
      </c>
      <c r="P539" s="2">
        <v>27</v>
      </c>
      <c r="Q539" s="2">
        <v>27</v>
      </c>
      <c r="R539" s="9" t="s">
        <v>30</v>
      </c>
      <c r="S539" s="9">
        <f t="shared" si="16"/>
        <v>28</v>
      </c>
      <c r="T539" s="10" t="str">
        <f t="shared" si="17"/>
        <v>Low</v>
      </c>
    </row>
    <row r="540" spans="1:20">
      <c r="A540" s="2">
        <v>500548</v>
      </c>
      <c r="B540" s="2">
        <v>103850</v>
      </c>
      <c r="C540" s="8">
        <v>45554</v>
      </c>
      <c r="D540" s="2">
        <v>2013</v>
      </c>
      <c r="E540" s="2">
        <v>1</v>
      </c>
      <c r="F540" s="2">
        <v>15</v>
      </c>
      <c r="G540" s="2" t="s">
        <v>31</v>
      </c>
      <c r="H540" s="2" t="s">
        <v>21</v>
      </c>
      <c r="I540" s="2">
        <v>28</v>
      </c>
      <c r="J540" s="2" t="s">
        <v>28</v>
      </c>
      <c r="K540" s="8">
        <v>45718</v>
      </c>
      <c r="L540" s="2" t="s">
        <v>41</v>
      </c>
      <c r="M540" s="2" t="s">
        <v>53</v>
      </c>
      <c r="N540" s="2" t="s">
        <v>54</v>
      </c>
      <c r="O540" s="2">
        <v>7</v>
      </c>
      <c r="P540" s="2">
        <v>6</v>
      </c>
      <c r="Q540" s="2">
        <v>6</v>
      </c>
      <c r="R540" s="9" t="s">
        <v>30</v>
      </c>
      <c r="S540" s="9">
        <f t="shared" si="16"/>
        <v>7</v>
      </c>
      <c r="T540" s="10" t="str">
        <f t="shared" si="17"/>
        <v>High</v>
      </c>
    </row>
    <row r="541" spans="1:20">
      <c r="A541" s="2">
        <v>500549</v>
      </c>
      <c r="B541" s="2">
        <v>101733</v>
      </c>
      <c r="C541" s="8">
        <v>45903</v>
      </c>
      <c r="D541" s="2">
        <v>2005</v>
      </c>
      <c r="E541" s="2">
        <v>1</v>
      </c>
      <c r="F541" s="2">
        <v>10</v>
      </c>
      <c r="G541" s="2" t="s">
        <v>27</v>
      </c>
      <c r="H541" s="2" t="s">
        <v>21</v>
      </c>
      <c r="I541" s="2">
        <v>51</v>
      </c>
      <c r="J541" s="2" t="s">
        <v>55</v>
      </c>
      <c r="K541" s="8">
        <v>45377</v>
      </c>
      <c r="L541" s="2" t="s">
        <v>23</v>
      </c>
      <c r="M541" s="2" t="s">
        <v>51</v>
      </c>
      <c r="N541" s="2" t="s">
        <v>25</v>
      </c>
      <c r="O541" s="2">
        <v>28</v>
      </c>
      <c r="P541" s="2">
        <v>25</v>
      </c>
      <c r="Q541" s="2">
        <v>25</v>
      </c>
      <c r="R541" s="9" t="s">
        <v>26</v>
      </c>
      <c r="S541" s="9">
        <f t="shared" si="16"/>
        <v>28</v>
      </c>
      <c r="T541" s="10" t="str">
        <f t="shared" si="17"/>
        <v>Average</v>
      </c>
    </row>
    <row r="542" spans="1:20">
      <c r="A542" s="2">
        <v>500550</v>
      </c>
      <c r="B542" s="2">
        <v>109221</v>
      </c>
      <c r="C542" s="8">
        <v>45756</v>
      </c>
      <c r="D542" s="2">
        <v>2013</v>
      </c>
      <c r="E542" s="2">
        <v>1</v>
      </c>
      <c r="F542" s="2">
        <v>5</v>
      </c>
      <c r="G542" s="2" t="s">
        <v>31</v>
      </c>
      <c r="H542" s="2" t="s">
        <v>21</v>
      </c>
      <c r="I542" s="2">
        <v>25</v>
      </c>
      <c r="J542" s="2" t="s">
        <v>43</v>
      </c>
      <c r="K542" s="8">
        <v>45911</v>
      </c>
      <c r="L542" s="2" t="s">
        <v>41</v>
      </c>
      <c r="M542" s="2" t="s">
        <v>53</v>
      </c>
      <c r="N542" s="2" t="s">
        <v>54</v>
      </c>
      <c r="O542" s="2">
        <v>7</v>
      </c>
      <c r="P542" s="2">
        <v>7</v>
      </c>
      <c r="Q542" s="2">
        <v>7</v>
      </c>
      <c r="R542" s="9" t="s">
        <v>26</v>
      </c>
      <c r="S542" s="9">
        <f t="shared" si="16"/>
        <v>7</v>
      </c>
      <c r="T542" s="10" t="str">
        <f t="shared" si="17"/>
        <v>Low</v>
      </c>
    </row>
    <row r="543" spans="1:20">
      <c r="A543" s="2">
        <v>500551</v>
      </c>
      <c r="B543" s="2">
        <v>105249</v>
      </c>
      <c r="C543" s="8">
        <v>45818</v>
      </c>
      <c r="D543" s="2">
        <v>2008</v>
      </c>
      <c r="E543" s="2">
        <v>3</v>
      </c>
      <c r="F543" s="2">
        <v>5</v>
      </c>
      <c r="G543" s="2" t="s">
        <v>20</v>
      </c>
      <c r="H543" s="2" t="s">
        <v>21</v>
      </c>
      <c r="I543" s="2">
        <v>61</v>
      </c>
      <c r="J543" s="2" t="s">
        <v>32</v>
      </c>
      <c r="K543" s="8">
        <v>45033</v>
      </c>
      <c r="L543" s="2" t="s">
        <v>41</v>
      </c>
      <c r="M543" s="2" t="s">
        <v>39</v>
      </c>
      <c r="N543" s="2" t="s">
        <v>25</v>
      </c>
      <c r="O543" s="2">
        <v>14</v>
      </c>
      <c r="P543" s="2">
        <v>40</v>
      </c>
      <c r="Q543" s="2">
        <v>40</v>
      </c>
      <c r="R543" s="9" t="s">
        <v>26</v>
      </c>
      <c r="S543" s="9">
        <f t="shared" si="16"/>
        <v>42</v>
      </c>
      <c r="T543" s="10" t="str">
        <f t="shared" si="17"/>
        <v>Low</v>
      </c>
    </row>
    <row r="544" spans="1:20">
      <c r="A544" s="2">
        <v>500552</v>
      </c>
      <c r="B544" s="2">
        <v>106097</v>
      </c>
      <c r="C544" s="8">
        <v>45877</v>
      </c>
      <c r="D544" s="2">
        <v>2007</v>
      </c>
      <c r="E544" s="2">
        <v>1</v>
      </c>
      <c r="F544" s="2">
        <v>10</v>
      </c>
      <c r="G544" s="2" t="s">
        <v>56</v>
      </c>
      <c r="H544" s="2" t="s">
        <v>21</v>
      </c>
      <c r="I544" s="2">
        <v>50</v>
      </c>
      <c r="J544" s="2" t="s">
        <v>32</v>
      </c>
      <c r="K544" s="8">
        <v>45161</v>
      </c>
      <c r="L544" s="2" t="s">
        <v>23</v>
      </c>
      <c r="M544" s="2" t="s">
        <v>61</v>
      </c>
      <c r="N544" s="2" t="s">
        <v>34</v>
      </c>
      <c r="O544" s="2">
        <v>75</v>
      </c>
      <c r="P544" s="2">
        <v>68</v>
      </c>
      <c r="Q544" s="2">
        <v>68</v>
      </c>
      <c r="R544" s="9" t="s">
        <v>26</v>
      </c>
      <c r="S544" s="9">
        <f t="shared" si="16"/>
        <v>75</v>
      </c>
      <c r="T544" s="10" t="str">
        <f t="shared" si="17"/>
        <v>Average</v>
      </c>
    </row>
    <row r="545" spans="1:20">
      <c r="A545" s="2">
        <v>500553</v>
      </c>
      <c r="B545" s="2">
        <v>103797</v>
      </c>
      <c r="C545" s="8">
        <v>45390</v>
      </c>
      <c r="D545" s="2">
        <v>2010</v>
      </c>
      <c r="E545" s="2">
        <v>2</v>
      </c>
      <c r="F545" s="2">
        <v>5</v>
      </c>
      <c r="G545" s="2" t="s">
        <v>20</v>
      </c>
      <c r="H545" s="2" t="s">
        <v>21</v>
      </c>
      <c r="I545" s="2">
        <v>50</v>
      </c>
      <c r="J545" s="2" t="s">
        <v>43</v>
      </c>
      <c r="K545" s="8">
        <v>45077</v>
      </c>
      <c r="L545" s="2" t="s">
        <v>23</v>
      </c>
      <c r="M545" s="2" t="s">
        <v>58</v>
      </c>
      <c r="N545" s="2" t="s">
        <v>59</v>
      </c>
      <c r="O545" s="2">
        <v>55</v>
      </c>
      <c r="P545" s="2">
        <v>104</v>
      </c>
      <c r="Q545" s="2">
        <v>104</v>
      </c>
      <c r="R545" s="9" t="s">
        <v>30</v>
      </c>
      <c r="S545" s="9">
        <f t="shared" si="16"/>
        <v>110</v>
      </c>
      <c r="T545" s="10" t="str">
        <f t="shared" si="17"/>
        <v>Low</v>
      </c>
    </row>
    <row r="546" spans="1:20">
      <c r="A546" s="2">
        <v>500554</v>
      </c>
      <c r="B546" s="2">
        <v>105592</v>
      </c>
      <c r="C546" s="8">
        <v>45437</v>
      </c>
      <c r="D546" s="2">
        <v>2013</v>
      </c>
      <c r="E546" s="2">
        <v>1</v>
      </c>
      <c r="F546" s="2">
        <v>15</v>
      </c>
      <c r="G546" s="2" t="s">
        <v>31</v>
      </c>
      <c r="H546" s="2" t="s">
        <v>21</v>
      </c>
      <c r="I546" s="2">
        <v>45</v>
      </c>
      <c r="J546" s="2" t="s">
        <v>22</v>
      </c>
      <c r="K546" s="8">
        <v>45487</v>
      </c>
      <c r="L546" s="2" t="s">
        <v>23</v>
      </c>
      <c r="M546" s="2" t="s">
        <v>53</v>
      </c>
      <c r="N546" s="2" t="s">
        <v>54</v>
      </c>
      <c r="O546" s="2">
        <v>7</v>
      </c>
      <c r="P546" s="2">
        <v>6</v>
      </c>
      <c r="Q546" s="2">
        <v>6</v>
      </c>
      <c r="R546" s="9" t="s">
        <v>30</v>
      </c>
      <c r="S546" s="9">
        <f t="shared" si="16"/>
        <v>7</v>
      </c>
      <c r="T546" s="10" t="str">
        <f t="shared" si="17"/>
        <v>High</v>
      </c>
    </row>
    <row r="547" spans="1:20">
      <c r="A547" s="2">
        <v>500555</v>
      </c>
      <c r="B547" s="2">
        <v>108840</v>
      </c>
      <c r="C547" s="8">
        <v>45843</v>
      </c>
      <c r="D547" s="2">
        <v>2009</v>
      </c>
      <c r="E547" s="2">
        <v>1</v>
      </c>
      <c r="F547" s="2">
        <v>0</v>
      </c>
      <c r="G547" s="2" t="s">
        <v>20</v>
      </c>
      <c r="H547" s="2" t="s">
        <v>21</v>
      </c>
      <c r="I547" s="2">
        <v>42</v>
      </c>
      <c r="J547" s="2" t="s">
        <v>43</v>
      </c>
      <c r="K547" s="8">
        <v>45865</v>
      </c>
      <c r="L547" s="2" t="s">
        <v>23</v>
      </c>
      <c r="M547" s="2" t="s">
        <v>65</v>
      </c>
      <c r="N547" s="2" t="s">
        <v>59</v>
      </c>
      <c r="O547" s="2">
        <v>120</v>
      </c>
      <c r="P547" s="2">
        <v>120</v>
      </c>
      <c r="Q547" s="2">
        <v>120</v>
      </c>
      <c r="R547" s="9" t="s">
        <v>26</v>
      </c>
      <c r="S547" s="9">
        <f t="shared" si="16"/>
        <v>120</v>
      </c>
      <c r="T547" s="10" t="str">
        <f t="shared" si="17"/>
        <v>Low</v>
      </c>
    </row>
    <row r="548" spans="1:20">
      <c r="A548" s="2">
        <v>500556</v>
      </c>
      <c r="B548" s="2">
        <v>109740</v>
      </c>
      <c r="C548" s="8">
        <v>45832</v>
      </c>
      <c r="D548" s="2">
        <v>2013</v>
      </c>
      <c r="E548" s="2">
        <v>2</v>
      </c>
      <c r="F548" s="2">
        <v>10</v>
      </c>
      <c r="G548" s="2" t="s">
        <v>56</v>
      </c>
      <c r="H548" s="2" t="s">
        <v>21</v>
      </c>
      <c r="I548" s="2">
        <v>48</v>
      </c>
      <c r="J548" s="2" t="s">
        <v>22</v>
      </c>
      <c r="K548" s="8">
        <v>45547</v>
      </c>
      <c r="L548" s="2" t="s">
        <v>23</v>
      </c>
      <c r="M548" s="2" t="s">
        <v>53</v>
      </c>
      <c r="N548" s="2" t="s">
        <v>54</v>
      </c>
      <c r="O548" s="2">
        <v>7</v>
      </c>
      <c r="P548" s="2">
        <v>13</v>
      </c>
      <c r="Q548" s="2">
        <v>13</v>
      </c>
      <c r="R548" s="9" t="s">
        <v>26</v>
      </c>
      <c r="S548" s="9">
        <f t="shared" si="16"/>
        <v>14</v>
      </c>
      <c r="T548" s="10" t="str">
        <f t="shared" si="17"/>
        <v>Average</v>
      </c>
    </row>
    <row r="549" spans="1:20">
      <c r="A549" s="2">
        <v>500557</v>
      </c>
      <c r="B549" s="2">
        <v>102950</v>
      </c>
      <c r="C549" s="8">
        <v>45998</v>
      </c>
      <c r="D549" s="2">
        <v>2006</v>
      </c>
      <c r="E549" s="2">
        <v>3</v>
      </c>
      <c r="F549" s="2">
        <v>5</v>
      </c>
      <c r="G549" s="2" t="s">
        <v>27</v>
      </c>
      <c r="H549" s="2" t="s">
        <v>21</v>
      </c>
      <c r="I549" s="2">
        <v>42</v>
      </c>
      <c r="J549" s="2" t="s">
        <v>52</v>
      </c>
      <c r="K549" s="8">
        <v>45488</v>
      </c>
      <c r="L549" s="2" t="s">
        <v>23</v>
      </c>
      <c r="M549" s="2" t="s">
        <v>57</v>
      </c>
      <c r="N549" s="2" t="s">
        <v>34</v>
      </c>
      <c r="O549" s="2">
        <v>48</v>
      </c>
      <c r="P549" s="2">
        <v>137</v>
      </c>
      <c r="Q549" s="2">
        <v>137</v>
      </c>
      <c r="R549" s="9" t="s">
        <v>26</v>
      </c>
      <c r="S549" s="9">
        <f t="shared" si="16"/>
        <v>144</v>
      </c>
      <c r="T549" s="10" t="str">
        <f t="shared" si="17"/>
        <v>Low</v>
      </c>
    </row>
    <row r="550" spans="1:20">
      <c r="A550" s="2">
        <v>500558</v>
      </c>
      <c r="B550" s="2">
        <v>105389</v>
      </c>
      <c r="C550" s="8">
        <v>45891</v>
      </c>
      <c r="D550" s="2">
        <v>2004</v>
      </c>
      <c r="E550" s="2">
        <v>1</v>
      </c>
      <c r="F550" s="2">
        <v>0</v>
      </c>
      <c r="G550" s="2" t="s">
        <v>27</v>
      </c>
      <c r="H550" s="2" t="s">
        <v>21</v>
      </c>
      <c r="I550" s="2">
        <v>41</v>
      </c>
      <c r="J550" s="2" t="s">
        <v>32</v>
      </c>
      <c r="K550" s="8">
        <v>45775</v>
      </c>
      <c r="L550" s="2" t="s">
        <v>23</v>
      </c>
      <c r="M550" s="2" t="s">
        <v>46</v>
      </c>
      <c r="N550" s="2" t="s">
        <v>34</v>
      </c>
      <c r="O550" s="2">
        <v>35</v>
      </c>
      <c r="P550" s="2">
        <v>35</v>
      </c>
      <c r="Q550" s="2">
        <v>35</v>
      </c>
      <c r="R550" s="9" t="s">
        <v>26</v>
      </c>
      <c r="S550" s="9">
        <f t="shared" si="16"/>
        <v>35</v>
      </c>
      <c r="T550" s="10" t="str">
        <f t="shared" si="17"/>
        <v>Low</v>
      </c>
    </row>
    <row r="551" spans="1:20">
      <c r="A551" s="2">
        <v>500559</v>
      </c>
      <c r="B551" s="2">
        <v>103629</v>
      </c>
      <c r="C551" s="8">
        <v>45471</v>
      </c>
      <c r="D551" s="2">
        <v>2010</v>
      </c>
      <c r="E551" s="2">
        <v>1</v>
      </c>
      <c r="F551" s="2">
        <v>5</v>
      </c>
      <c r="G551" s="2" t="s">
        <v>31</v>
      </c>
      <c r="H551" s="2" t="s">
        <v>21</v>
      </c>
      <c r="I551" s="2">
        <v>58</v>
      </c>
      <c r="J551" s="2" t="s">
        <v>43</v>
      </c>
      <c r="K551" s="8">
        <v>45330</v>
      </c>
      <c r="L551" s="2" t="s">
        <v>41</v>
      </c>
      <c r="M551" s="2" t="s">
        <v>58</v>
      </c>
      <c r="N551" s="2" t="s">
        <v>59</v>
      </c>
      <c r="O551" s="2">
        <v>55</v>
      </c>
      <c r="P551" s="2">
        <v>52</v>
      </c>
      <c r="Q551" s="2">
        <v>52</v>
      </c>
      <c r="R551" s="9" t="s">
        <v>30</v>
      </c>
      <c r="S551" s="9">
        <f t="shared" si="16"/>
        <v>55</v>
      </c>
      <c r="T551" s="10" t="str">
        <f t="shared" si="17"/>
        <v>Low</v>
      </c>
    </row>
    <row r="552" spans="1:20">
      <c r="A552" s="2">
        <v>500560</v>
      </c>
      <c r="B552" s="2">
        <v>100262</v>
      </c>
      <c r="C552" s="8">
        <v>45352</v>
      </c>
      <c r="D552" s="2">
        <v>2007</v>
      </c>
      <c r="E552" s="2">
        <v>2</v>
      </c>
      <c r="F552" s="2">
        <v>15</v>
      </c>
      <c r="G552" s="2" t="s">
        <v>56</v>
      </c>
      <c r="H552" s="2" t="s">
        <v>21</v>
      </c>
      <c r="I552" s="2">
        <v>26</v>
      </c>
      <c r="J552" s="2" t="s">
        <v>35</v>
      </c>
      <c r="K552" s="8">
        <v>45787</v>
      </c>
      <c r="L552" s="2" t="s">
        <v>41</v>
      </c>
      <c r="M552" s="2" t="s">
        <v>61</v>
      </c>
      <c r="N552" s="2" t="s">
        <v>34</v>
      </c>
      <c r="O552" s="2">
        <v>75</v>
      </c>
      <c r="P552" s="2">
        <v>128</v>
      </c>
      <c r="Q552" s="2">
        <v>128</v>
      </c>
      <c r="R552" s="9" t="s">
        <v>30</v>
      </c>
      <c r="S552" s="9">
        <f t="shared" si="16"/>
        <v>150</v>
      </c>
      <c r="T552" s="10" t="str">
        <f t="shared" si="17"/>
        <v>High</v>
      </c>
    </row>
    <row r="553" spans="1:20">
      <c r="A553" s="2">
        <v>500561</v>
      </c>
      <c r="B553" s="2">
        <v>106681</v>
      </c>
      <c r="C553" s="8">
        <v>45629</v>
      </c>
      <c r="D553" s="2">
        <v>2017</v>
      </c>
      <c r="E553" s="2">
        <v>1</v>
      </c>
      <c r="F553" s="2">
        <v>0</v>
      </c>
      <c r="G553" s="2" t="s">
        <v>27</v>
      </c>
      <c r="H553" s="2" t="s">
        <v>21</v>
      </c>
      <c r="I553" s="2">
        <v>27</v>
      </c>
      <c r="J553" s="2" t="s">
        <v>45</v>
      </c>
      <c r="K553" s="8">
        <v>44993</v>
      </c>
      <c r="L553" s="2" t="s">
        <v>49</v>
      </c>
      <c r="M553" s="2" t="s">
        <v>44</v>
      </c>
      <c r="N553" s="2" t="s">
        <v>25</v>
      </c>
      <c r="O553" s="2">
        <v>11</v>
      </c>
      <c r="P553" s="2">
        <v>11</v>
      </c>
      <c r="Q553" s="2">
        <v>11</v>
      </c>
      <c r="R553" s="9" t="s">
        <v>30</v>
      </c>
      <c r="S553" s="9">
        <f t="shared" si="16"/>
        <v>11</v>
      </c>
      <c r="T553" s="10" t="str">
        <f t="shared" si="17"/>
        <v>Low</v>
      </c>
    </row>
    <row r="554" spans="1:20">
      <c r="A554" s="2">
        <v>500562</v>
      </c>
      <c r="B554" s="2">
        <v>108368</v>
      </c>
      <c r="C554" s="8">
        <v>45612</v>
      </c>
      <c r="D554" s="2">
        <v>2013</v>
      </c>
      <c r="E554" s="2">
        <v>1</v>
      </c>
      <c r="F554" s="2">
        <v>5</v>
      </c>
      <c r="G554" s="2" t="s">
        <v>27</v>
      </c>
      <c r="H554" s="2" t="s">
        <v>21</v>
      </c>
      <c r="I554" s="2">
        <v>41</v>
      </c>
      <c r="J554" s="2" t="s">
        <v>45</v>
      </c>
      <c r="K554" s="8">
        <v>45465</v>
      </c>
      <c r="L554" s="2" t="s">
        <v>23</v>
      </c>
      <c r="M554" s="2" t="s">
        <v>53</v>
      </c>
      <c r="N554" s="2" t="s">
        <v>54</v>
      </c>
      <c r="O554" s="2">
        <v>7</v>
      </c>
      <c r="P554" s="2">
        <v>7</v>
      </c>
      <c r="Q554" s="2">
        <v>7</v>
      </c>
      <c r="R554" s="9" t="s">
        <v>30</v>
      </c>
      <c r="S554" s="9">
        <f t="shared" si="16"/>
        <v>7</v>
      </c>
      <c r="T554" s="10" t="str">
        <f t="shared" si="17"/>
        <v>Low</v>
      </c>
    </row>
    <row r="555" spans="1:20">
      <c r="A555" s="2">
        <v>500563</v>
      </c>
      <c r="B555" s="2">
        <v>104659</v>
      </c>
      <c r="C555" s="8">
        <v>45955</v>
      </c>
      <c r="D555" s="2">
        <v>2008</v>
      </c>
      <c r="E555" s="2">
        <v>2</v>
      </c>
      <c r="F555" s="2">
        <v>0</v>
      </c>
      <c r="G555" s="2" t="s">
        <v>20</v>
      </c>
      <c r="H555" s="2" t="s">
        <v>21</v>
      </c>
      <c r="I555" s="2">
        <v>38</v>
      </c>
      <c r="J555" s="2" t="s">
        <v>52</v>
      </c>
      <c r="K555" s="8">
        <v>45223</v>
      </c>
      <c r="L555" s="2" t="s">
        <v>41</v>
      </c>
      <c r="M555" s="2" t="s">
        <v>39</v>
      </c>
      <c r="N555" s="2" t="s">
        <v>25</v>
      </c>
      <c r="O555" s="2">
        <v>14</v>
      </c>
      <c r="P555" s="2">
        <v>28</v>
      </c>
      <c r="Q555" s="2">
        <v>28</v>
      </c>
      <c r="R555" s="9" t="s">
        <v>26</v>
      </c>
      <c r="S555" s="9">
        <f t="shared" si="16"/>
        <v>28</v>
      </c>
      <c r="T555" s="10" t="str">
        <f t="shared" si="17"/>
        <v>Low</v>
      </c>
    </row>
    <row r="556" spans="1:20">
      <c r="A556" s="2">
        <v>500564</v>
      </c>
      <c r="B556" s="2">
        <v>109567</v>
      </c>
      <c r="C556" s="8">
        <v>45872</v>
      </c>
      <c r="D556" s="2">
        <v>2017</v>
      </c>
      <c r="E556" s="2">
        <v>2</v>
      </c>
      <c r="F556" s="2">
        <v>5</v>
      </c>
      <c r="G556" s="2" t="s">
        <v>20</v>
      </c>
      <c r="H556" s="2" t="s">
        <v>21</v>
      </c>
      <c r="I556" s="2">
        <v>28</v>
      </c>
      <c r="J556" s="2" t="s">
        <v>48</v>
      </c>
      <c r="K556" s="8">
        <v>45759</v>
      </c>
      <c r="L556" s="2" t="s">
        <v>23</v>
      </c>
      <c r="M556" s="2" t="s">
        <v>44</v>
      </c>
      <c r="N556" s="2" t="s">
        <v>25</v>
      </c>
      <c r="O556" s="2">
        <v>11</v>
      </c>
      <c r="P556" s="2">
        <v>21</v>
      </c>
      <c r="Q556" s="2">
        <v>21</v>
      </c>
      <c r="R556" s="9" t="s">
        <v>26</v>
      </c>
      <c r="S556" s="9">
        <f t="shared" si="16"/>
        <v>22</v>
      </c>
      <c r="T556" s="10" t="str">
        <f t="shared" si="17"/>
        <v>Low</v>
      </c>
    </row>
    <row r="557" spans="1:20">
      <c r="A557" s="2">
        <v>500565</v>
      </c>
      <c r="B557" s="2">
        <v>107523</v>
      </c>
      <c r="C557" s="8">
        <v>46045</v>
      </c>
      <c r="D557" s="2">
        <v>2018</v>
      </c>
      <c r="E557" s="2">
        <v>4</v>
      </c>
      <c r="F557" s="2">
        <v>10</v>
      </c>
      <c r="G557" s="2" t="s">
        <v>20</v>
      </c>
      <c r="H557" s="2" t="s">
        <v>21</v>
      </c>
      <c r="I557" s="2">
        <v>40</v>
      </c>
      <c r="J557" s="2" t="s">
        <v>52</v>
      </c>
      <c r="K557" s="8">
        <v>45527</v>
      </c>
      <c r="L557" s="2" t="s">
        <v>41</v>
      </c>
      <c r="M557" s="2" t="s">
        <v>64</v>
      </c>
      <c r="N557" s="2" t="s">
        <v>34</v>
      </c>
      <c r="O557" s="2">
        <v>85</v>
      </c>
      <c r="P557" s="2">
        <v>306</v>
      </c>
      <c r="Q557" s="2">
        <v>306</v>
      </c>
      <c r="R557" s="9" t="s">
        <v>26</v>
      </c>
      <c r="S557" s="9">
        <f t="shared" si="16"/>
        <v>340</v>
      </c>
      <c r="T557" s="10" t="str">
        <f t="shared" si="17"/>
        <v>Average</v>
      </c>
    </row>
    <row r="558" spans="1:20">
      <c r="A558" s="2">
        <v>500566</v>
      </c>
      <c r="B558" s="2">
        <v>109705</v>
      </c>
      <c r="C558" s="8">
        <v>45727</v>
      </c>
      <c r="D558" s="2">
        <v>2008</v>
      </c>
      <c r="E558" s="2">
        <v>1</v>
      </c>
      <c r="F558" s="2">
        <v>5</v>
      </c>
      <c r="G558" s="2" t="s">
        <v>56</v>
      </c>
      <c r="H558" s="2" t="s">
        <v>21</v>
      </c>
      <c r="I558" s="2">
        <v>21</v>
      </c>
      <c r="J558" s="2" t="s">
        <v>32</v>
      </c>
      <c r="K558" s="8">
        <v>45114</v>
      </c>
      <c r="L558" s="2" t="s">
        <v>23</v>
      </c>
      <c r="M558" s="2" t="s">
        <v>39</v>
      </c>
      <c r="N558" s="2" t="s">
        <v>25</v>
      </c>
      <c r="O558" s="2">
        <v>14</v>
      </c>
      <c r="P558" s="2">
        <v>13</v>
      </c>
      <c r="Q558" s="2">
        <v>13</v>
      </c>
      <c r="R558" s="9" t="s">
        <v>26</v>
      </c>
      <c r="S558" s="9">
        <f t="shared" si="16"/>
        <v>14</v>
      </c>
      <c r="T558" s="10" t="str">
        <f t="shared" si="17"/>
        <v>Low</v>
      </c>
    </row>
    <row r="559" spans="1:20">
      <c r="A559" s="2">
        <v>500567</v>
      </c>
      <c r="B559" s="2">
        <v>100301</v>
      </c>
      <c r="C559" s="8">
        <v>45541</v>
      </c>
      <c r="D559" s="2">
        <v>2013</v>
      </c>
      <c r="E559" s="2">
        <v>4</v>
      </c>
      <c r="F559" s="2">
        <v>15</v>
      </c>
      <c r="G559" s="2" t="s">
        <v>31</v>
      </c>
      <c r="H559" s="2" t="s">
        <v>21</v>
      </c>
      <c r="I559" s="2">
        <v>35</v>
      </c>
      <c r="J559" s="2" t="s">
        <v>35</v>
      </c>
      <c r="K559" s="8">
        <v>45543</v>
      </c>
      <c r="L559" s="2" t="s">
        <v>49</v>
      </c>
      <c r="M559" s="2" t="s">
        <v>53</v>
      </c>
      <c r="N559" s="2" t="s">
        <v>54</v>
      </c>
      <c r="O559" s="2">
        <v>7</v>
      </c>
      <c r="P559" s="2">
        <v>24</v>
      </c>
      <c r="Q559" s="2">
        <v>24</v>
      </c>
      <c r="R559" s="9" t="s">
        <v>30</v>
      </c>
      <c r="S559" s="9">
        <f t="shared" si="16"/>
        <v>28</v>
      </c>
      <c r="T559" s="10" t="str">
        <f t="shared" si="17"/>
        <v>High</v>
      </c>
    </row>
    <row r="560" spans="1:20">
      <c r="A560" s="2">
        <v>500568</v>
      </c>
      <c r="B560" s="2">
        <v>102113</v>
      </c>
      <c r="C560" s="8">
        <v>45727</v>
      </c>
      <c r="D560" s="2">
        <v>2006</v>
      </c>
      <c r="E560" s="2">
        <v>2</v>
      </c>
      <c r="F560" s="2">
        <v>5</v>
      </c>
      <c r="G560" s="2" t="s">
        <v>20</v>
      </c>
      <c r="H560" s="2" t="s">
        <v>21</v>
      </c>
      <c r="I560" s="2">
        <v>61</v>
      </c>
      <c r="J560" s="2" t="s">
        <v>48</v>
      </c>
      <c r="K560" s="8">
        <v>45266</v>
      </c>
      <c r="L560" s="2" t="s">
        <v>41</v>
      </c>
      <c r="M560" s="2" t="s">
        <v>57</v>
      </c>
      <c r="N560" s="2" t="s">
        <v>34</v>
      </c>
      <c r="O560" s="2">
        <v>48</v>
      </c>
      <c r="P560" s="2">
        <v>91</v>
      </c>
      <c r="Q560" s="2">
        <v>91</v>
      </c>
      <c r="R560" s="9" t="s">
        <v>26</v>
      </c>
      <c r="S560" s="9">
        <f t="shared" si="16"/>
        <v>96</v>
      </c>
      <c r="T560" s="10" t="str">
        <f t="shared" si="17"/>
        <v>Low</v>
      </c>
    </row>
    <row r="561" spans="1:20">
      <c r="A561" s="2">
        <v>500569</v>
      </c>
      <c r="B561" s="2">
        <v>102776</v>
      </c>
      <c r="C561" s="8">
        <v>45478</v>
      </c>
      <c r="D561" s="2">
        <v>2008</v>
      </c>
      <c r="E561" s="2">
        <v>1</v>
      </c>
      <c r="F561" s="2">
        <v>10</v>
      </c>
      <c r="G561" s="2" t="s">
        <v>56</v>
      </c>
      <c r="H561" s="2" t="s">
        <v>21</v>
      </c>
      <c r="I561" s="2">
        <v>32</v>
      </c>
      <c r="J561" s="2" t="s">
        <v>43</v>
      </c>
      <c r="K561" s="8">
        <v>45334</v>
      </c>
      <c r="L561" s="2" t="s">
        <v>23</v>
      </c>
      <c r="M561" s="2" t="s">
        <v>39</v>
      </c>
      <c r="N561" s="2" t="s">
        <v>25</v>
      </c>
      <c r="O561" s="2">
        <v>14</v>
      </c>
      <c r="P561" s="2">
        <v>13</v>
      </c>
      <c r="Q561" s="2">
        <v>13</v>
      </c>
      <c r="R561" s="9" t="s">
        <v>30</v>
      </c>
      <c r="S561" s="9">
        <f t="shared" si="16"/>
        <v>14</v>
      </c>
      <c r="T561" s="10" t="str">
        <f t="shared" si="17"/>
        <v>Average</v>
      </c>
    </row>
    <row r="562" spans="1:20">
      <c r="A562" s="2">
        <v>500570</v>
      </c>
      <c r="B562" s="2">
        <v>105433</v>
      </c>
      <c r="C562" s="8">
        <v>45344</v>
      </c>
      <c r="D562" s="2">
        <v>2010</v>
      </c>
      <c r="E562" s="2">
        <v>5</v>
      </c>
      <c r="F562" s="2">
        <v>10</v>
      </c>
      <c r="G562" s="2" t="s">
        <v>27</v>
      </c>
      <c r="H562" s="2" t="s">
        <v>21</v>
      </c>
      <c r="I562" s="2">
        <v>33</v>
      </c>
      <c r="J562" s="2" t="s">
        <v>45</v>
      </c>
      <c r="K562" s="8">
        <v>45838</v>
      </c>
      <c r="L562" s="2" t="s">
        <v>41</v>
      </c>
      <c r="M562" s="2" t="s">
        <v>58</v>
      </c>
      <c r="N562" s="2" t="s">
        <v>59</v>
      </c>
      <c r="O562" s="2">
        <v>55</v>
      </c>
      <c r="P562" s="2">
        <v>248</v>
      </c>
      <c r="Q562" s="2">
        <v>248</v>
      </c>
      <c r="R562" s="9" t="s">
        <v>30</v>
      </c>
      <c r="S562" s="9">
        <f t="shared" si="16"/>
        <v>275</v>
      </c>
      <c r="T562" s="10" t="str">
        <f t="shared" si="17"/>
        <v>Average</v>
      </c>
    </row>
    <row r="563" spans="1:20">
      <c r="A563" s="2">
        <v>500571</v>
      </c>
      <c r="B563" s="2">
        <v>109330</v>
      </c>
      <c r="C563" s="8">
        <v>45723</v>
      </c>
      <c r="D563" s="2">
        <v>2005</v>
      </c>
      <c r="E563" s="2">
        <v>2</v>
      </c>
      <c r="F563" s="2">
        <v>10</v>
      </c>
      <c r="G563" s="2" t="s">
        <v>20</v>
      </c>
      <c r="H563" s="2" t="s">
        <v>47</v>
      </c>
      <c r="I563" s="2">
        <v>45</v>
      </c>
      <c r="J563" s="2" t="s">
        <v>32</v>
      </c>
      <c r="K563" s="8">
        <v>45156</v>
      </c>
      <c r="L563" s="2" t="s">
        <v>41</v>
      </c>
      <c r="M563" s="2" t="s">
        <v>51</v>
      </c>
      <c r="N563" s="2" t="s">
        <v>25</v>
      </c>
      <c r="O563" s="2">
        <v>28</v>
      </c>
      <c r="P563" s="2">
        <v>50</v>
      </c>
      <c r="Q563" s="2">
        <v>50</v>
      </c>
      <c r="R563" s="9" t="s">
        <v>26</v>
      </c>
      <c r="S563" s="9">
        <f t="shared" si="16"/>
        <v>56</v>
      </c>
      <c r="T563" s="10" t="str">
        <f t="shared" si="17"/>
        <v>Average</v>
      </c>
    </row>
    <row r="564" spans="1:20">
      <c r="A564" s="2">
        <v>500572</v>
      </c>
      <c r="B564" s="2">
        <v>104064</v>
      </c>
      <c r="C564" s="8">
        <v>45649</v>
      </c>
      <c r="D564" s="2">
        <v>2015</v>
      </c>
      <c r="E564" s="2">
        <v>3</v>
      </c>
      <c r="F564" s="2">
        <v>5</v>
      </c>
      <c r="G564" s="2" t="s">
        <v>20</v>
      </c>
      <c r="H564" s="2" t="s">
        <v>21</v>
      </c>
      <c r="I564" s="2">
        <v>42</v>
      </c>
      <c r="J564" s="2" t="s">
        <v>22</v>
      </c>
      <c r="K564" s="8">
        <v>44978</v>
      </c>
      <c r="L564" s="2" t="s">
        <v>41</v>
      </c>
      <c r="M564" s="2" t="s">
        <v>66</v>
      </c>
      <c r="N564" s="2" t="s">
        <v>34</v>
      </c>
      <c r="O564" s="2">
        <v>58</v>
      </c>
      <c r="P564" s="2">
        <v>165</v>
      </c>
      <c r="Q564" s="2">
        <v>165</v>
      </c>
      <c r="R564" s="9" t="s">
        <v>30</v>
      </c>
      <c r="S564" s="9">
        <f t="shared" si="16"/>
        <v>174</v>
      </c>
      <c r="T564" s="10" t="str">
        <f t="shared" si="17"/>
        <v>Low</v>
      </c>
    </row>
    <row r="565" spans="1:20">
      <c r="A565" s="2">
        <v>500573</v>
      </c>
      <c r="B565" s="2">
        <v>102281</v>
      </c>
      <c r="C565" s="8">
        <v>45319</v>
      </c>
      <c r="D565" s="2">
        <v>2003</v>
      </c>
      <c r="E565" s="2">
        <v>4</v>
      </c>
      <c r="F565" s="2">
        <v>10</v>
      </c>
      <c r="G565" s="2" t="s">
        <v>20</v>
      </c>
      <c r="H565" s="2" t="s">
        <v>21</v>
      </c>
      <c r="I565" s="2">
        <v>54</v>
      </c>
      <c r="J565" s="2" t="s">
        <v>38</v>
      </c>
      <c r="K565" s="8">
        <v>45914</v>
      </c>
      <c r="L565" s="2" t="s">
        <v>23</v>
      </c>
      <c r="M565" s="2" t="s">
        <v>24</v>
      </c>
      <c r="N565" s="2" t="s">
        <v>25</v>
      </c>
      <c r="O565" s="2">
        <v>9</v>
      </c>
      <c r="P565" s="2">
        <v>32</v>
      </c>
      <c r="Q565" s="2">
        <v>32</v>
      </c>
      <c r="R565" s="9" t="s">
        <v>30</v>
      </c>
      <c r="S565" s="9">
        <f t="shared" si="16"/>
        <v>36</v>
      </c>
      <c r="T565" s="10" t="str">
        <f t="shared" si="17"/>
        <v>Average</v>
      </c>
    </row>
    <row r="566" spans="1:20">
      <c r="A566" s="2">
        <v>500574</v>
      </c>
      <c r="B566" s="2">
        <v>104411</v>
      </c>
      <c r="C566" s="8">
        <v>45915</v>
      </c>
      <c r="D566" s="2">
        <v>2016</v>
      </c>
      <c r="E566" s="2">
        <v>1</v>
      </c>
      <c r="F566" s="2">
        <v>0</v>
      </c>
      <c r="G566" s="2" t="s">
        <v>31</v>
      </c>
      <c r="H566" s="2" t="s">
        <v>21</v>
      </c>
      <c r="I566" s="2">
        <v>23</v>
      </c>
      <c r="J566" s="2" t="s">
        <v>45</v>
      </c>
      <c r="K566" s="8">
        <v>45642</v>
      </c>
      <c r="L566" s="2" t="s">
        <v>23</v>
      </c>
      <c r="M566" s="2" t="s">
        <v>67</v>
      </c>
      <c r="N566" s="2" t="s">
        <v>34</v>
      </c>
      <c r="O566" s="2">
        <v>21</v>
      </c>
      <c r="P566" s="2">
        <v>21</v>
      </c>
      <c r="Q566" s="2">
        <v>21</v>
      </c>
      <c r="R566" s="9" t="s">
        <v>26</v>
      </c>
      <c r="S566" s="9">
        <f t="shared" si="16"/>
        <v>21</v>
      </c>
      <c r="T566" s="10" t="str">
        <f t="shared" si="17"/>
        <v>Low</v>
      </c>
    </row>
    <row r="567" spans="1:20">
      <c r="A567" s="2">
        <v>500575</v>
      </c>
      <c r="B567" s="2">
        <v>104617</v>
      </c>
      <c r="C567" s="8">
        <v>45848</v>
      </c>
      <c r="D567" s="2">
        <v>2003</v>
      </c>
      <c r="E567" s="2">
        <v>5</v>
      </c>
      <c r="F567" s="2">
        <v>10</v>
      </c>
      <c r="G567" s="2" t="s">
        <v>31</v>
      </c>
      <c r="H567" s="2" t="s">
        <v>21</v>
      </c>
      <c r="I567" s="2">
        <v>32</v>
      </c>
      <c r="J567" s="2" t="s">
        <v>32</v>
      </c>
      <c r="K567" s="8">
        <v>45419</v>
      </c>
      <c r="L567" s="2" t="s">
        <v>23</v>
      </c>
      <c r="M567" s="2" t="s">
        <v>24</v>
      </c>
      <c r="N567" s="2" t="s">
        <v>25</v>
      </c>
      <c r="O567" s="2">
        <v>9</v>
      </c>
      <c r="P567" s="2">
        <v>40</v>
      </c>
      <c r="Q567" s="2">
        <v>40</v>
      </c>
      <c r="R567" s="9" t="s">
        <v>26</v>
      </c>
      <c r="S567" s="9">
        <f t="shared" si="16"/>
        <v>45</v>
      </c>
      <c r="T567" s="10" t="str">
        <f t="shared" si="17"/>
        <v>Average</v>
      </c>
    </row>
    <row r="568" spans="1:20">
      <c r="A568" s="2">
        <v>500576</v>
      </c>
      <c r="B568" s="2">
        <v>103212</v>
      </c>
      <c r="C568" s="8">
        <v>45355</v>
      </c>
      <c r="D568" s="2">
        <v>2017</v>
      </c>
      <c r="E568" s="2">
        <v>2</v>
      </c>
      <c r="F568" s="2">
        <v>15</v>
      </c>
      <c r="G568" s="2" t="s">
        <v>20</v>
      </c>
      <c r="H568" s="2" t="s">
        <v>21</v>
      </c>
      <c r="I568" s="2">
        <v>31</v>
      </c>
      <c r="J568" s="2" t="s">
        <v>28</v>
      </c>
      <c r="K568" s="8">
        <v>45046</v>
      </c>
      <c r="L568" s="2" t="s">
        <v>23</v>
      </c>
      <c r="M568" s="2" t="s">
        <v>44</v>
      </c>
      <c r="N568" s="2" t="s">
        <v>25</v>
      </c>
      <c r="O568" s="2">
        <v>11</v>
      </c>
      <c r="P568" s="2">
        <v>19</v>
      </c>
      <c r="Q568" s="2">
        <v>19</v>
      </c>
      <c r="R568" s="9" t="s">
        <v>30</v>
      </c>
      <c r="S568" s="9">
        <f t="shared" si="16"/>
        <v>22</v>
      </c>
      <c r="T568" s="10" t="str">
        <f t="shared" si="17"/>
        <v>High</v>
      </c>
    </row>
    <row r="569" spans="1:20">
      <c r="A569" s="2">
        <v>500577</v>
      </c>
      <c r="B569" s="2">
        <v>107133</v>
      </c>
      <c r="C569" s="8">
        <v>45905</v>
      </c>
      <c r="D569" s="2">
        <v>2017</v>
      </c>
      <c r="E569" s="2">
        <v>5</v>
      </c>
      <c r="F569" s="2">
        <v>5</v>
      </c>
      <c r="G569" s="2" t="s">
        <v>27</v>
      </c>
      <c r="H569" s="2" t="s">
        <v>21</v>
      </c>
      <c r="I569" s="2">
        <v>55</v>
      </c>
      <c r="J569" s="2" t="s">
        <v>45</v>
      </c>
      <c r="K569" s="8">
        <v>46012</v>
      </c>
      <c r="L569" s="2" t="s">
        <v>23</v>
      </c>
      <c r="M569" s="2" t="s">
        <v>44</v>
      </c>
      <c r="N569" s="2" t="s">
        <v>25</v>
      </c>
      <c r="O569" s="2">
        <v>11</v>
      </c>
      <c r="P569" s="2">
        <v>52</v>
      </c>
      <c r="Q569" s="2">
        <v>52</v>
      </c>
      <c r="R569" s="9" t="s">
        <v>26</v>
      </c>
      <c r="S569" s="9">
        <f t="shared" si="16"/>
        <v>55</v>
      </c>
      <c r="T569" s="10" t="str">
        <f t="shared" si="17"/>
        <v>Low</v>
      </c>
    </row>
    <row r="570" spans="1:20">
      <c r="A570" s="2">
        <v>500578</v>
      </c>
      <c r="B570" s="2">
        <v>100278</v>
      </c>
      <c r="C570" s="8">
        <v>45363</v>
      </c>
      <c r="D570" s="2">
        <v>2006</v>
      </c>
      <c r="E570" s="2">
        <v>1</v>
      </c>
      <c r="F570" s="2">
        <v>15</v>
      </c>
      <c r="G570" s="2" t="s">
        <v>20</v>
      </c>
      <c r="H570" s="2" t="s">
        <v>21</v>
      </c>
      <c r="I570" s="2">
        <v>55</v>
      </c>
      <c r="J570" s="2" t="s">
        <v>38</v>
      </c>
      <c r="K570" s="8">
        <v>45754</v>
      </c>
      <c r="L570" s="2" t="s">
        <v>41</v>
      </c>
      <c r="M570" s="2" t="s">
        <v>57</v>
      </c>
      <c r="N570" s="2" t="s">
        <v>34</v>
      </c>
      <c r="O570" s="2">
        <v>48</v>
      </c>
      <c r="P570" s="2">
        <v>41</v>
      </c>
      <c r="Q570" s="2">
        <v>41</v>
      </c>
      <c r="R570" s="9" t="s">
        <v>30</v>
      </c>
      <c r="S570" s="9">
        <f t="shared" si="16"/>
        <v>48</v>
      </c>
      <c r="T570" s="10" t="str">
        <f t="shared" si="17"/>
        <v>High</v>
      </c>
    </row>
    <row r="571" spans="1:20">
      <c r="A571" s="2">
        <v>500579</v>
      </c>
      <c r="B571" s="2">
        <v>103072</v>
      </c>
      <c r="C571" s="8">
        <v>45739</v>
      </c>
      <c r="D571" s="2">
        <v>2016</v>
      </c>
      <c r="E571" s="2">
        <v>2</v>
      </c>
      <c r="F571" s="2">
        <v>0</v>
      </c>
      <c r="G571" s="2" t="s">
        <v>27</v>
      </c>
      <c r="H571" s="2" t="s">
        <v>21</v>
      </c>
      <c r="I571" s="2">
        <v>41</v>
      </c>
      <c r="J571" s="2" t="s">
        <v>35</v>
      </c>
      <c r="K571" s="8">
        <v>45107</v>
      </c>
      <c r="L571" s="2" t="s">
        <v>49</v>
      </c>
      <c r="M571" s="2" t="s">
        <v>67</v>
      </c>
      <c r="N571" s="2" t="s">
        <v>34</v>
      </c>
      <c r="O571" s="2">
        <v>21</v>
      </c>
      <c r="P571" s="2">
        <v>42</v>
      </c>
      <c r="Q571" s="2">
        <v>42</v>
      </c>
      <c r="R571" s="9" t="s">
        <v>26</v>
      </c>
      <c r="S571" s="9">
        <f t="shared" si="16"/>
        <v>42</v>
      </c>
      <c r="T571" s="10" t="str">
        <f t="shared" si="17"/>
        <v>Low</v>
      </c>
    </row>
    <row r="572" spans="1:20">
      <c r="A572" s="2">
        <v>500580</v>
      </c>
      <c r="B572" s="2">
        <v>102012</v>
      </c>
      <c r="C572" s="8">
        <v>45829</v>
      </c>
      <c r="D572" s="2">
        <v>2004</v>
      </c>
      <c r="E572" s="2">
        <v>3</v>
      </c>
      <c r="F572" s="2">
        <v>5</v>
      </c>
      <c r="G572" s="2" t="s">
        <v>31</v>
      </c>
      <c r="H572" s="2" t="s">
        <v>21</v>
      </c>
      <c r="I572" s="2">
        <v>36</v>
      </c>
      <c r="J572" s="2" t="s">
        <v>28</v>
      </c>
      <c r="K572" s="8">
        <v>45977</v>
      </c>
      <c r="L572" s="2" t="s">
        <v>23</v>
      </c>
      <c r="M572" s="2" t="s">
        <v>46</v>
      </c>
      <c r="N572" s="2" t="s">
        <v>34</v>
      </c>
      <c r="O572" s="2">
        <v>35</v>
      </c>
      <c r="P572" s="2">
        <v>100</v>
      </c>
      <c r="Q572" s="2">
        <v>100</v>
      </c>
      <c r="R572" s="9" t="s">
        <v>26</v>
      </c>
      <c r="S572" s="9">
        <f t="shared" si="16"/>
        <v>105</v>
      </c>
      <c r="T572" s="10" t="str">
        <f t="shared" si="17"/>
        <v>Low</v>
      </c>
    </row>
    <row r="573" spans="1:20">
      <c r="A573" s="2">
        <v>500581</v>
      </c>
      <c r="B573" s="2">
        <v>100712</v>
      </c>
      <c r="C573" s="8">
        <v>45723</v>
      </c>
      <c r="D573" s="2">
        <v>2008</v>
      </c>
      <c r="E573" s="2">
        <v>3</v>
      </c>
      <c r="F573" s="2">
        <v>0</v>
      </c>
      <c r="G573" s="2" t="s">
        <v>31</v>
      </c>
      <c r="H573" s="2" t="s">
        <v>21</v>
      </c>
      <c r="I573" s="2">
        <v>43</v>
      </c>
      <c r="J573" s="2" t="s">
        <v>35</v>
      </c>
      <c r="K573" s="8">
        <v>45365</v>
      </c>
      <c r="L573" s="2" t="s">
        <v>23</v>
      </c>
      <c r="M573" s="2" t="s">
        <v>39</v>
      </c>
      <c r="N573" s="2" t="s">
        <v>25</v>
      </c>
      <c r="O573" s="2">
        <v>14</v>
      </c>
      <c r="P573" s="2">
        <v>42</v>
      </c>
      <c r="Q573" s="2">
        <v>42</v>
      </c>
      <c r="R573" s="9" t="s">
        <v>26</v>
      </c>
      <c r="S573" s="9">
        <f t="shared" si="16"/>
        <v>42</v>
      </c>
      <c r="T573" s="10" t="str">
        <f t="shared" si="17"/>
        <v>Low</v>
      </c>
    </row>
    <row r="574" spans="1:20">
      <c r="A574" s="2">
        <v>500582</v>
      </c>
      <c r="B574" s="2">
        <v>100882</v>
      </c>
      <c r="C574" s="8">
        <v>45937</v>
      </c>
      <c r="D574" s="2">
        <v>2011</v>
      </c>
      <c r="E574" s="2">
        <v>1</v>
      </c>
      <c r="F574" s="2">
        <v>0</v>
      </c>
      <c r="G574" s="2" t="s">
        <v>31</v>
      </c>
      <c r="H574" s="2" t="s">
        <v>21</v>
      </c>
      <c r="I574" s="2">
        <v>58</v>
      </c>
      <c r="J574" s="2" t="s">
        <v>32</v>
      </c>
      <c r="K574" s="8">
        <v>45269</v>
      </c>
      <c r="L574" s="2" t="s">
        <v>41</v>
      </c>
      <c r="M574" s="2" t="s">
        <v>42</v>
      </c>
      <c r="N574" s="2" t="s">
        <v>37</v>
      </c>
      <c r="O574" s="2">
        <v>32</v>
      </c>
      <c r="P574" s="2">
        <v>32</v>
      </c>
      <c r="Q574" s="2">
        <v>32</v>
      </c>
      <c r="R574" s="9" t="s">
        <v>26</v>
      </c>
      <c r="S574" s="9">
        <f t="shared" si="16"/>
        <v>32</v>
      </c>
      <c r="T574" s="10" t="str">
        <f t="shared" si="17"/>
        <v>Low</v>
      </c>
    </row>
    <row r="575" spans="1:20">
      <c r="A575" s="2">
        <v>500583</v>
      </c>
      <c r="B575" s="2">
        <v>108578</v>
      </c>
      <c r="C575" s="8">
        <v>45625</v>
      </c>
      <c r="D575" s="2">
        <v>2020</v>
      </c>
      <c r="E575" s="2">
        <v>1</v>
      </c>
      <c r="F575" s="2">
        <v>10</v>
      </c>
      <c r="G575" s="2" t="s">
        <v>31</v>
      </c>
      <c r="H575" s="2" t="s">
        <v>21</v>
      </c>
      <c r="I575" s="2">
        <v>65</v>
      </c>
      <c r="J575" s="2" t="s">
        <v>28</v>
      </c>
      <c r="K575" s="8">
        <v>45228</v>
      </c>
      <c r="L575" s="2" t="s">
        <v>23</v>
      </c>
      <c r="M575" s="2" t="s">
        <v>62</v>
      </c>
      <c r="N575" s="2" t="s">
        <v>63</v>
      </c>
      <c r="O575" s="2">
        <v>68</v>
      </c>
      <c r="P575" s="2">
        <v>61</v>
      </c>
      <c r="Q575" s="2">
        <v>61</v>
      </c>
      <c r="R575" s="9" t="s">
        <v>30</v>
      </c>
      <c r="S575" s="9">
        <f t="shared" si="16"/>
        <v>68</v>
      </c>
      <c r="T575" s="10" t="str">
        <f t="shared" si="17"/>
        <v>Average</v>
      </c>
    </row>
    <row r="576" spans="1:20">
      <c r="A576" s="2">
        <v>500584</v>
      </c>
      <c r="B576" s="2">
        <v>104859</v>
      </c>
      <c r="C576" s="8">
        <v>45476</v>
      </c>
      <c r="D576" s="2">
        <v>2007</v>
      </c>
      <c r="E576" s="2">
        <v>2</v>
      </c>
      <c r="F576" s="2">
        <v>15</v>
      </c>
      <c r="G576" s="2" t="s">
        <v>27</v>
      </c>
      <c r="H576" s="2" t="s">
        <v>21</v>
      </c>
      <c r="I576" s="2">
        <v>30</v>
      </c>
      <c r="J576" s="2" t="s">
        <v>35</v>
      </c>
      <c r="K576" s="8">
        <v>45718</v>
      </c>
      <c r="L576" s="2" t="s">
        <v>23</v>
      </c>
      <c r="M576" s="2" t="s">
        <v>61</v>
      </c>
      <c r="N576" s="2" t="s">
        <v>34</v>
      </c>
      <c r="O576" s="2">
        <v>75</v>
      </c>
      <c r="P576" s="2">
        <v>128</v>
      </c>
      <c r="Q576" s="2">
        <v>128</v>
      </c>
      <c r="R576" s="9" t="s">
        <v>30</v>
      </c>
      <c r="S576" s="9">
        <f t="shared" si="16"/>
        <v>150</v>
      </c>
      <c r="T576" s="10" t="str">
        <f t="shared" si="17"/>
        <v>High</v>
      </c>
    </row>
    <row r="577" spans="1:20">
      <c r="A577" s="2">
        <v>500585</v>
      </c>
      <c r="B577" s="2">
        <v>109752</v>
      </c>
      <c r="C577" s="8">
        <v>45712</v>
      </c>
      <c r="D577" s="2">
        <v>2003</v>
      </c>
      <c r="E577" s="2">
        <v>3</v>
      </c>
      <c r="F577" s="2">
        <v>15</v>
      </c>
      <c r="G577" s="2" t="s">
        <v>27</v>
      </c>
      <c r="H577" s="2" t="s">
        <v>21</v>
      </c>
      <c r="I577" s="2">
        <v>44</v>
      </c>
      <c r="J577" s="2" t="s">
        <v>32</v>
      </c>
      <c r="K577" s="8">
        <v>45729</v>
      </c>
      <c r="L577" s="2" t="s">
        <v>41</v>
      </c>
      <c r="M577" s="2" t="s">
        <v>24</v>
      </c>
      <c r="N577" s="2" t="s">
        <v>25</v>
      </c>
      <c r="O577" s="2">
        <v>9</v>
      </c>
      <c r="P577" s="2">
        <v>23</v>
      </c>
      <c r="Q577" s="2">
        <v>23</v>
      </c>
      <c r="R577" s="9" t="s">
        <v>26</v>
      </c>
      <c r="S577" s="9">
        <f t="shared" si="16"/>
        <v>27</v>
      </c>
      <c r="T577" s="10" t="str">
        <f t="shared" si="17"/>
        <v>High</v>
      </c>
    </row>
    <row r="578" spans="1:20">
      <c r="A578" s="2">
        <v>500586</v>
      </c>
      <c r="B578" s="2">
        <v>101827</v>
      </c>
      <c r="C578" s="8">
        <v>45587</v>
      </c>
      <c r="D578" s="2">
        <v>2018</v>
      </c>
      <c r="E578" s="2">
        <v>3</v>
      </c>
      <c r="F578" s="2">
        <v>0</v>
      </c>
      <c r="G578" s="2" t="s">
        <v>56</v>
      </c>
      <c r="H578" s="2" t="s">
        <v>21</v>
      </c>
      <c r="I578" s="2">
        <v>23</v>
      </c>
      <c r="J578" s="2" t="s">
        <v>32</v>
      </c>
      <c r="K578" s="8">
        <v>45538</v>
      </c>
      <c r="L578" s="2" t="s">
        <v>41</v>
      </c>
      <c r="M578" s="2" t="s">
        <v>64</v>
      </c>
      <c r="N578" s="2" t="s">
        <v>34</v>
      </c>
      <c r="O578" s="2">
        <v>85</v>
      </c>
      <c r="P578" s="2">
        <v>255</v>
      </c>
      <c r="Q578" s="2">
        <v>255</v>
      </c>
      <c r="R578" s="9" t="s">
        <v>30</v>
      </c>
      <c r="S578" s="9">
        <f t="shared" ref="S578:S641" si="18">SUM(E578*O578)</f>
        <v>255</v>
      </c>
      <c r="T578" s="10" t="str">
        <f t="shared" ref="T578:T641" si="19">IF(F578&lt;=5,"Low",IF(F578&lt;=10,"Average",IF(F578&gt;10,"High")))</f>
        <v>Low</v>
      </c>
    </row>
    <row r="579" spans="1:20">
      <c r="A579" s="2">
        <v>500587</v>
      </c>
      <c r="B579" s="2">
        <v>109470</v>
      </c>
      <c r="C579" s="8">
        <v>45422</v>
      </c>
      <c r="D579" s="2">
        <v>2006</v>
      </c>
      <c r="E579" s="2">
        <v>2</v>
      </c>
      <c r="F579" s="2">
        <v>10</v>
      </c>
      <c r="G579" s="2" t="s">
        <v>20</v>
      </c>
      <c r="H579" s="2" t="s">
        <v>21</v>
      </c>
      <c r="I579" s="2">
        <v>61</v>
      </c>
      <c r="J579" s="2" t="s">
        <v>52</v>
      </c>
      <c r="K579" s="8">
        <v>45617</v>
      </c>
      <c r="L579" s="2" t="s">
        <v>41</v>
      </c>
      <c r="M579" s="2" t="s">
        <v>57</v>
      </c>
      <c r="N579" s="2" t="s">
        <v>34</v>
      </c>
      <c r="O579" s="2">
        <v>48</v>
      </c>
      <c r="P579" s="2">
        <v>86</v>
      </c>
      <c r="Q579" s="2">
        <v>86</v>
      </c>
      <c r="R579" s="9" t="s">
        <v>30</v>
      </c>
      <c r="S579" s="9">
        <f t="shared" si="18"/>
        <v>96</v>
      </c>
      <c r="T579" s="10" t="str">
        <f t="shared" si="19"/>
        <v>Average</v>
      </c>
    </row>
    <row r="580" spans="1:20">
      <c r="A580" s="2">
        <v>500588</v>
      </c>
      <c r="B580" s="2">
        <v>105016</v>
      </c>
      <c r="C580" s="8">
        <v>45699</v>
      </c>
      <c r="D580" s="2">
        <v>2015</v>
      </c>
      <c r="E580" s="2">
        <v>2</v>
      </c>
      <c r="F580" s="2">
        <v>10</v>
      </c>
      <c r="G580" s="2" t="s">
        <v>27</v>
      </c>
      <c r="H580" s="2" t="s">
        <v>21</v>
      </c>
      <c r="I580" s="2">
        <v>62</v>
      </c>
      <c r="J580" s="2" t="s">
        <v>32</v>
      </c>
      <c r="K580" s="8">
        <v>45190</v>
      </c>
      <c r="L580" s="2" t="s">
        <v>23</v>
      </c>
      <c r="M580" s="2" t="s">
        <v>66</v>
      </c>
      <c r="N580" s="2" t="s">
        <v>34</v>
      </c>
      <c r="O580" s="2">
        <v>58</v>
      </c>
      <c r="P580" s="2">
        <v>104</v>
      </c>
      <c r="Q580" s="2">
        <v>104</v>
      </c>
      <c r="R580" s="9" t="s">
        <v>26</v>
      </c>
      <c r="S580" s="9">
        <f t="shared" si="18"/>
        <v>116</v>
      </c>
      <c r="T580" s="10" t="str">
        <f t="shared" si="19"/>
        <v>Average</v>
      </c>
    </row>
    <row r="581" spans="1:20">
      <c r="A581" s="2">
        <v>500589</v>
      </c>
      <c r="B581" s="2">
        <v>101088</v>
      </c>
      <c r="C581" s="8">
        <v>45466</v>
      </c>
      <c r="D581" s="2">
        <v>2020</v>
      </c>
      <c r="E581" s="2">
        <v>1</v>
      </c>
      <c r="F581" s="2">
        <v>0</v>
      </c>
      <c r="G581" s="2" t="s">
        <v>20</v>
      </c>
      <c r="H581" s="2" t="s">
        <v>21</v>
      </c>
      <c r="I581" s="2">
        <v>65</v>
      </c>
      <c r="J581" s="2" t="s">
        <v>32</v>
      </c>
      <c r="K581" s="8">
        <v>45519</v>
      </c>
      <c r="L581" s="2" t="s">
        <v>41</v>
      </c>
      <c r="M581" s="2" t="s">
        <v>62</v>
      </c>
      <c r="N581" s="2" t="s">
        <v>63</v>
      </c>
      <c r="O581" s="2">
        <v>68</v>
      </c>
      <c r="P581" s="2">
        <v>68</v>
      </c>
      <c r="Q581" s="2">
        <v>68</v>
      </c>
      <c r="R581" s="9" t="s">
        <v>30</v>
      </c>
      <c r="S581" s="9">
        <f t="shared" si="18"/>
        <v>68</v>
      </c>
      <c r="T581" s="10" t="str">
        <f t="shared" si="19"/>
        <v>Low</v>
      </c>
    </row>
    <row r="582" spans="1:20">
      <c r="A582" s="2">
        <v>500590</v>
      </c>
      <c r="B582" s="2">
        <v>102002</v>
      </c>
      <c r="C582" s="8">
        <v>45698</v>
      </c>
      <c r="D582" s="2">
        <v>2017</v>
      </c>
      <c r="E582" s="2">
        <v>3</v>
      </c>
      <c r="F582" s="2">
        <v>15</v>
      </c>
      <c r="G582" s="2" t="s">
        <v>27</v>
      </c>
      <c r="H582" s="2" t="s">
        <v>21</v>
      </c>
      <c r="I582" s="2">
        <v>20</v>
      </c>
      <c r="J582" s="2" t="s">
        <v>52</v>
      </c>
      <c r="K582" s="8">
        <v>45650</v>
      </c>
      <c r="L582" s="2" t="s">
        <v>41</v>
      </c>
      <c r="M582" s="2" t="s">
        <v>44</v>
      </c>
      <c r="N582" s="2" t="s">
        <v>25</v>
      </c>
      <c r="O582" s="2">
        <v>11</v>
      </c>
      <c r="P582" s="2">
        <v>28</v>
      </c>
      <c r="Q582" s="2">
        <v>28</v>
      </c>
      <c r="R582" s="9" t="s">
        <v>26</v>
      </c>
      <c r="S582" s="9">
        <f t="shared" si="18"/>
        <v>33</v>
      </c>
      <c r="T582" s="10" t="str">
        <f t="shared" si="19"/>
        <v>High</v>
      </c>
    </row>
    <row r="583" spans="1:20">
      <c r="A583" s="2">
        <v>500591</v>
      </c>
      <c r="B583" s="2">
        <v>104866</v>
      </c>
      <c r="C583" s="8">
        <v>45803</v>
      </c>
      <c r="D583" s="2">
        <v>2004</v>
      </c>
      <c r="E583" s="2">
        <v>2</v>
      </c>
      <c r="F583" s="2">
        <v>20</v>
      </c>
      <c r="G583" s="2" t="s">
        <v>20</v>
      </c>
      <c r="H583" s="2" t="s">
        <v>21</v>
      </c>
      <c r="I583" s="2">
        <v>46</v>
      </c>
      <c r="J583" s="2" t="s">
        <v>43</v>
      </c>
      <c r="K583" s="8">
        <v>45123</v>
      </c>
      <c r="L583" s="2" t="s">
        <v>23</v>
      </c>
      <c r="M583" s="2" t="s">
        <v>46</v>
      </c>
      <c r="N583" s="2" t="s">
        <v>34</v>
      </c>
      <c r="O583" s="2">
        <v>35</v>
      </c>
      <c r="P583" s="2">
        <v>56</v>
      </c>
      <c r="Q583" s="2">
        <v>56</v>
      </c>
      <c r="R583" s="9" t="s">
        <v>26</v>
      </c>
      <c r="S583" s="9">
        <f t="shared" si="18"/>
        <v>70</v>
      </c>
      <c r="T583" s="10" t="str">
        <f t="shared" si="19"/>
        <v>High</v>
      </c>
    </row>
    <row r="584" spans="1:20">
      <c r="A584" s="2">
        <v>500592</v>
      </c>
      <c r="B584" s="2">
        <v>106817</v>
      </c>
      <c r="C584" s="8">
        <v>45967</v>
      </c>
      <c r="D584" s="2">
        <v>2001</v>
      </c>
      <c r="E584" s="2">
        <v>1</v>
      </c>
      <c r="F584" s="2">
        <v>15</v>
      </c>
      <c r="G584" s="2" t="s">
        <v>20</v>
      </c>
      <c r="H584" s="2" t="s">
        <v>21</v>
      </c>
      <c r="I584" s="2">
        <v>60</v>
      </c>
      <c r="J584" s="2" t="s">
        <v>48</v>
      </c>
      <c r="K584" s="8">
        <v>45876</v>
      </c>
      <c r="L584" s="2" t="s">
        <v>23</v>
      </c>
      <c r="M584" s="2" t="s">
        <v>50</v>
      </c>
      <c r="N584" s="2" t="s">
        <v>34</v>
      </c>
      <c r="O584" s="2">
        <v>18</v>
      </c>
      <c r="P584" s="2">
        <v>15</v>
      </c>
      <c r="Q584" s="2">
        <v>15</v>
      </c>
      <c r="R584" s="9" t="s">
        <v>26</v>
      </c>
      <c r="S584" s="9">
        <f t="shared" si="18"/>
        <v>18</v>
      </c>
      <c r="T584" s="10" t="str">
        <f t="shared" si="19"/>
        <v>High</v>
      </c>
    </row>
    <row r="585" spans="1:20">
      <c r="A585" s="2">
        <v>500593</v>
      </c>
      <c r="B585" s="2">
        <v>108231</v>
      </c>
      <c r="C585" s="8">
        <v>46029</v>
      </c>
      <c r="D585" s="2">
        <v>2017</v>
      </c>
      <c r="E585" s="2">
        <v>3</v>
      </c>
      <c r="F585" s="2">
        <v>0</v>
      </c>
      <c r="G585" s="2" t="s">
        <v>31</v>
      </c>
      <c r="H585" s="2" t="s">
        <v>21</v>
      </c>
      <c r="I585" s="2">
        <v>33</v>
      </c>
      <c r="J585" s="2" t="s">
        <v>43</v>
      </c>
      <c r="K585" s="8">
        <v>45367</v>
      </c>
      <c r="L585" s="2" t="s">
        <v>23</v>
      </c>
      <c r="M585" s="2" t="s">
        <v>44</v>
      </c>
      <c r="N585" s="2" t="s">
        <v>25</v>
      </c>
      <c r="O585" s="2">
        <v>11</v>
      </c>
      <c r="P585" s="2">
        <v>33</v>
      </c>
      <c r="Q585" s="2">
        <v>33</v>
      </c>
      <c r="R585" s="9" t="s">
        <v>26</v>
      </c>
      <c r="S585" s="9">
        <f t="shared" si="18"/>
        <v>33</v>
      </c>
      <c r="T585" s="10" t="str">
        <f t="shared" si="19"/>
        <v>Low</v>
      </c>
    </row>
    <row r="586" spans="1:20">
      <c r="A586" s="2">
        <v>500594</v>
      </c>
      <c r="B586" s="2">
        <v>109192</v>
      </c>
      <c r="C586" s="8">
        <v>45869</v>
      </c>
      <c r="D586" s="2">
        <v>2018</v>
      </c>
      <c r="E586" s="2">
        <v>4</v>
      </c>
      <c r="F586" s="2">
        <v>10</v>
      </c>
      <c r="G586" s="2" t="s">
        <v>27</v>
      </c>
      <c r="H586" s="2" t="s">
        <v>21</v>
      </c>
      <c r="I586" s="2">
        <v>64</v>
      </c>
      <c r="J586" s="2" t="s">
        <v>22</v>
      </c>
      <c r="K586" s="8">
        <v>45862</v>
      </c>
      <c r="L586" s="2" t="s">
        <v>41</v>
      </c>
      <c r="M586" s="2" t="s">
        <v>64</v>
      </c>
      <c r="N586" s="2" t="s">
        <v>34</v>
      </c>
      <c r="O586" s="2">
        <v>85</v>
      </c>
      <c r="P586" s="2">
        <v>306</v>
      </c>
      <c r="Q586" s="2">
        <v>306</v>
      </c>
      <c r="R586" s="9" t="s">
        <v>26</v>
      </c>
      <c r="S586" s="9">
        <f t="shared" si="18"/>
        <v>340</v>
      </c>
      <c r="T586" s="10" t="str">
        <f t="shared" si="19"/>
        <v>Average</v>
      </c>
    </row>
    <row r="587" spans="1:20">
      <c r="A587" s="2">
        <v>500595</v>
      </c>
      <c r="B587" s="2">
        <v>108901</v>
      </c>
      <c r="C587" s="8">
        <v>46068</v>
      </c>
      <c r="D587" s="2">
        <v>2004</v>
      </c>
      <c r="E587" s="2">
        <v>1</v>
      </c>
      <c r="F587" s="2">
        <v>10</v>
      </c>
      <c r="G587" s="2" t="s">
        <v>20</v>
      </c>
      <c r="H587" s="2" t="s">
        <v>21</v>
      </c>
      <c r="I587" s="2">
        <v>24</v>
      </c>
      <c r="J587" s="2" t="s">
        <v>45</v>
      </c>
      <c r="K587" s="8">
        <v>45050</v>
      </c>
      <c r="L587" s="2" t="s">
        <v>23</v>
      </c>
      <c r="M587" s="2" t="s">
        <v>46</v>
      </c>
      <c r="N587" s="2" t="s">
        <v>34</v>
      </c>
      <c r="O587" s="2">
        <v>35</v>
      </c>
      <c r="P587" s="2">
        <v>32</v>
      </c>
      <c r="Q587" s="2">
        <v>32</v>
      </c>
      <c r="R587" s="9" t="s">
        <v>26</v>
      </c>
      <c r="S587" s="9">
        <f t="shared" si="18"/>
        <v>35</v>
      </c>
      <c r="T587" s="10" t="str">
        <f t="shared" si="19"/>
        <v>Average</v>
      </c>
    </row>
    <row r="588" spans="1:20">
      <c r="A588" s="2">
        <v>500596</v>
      </c>
      <c r="B588" s="2">
        <v>105833</v>
      </c>
      <c r="C588" s="8">
        <v>45773</v>
      </c>
      <c r="D588" s="2">
        <v>2013</v>
      </c>
      <c r="E588" s="2">
        <v>1</v>
      </c>
      <c r="F588" s="2">
        <v>0</v>
      </c>
      <c r="G588" s="2" t="s">
        <v>20</v>
      </c>
      <c r="H588" s="2" t="s">
        <v>21</v>
      </c>
      <c r="I588" s="2">
        <v>57</v>
      </c>
      <c r="J588" s="2" t="s">
        <v>45</v>
      </c>
      <c r="K588" s="8">
        <v>45825</v>
      </c>
      <c r="L588" s="2" t="s">
        <v>41</v>
      </c>
      <c r="M588" s="2" t="s">
        <v>53</v>
      </c>
      <c r="N588" s="2" t="s">
        <v>54</v>
      </c>
      <c r="O588" s="2">
        <v>7</v>
      </c>
      <c r="P588" s="2">
        <v>7</v>
      </c>
      <c r="Q588" s="2">
        <v>7</v>
      </c>
      <c r="R588" s="9" t="s">
        <v>26</v>
      </c>
      <c r="S588" s="9">
        <f t="shared" si="18"/>
        <v>7</v>
      </c>
      <c r="T588" s="10" t="str">
        <f t="shared" si="19"/>
        <v>Low</v>
      </c>
    </row>
    <row r="589" spans="1:20">
      <c r="A589" s="2">
        <v>500597</v>
      </c>
      <c r="B589" s="2">
        <v>100286</v>
      </c>
      <c r="C589" s="8">
        <v>45905</v>
      </c>
      <c r="D589" s="2">
        <v>2001</v>
      </c>
      <c r="E589" s="2">
        <v>3</v>
      </c>
      <c r="F589" s="2">
        <v>10</v>
      </c>
      <c r="G589" s="2" t="s">
        <v>31</v>
      </c>
      <c r="H589" s="2" t="s">
        <v>21</v>
      </c>
      <c r="I589" s="2">
        <v>63</v>
      </c>
      <c r="J589" s="2" t="s">
        <v>32</v>
      </c>
      <c r="K589" s="8">
        <v>44977</v>
      </c>
      <c r="L589" s="2" t="s">
        <v>41</v>
      </c>
      <c r="M589" s="2" t="s">
        <v>50</v>
      </c>
      <c r="N589" s="2" t="s">
        <v>34</v>
      </c>
      <c r="O589" s="2">
        <v>18</v>
      </c>
      <c r="P589" s="2">
        <v>49</v>
      </c>
      <c r="Q589" s="2">
        <v>49</v>
      </c>
      <c r="R589" s="9" t="s">
        <v>26</v>
      </c>
      <c r="S589" s="9">
        <f t="shared" si="18"/>
        <v>54</v>
      </c>
      <c r="T589" s="10" t="str">
        <f t="shared" si="19"/>
        <v>Average</v>
      </c>
    </row>
    <row r="590" spans="1:20">
      <c r="A590" s="2">
        <v>500598</v>
      </c>
      <c r="B590" s="2">
        <v>101039</v>
      </c>
      <c r="C590" s="8">
        <v>45957</v>
      </c>
      <c r="D590" s="2">
        <v>2011</v>
      </c>
      <c r="E590" s="2">
        <v>2</v>
      </c>
      <c r="F590" s="2">
        <v>0</v>
      </c>
      <c r="G590" s="2" t="s">
        <v>56</v>
      </c>
      <c r="H590" s="2" t="s">
        <v>21</v>
      </c>
      <c r="I590" s="2">
        <v>38</v>
      </c>
      <c r="J590" s="2" t="s">
        <v>32</v>
      </c>
      <c r="K590" s="8">
        <v>45542</v>
      </c>
      <c r="L590" s="2" t="s">
        <v>41</v>
      </c>
      <c r="M590" s="2" t="s">
        <v>42</v>
      </c>
      <c r="N590" s="2" t="s">
        <v>37</v>
      </c>
      <c r="O590" s="2">
        <v>32</v>
      </c>
      <c r="P590" s="2">
        <v>64</v>
      </c>
      <c r="Q590" s="2">
        <v>64</v>
      </c>
      <c r="R590" s="9" t="s">
        <v>26</v>
      </c>
      <c r="S590" s="9">
        <f t="shared" si="18"/>
        <v>64</v>
      </c>
      <c r="T590" s="10" t="str">
        <f t="shared" si="19"/>
        <v>Low</v>
      </c>
    </row>
    <row r="591" spans="1:20">
      <c r="A591" s="2">
        <v>500599</v>
      </c>
      <c r="B591" s="2">
        <v>109948</v>
      </c>
      <c r="C591" s="8">
        <v>46004</v>
      </c>
      <c r="D591" s="2">
        <v>2013</v>
      </c>
      <c r="E591" s="2">
        <v>1</v>
      </c>
      <c r="F591" s="2">
        <v>20</v>
      </c>
      <c r="G591" s="2" t="s">
        <v>31</v>
      </c>
      <c r="H591" s="2" t="s">
        <v>21</v>
      </c>
      <c r="I591" s="2">
        <v>59</v>
      </c>
      <c r="J591" s="2" t="s">
        <v>43</v>
      </c>
      <c r="K591" s="8">
        <v>45756</v>
      </c>
      <c r="L591" s="2" t="s">
        <v>41</v>
      </c>
      <c r="M591" s="2" t="s">
        <v>53</v>
      </c>
      <c r="N591" s="2" t="s">
        <v>54</v>
      </c>
      <c r="O591" s="2">
        <v>7</v>
      </c>
      <c r="P591" s="2">
        <v>6</v>
      </c>
      <c r="Q591" s="2">
        <v>6</v>
      </c>
      <c r="R591" s="9" t="s">
        <v>26</v>
      </c>
      <c r="S591" s="9">
        <f t="shared" si="18"/>
        <v>7</v>
      </c>
      <c r="T591" s="10" t="str">
        <f t="shared" si="19"/>
        <v>High</v>
      </c>
    </row>
    <row r="592" spans="1:20">
      <c r="A592" s="2">
        <v>500600</v>
      </c>
      <c r="B592" s="2">
        <v>101577</v>
      </c>
      <c r="C592" s="8">
        <v>45941</v>
      </c>
      <c r="D592" s="2">
        <v>2005</v>
      </c>
      <c r="E592" s="2">
        <v>1</v>
      </c>
      <c r="F592" s="2">
        <v>5</v>
      </c>
      <c r="G592" s="2" t="s">
        <v>20</v>
      </c>
      <c r="H592" s="2" t="s">
        <v>21</v>
      </c>
      <c r="I592" s="2">
        <v>44</v>
      </c>
      <c r="J592" s="2" t="s">
        <v>43</v>
      </c>
      <c r="K592" s="8">
        <v>45734</v>
      </c>
      <c r="L592" s="2" t="s">
        <v>23</v>
      </c>
      <c r="M592" s="2" t="s">
        <v>51</v>
      </c>
      <c r="N592" s="2" t="s">
        <v>25</v>
      </c>
      <c r="O592" s="2">
        <v>28</v>
      </c>
      <c r="P592" s="2">
        <v>27</v>
      </c>
      <c r="Q592" s="2">
        <v>27</v>
      </c>
      <c r="R592" s="9" t="s">
        <v>26</v>
      </c>
      <c r="S592" s="9">
        <f t="shared" si="18"/>
        <v>28</v>
      </c>
      <c r="T592" s="10" t="str">
        <f t="shared" si="19"/>
        <v>Low</v>
      </c>
    </row>
    <row r="593" spans="1:20">
      <c r="A593" s="2">
        <v>500601</v>
      </c>
      <c r="B593" s="2">
        <v>100938</v>
      </c>
      <c r="C593" s="8">
        <v>46080</v>
      </c>
      <c r="D593" s="2">
        <v>2003</v>
      </c>
      <c r="E593" s="2">
        <v>1</v>
      </c>
      <c r="F593" s="2">
        <v>0</v>
      </c>
      <c r="G593" s="2" t="s">
        <v>27</v>
      </c>
      <c r="H593" s="2" t="s">
        <v>21</v>
      </c>
      <c r="I593" s="2">
        <v>25</v>
      </c>
      <c r="J593" s="2" t="s">
        <v>45</v>
      </c>
      <c r="K593" s="8">
        <v>45066</v>
      </c>
      <c r="L593" s="2" t="s">
        <v>49</v>
      </c>
      <c r="M593" s="2" t="s">
        <v>24</v>
      </c>
      <c r="N593" s="2" t="s">
        <v>25</v>
      </c>
      <c r="O593" s="2">
        <v>9</v>
      </c>
      <c r="P593" s="2">
        <v>9</v>
      </c>
      <c r="Q593" s="2">
        <v>9</v>
      </c>
      <c r="R593" s="9" t="s">
        <v>26</v>
      </c>
      <c r="S593" s="9">
        <f t="shared" si="18"/>
        <v>9</v>
      </c>
      <c r="T593" s="10" t="str">
        <f t="shared" si="19"/>
        <v>Low</v>
      </c>
    </row>
    <row r="594" spans="1:20">
      <c r="A594" s="2">
        <v>500602</v>
      </c>
      <c r="B594" s="2">
        <v>108181</v>
      </c>
      <c r="C594" s="8">
        <v>45700</v>
      </c>
      <c r="D594" s="2">
        <v>2007</v>
      </c>
      <c r="E594" s="2">
        <v>2</v>
      </c>
      <c r="F594" s="2">
        <v>10</v>
      </c>
      <c r="G594" s="2" t="s">
        <v>31</v>
      </c>
      <c r="H594" s="2" t="s">
        <v>21</v>
      </c>
      <c r="I594" s="2">
        <v>40</v>
      </c>
      <c r="J594" s="2" t="s">
        <v>43</v>
      </c>
      <c r="K594" s="8">
        <v>45992</v>
      </c>
      <c r="L594" s="2" t="s">
        <v>23</v>
      </c>
      <c r="M594" s="2" t="s">
        <v>61</v>
      </c>
      <c r="N594" s="2" t="s">
        <v>34</v>
      </c>
      <c r="O594" s="2">
        <v>75</v>
      </c>
      <c r="P594" s="2">
        <v>135</v>
      </c>
      <c r="Q594" s="2">
        <v>135</v>
      </c>
      <c r="R594" s="9" t="s">
        <v>26</v>
      </c>
      <c r="S594" s="9">
        <f t="shared" si="18"/>
        <v>150</v>
      </c>
      <c r="T594" s="10" t="str">
        <f t="shared" si="19"/>
        <v>Average</v>
      </c>
    </row>
    <row r="595" spans="1:20">
      <c r="A595" s="2">
        <v>500603</v>
      </c>
      <c r="B595" s="2">
        <v>105508</v>
      </c>
      <c r="C595" s="8">
        <v>46144</v>
      </c>
      <c r="D595" s="2">
        <v>2020</v>
      </c>
      <c r="E595" s="2">
        <v>1</v>
      </c>
      <c r="F595" s="2">
        <v>5</v>
      </c>
      <c r="G595" s="2" t="s">
        <v>27</v>
      </c>
      <c r="H595" s="2" t="s">
        <v>21</v>
      </c>
      <c r="I595" s="2">
        <v>21</v>
      </c>
      <c r="J595" s="2" t="s">
        <v>32</v>
      </c>
      <c r="K595" s="8">
        <v>45203</v>
      </c>
      <c r="L595" s="2" t="s">
        <v>49</v>
      </c>
      <c r="M595" s="2" t="s">
        <v>62</v>
      </c>
      <c r="N595" s="2" t="s">
        <v>63</v>
      </c>
      <c r="O595" s="2">
        <v>68</v>
      </c>
      <c r="P595" s="2">
        <v>65</v>
      </c>
      <c r="Q595" s="2">
        <v>65</v>
      </c>
      <c r="R595" s="9" t="s">
        <v>26</v>
      </c>
      <c r="S595" s="9">
        <f t="shared" si="18"/>
        <v>68</v>
      </c>
      <c r="T595" s="10" t="str">
        <f t="shared" si="19"/>
        <v>Low</v>
      </c>
    </row>
    <row r="596" spans="1:20">
      <c r="A596" s="2">
        <v>500604</v>
      </c>
      <c r="B596" s="2">
        <v>104162</v>
      </c>
      <c r="C596" s="8">
        <v>45637</v>
      </c>
      <c r="D596" s="2">
        <v>2002</v>
      </c>
      <c r="E596" s="2">
        <v>2</v>
      </c>
      <c r="F596" s="2">
        <v>0</v>
      </c>
      <c r="G596" s="2" t="s">
        <v>56</v>
      </c>
      <c r="H596" s="2" t="s">
        <v>21</v>
      </c>
      <c r="I596" s="2">
        <v>36</v>
      </c>
      <c r="J596" s="2" t="s">
        <v>55</v>
      </c>
      <c r="K596" s="8">
        <v>45801</v>
      </c>
      <c r="L596" s="2" t="s">
        <v>41</v>
      </c>
      <c r="M596" s="2" t="s">
        <v>33</v>
      </c>
      <c r="N596" s="2" t="s">
        <v>34</v>
      </c>
      <c r="O596" s="2">
        <v>62</v>
      </c>
      <c r="P596" s="2">
        <v>124</v>
      </c>
      <c r="Q596" s="2">
        <v>124</v>
      </c>
      <c r="R596" s="9" t="s">
        <v>30</v>
      </c>
      <c r="S596" s="9">
        <f t="shared" si="18"/>
        <v>124</v>
      </c>
      <c r="T596" s="10" t="str">
        <f t="shared" si="19"/>
        <v>Low</v>
      </c>
    </row>
    <row r="597" spans="1:20">
      <c r="A597" s="2">
        <v>500605</v>
      </c>
      <c r="B597" s="2">
        <v>104468</v>
      </c>
      <c r="C597" s="8">
        <v>45352</v>
      </c>
      <c r="D597" s="2">
        <v>2005</v>
      </c>
      <c r="E597" s="2">
        <v>3</v>
      </c>
      <c r="F597" s="2">
        <v>15</v>
      </c>
      <c r="G597" s="2" t="s">
        <v>27</v>
      </c>
      <c r="H597" s="2" t="s">
        <v>21</v>
      </c>
      <c r="I597" s="2">
        <v>63</v>
      </c>
      <c r="J597" s="2" t="s">
        <v>48</v>
      </c>
      <c r="K597" s="8">
        <v>45743</v>
      </c>
      <c r="L597" s="2" t="s">
        <v>49</v>
      </c>
      <c r="M597" s="2" t="s">
        <v>51</v>
      </c>
      <c r="N597" s="2" t="s">
        <v>25</v>
      </c>
      <c r="O597" s="2">
        <v>28</v>
      </c>
      <c r="P597" s="2">
        <v>71</v>
      </c>
      <c r="Q597" s="2">
        <v>71</v>
      </c>
      <c r="R597" s="9" t="s">
        <v>30</v>
      </c>
      <c r="S597" s="9">
        <f t="shared" si="18"/>
        <v>84</v>
      </c>
      <c r="T597" s="10" t="str">
        <f t="shared" si="19"/>
        <v>High</v>
      </c>
    </row>
    <row r="598" spans="1:20">
      <c r="A598" s="2">
        <v>500606</v>
      </c>
      <c r="B598" s="2">
        <v>106815</v>
      </c>
      <c r="C598" s="8">
        <v>45449</v>
      </c>
      <c r="D598" s="2">
        <v>2001</v>
      </c>
      <c r="E598" s="2">
        <v>1</v>
      </c>
      <c r="F598" s="2">
        <v>5</v>
      </c>
      <c r="G598" s="2" t="s">
        <v>27</v>
      </c>
      <c r="H598" s="2" t="s">
        <v>21</v>
      </c>
      <c r="I598" s="2">
        <v>35</v>
      </c>
      <c r="J598" s="2" t="s">
        <v>43</v>
      </c>
      <c r="K598" s="8">
        <v>45939</v>
      </c>
      <c r="L598" s="2" t="s">
        <v>23</v>
      </c>
      <c r="M598" s="2" t="s">
        <v>50</v>
      </c>
      <c r="N598" s="2" t="s">
        <v>34</v>
      </c>
      <c r="O598" s="2">
        <v>18</v>
      </c>
      <c r="P598" s="2">
        <v>17</v>
      </c>
      <c r="Q598" s="2">
        <v>17</v>
      </c>
      <c r="R598" s="9" t="s">
        <v>30</v>
      </c>
      <c r="S598" s="9">
        <f t="shared" si="18"/>
        <v>18</v>
      </c>
      <c r="T598" s="10" t="str">
        <f t="shared" si="19"/>
        <v>Low</v>
      </c>
    </row>
    <row r="599" spans="1:20">
      <c r="A599" s="2">
        <v>500607</v>
      </c>
      <c r="B599" s="2">
        <v>109956</v>
      </c>
      <c r="C599" s="8">
        <v>45774</v>
      </c>
      <c r="D599" s="2">
        <v>2008</v>
      </c>
      <c r="E599" s="2">
        <v>4</v>
      </c>
      <c r="F599" s="2">
        <v>10</v>
      </c>
      <c r="G599" s="2" t="s">
        <v>20</v>
      </c>
      <c r="H599" s="2" t="s">
        <v>21</v>
      </c>
      <c r="I599" s="2">
        <v>27</v>
      </c>
      <c r="J599" s="2" t="s">
        <v>45</v>
      </c>
      <c r="K599" s="8">
        <v>45281</v>
      </c>
      <c r="L599" s="2" t="s">
        <v>23</v>
      </c>
      <c r="M599" s="2" t="s">
        <v>39</v>
      </c>
      <c r="N599" s="2" t="s">
        <v>25</v>
      </c>
      <c r="O599" s="2">
        <v>14</v>
      </c>
      <c r="P599" s="2">
        <v>50</v>
      </c>
      <c r="Q599" s="2">
        <v>50</v>
      </c>
      <c r="R599" s="9" t="s">
        <v>26</v>
      </c>
      <c r="S599" s="9">
        <f t="shared" si="18"/>
        <v>56</v>
      </c>
      <c r="T599" s="10" t="str">
        <f t="shared" si="19"/>
        <v>Average</v>
      </c>
    </row>
    <row r="600" spans="1:20">
      <c r="A600" s="2">
        <v>500608</v>
      </c>
      <c r="B600" s="2">
        <v>106768</v>
      </c>
      <c r="C600" s="8">
        <v>45304</v>
      </c>
      <c r="D600" s="2">
        <v>2019</v>
      </c>
      <c r="E600" s="2">
        <v>1</v>
      </c>
      <c r="F600" s="2">
        <v>0</v>
      </c>
      <c r="G600" s="2" t="s">
        <v>27</v>
      </c>
      <c r="H600" s="2" t="s">
        <v>21</v>
      </c>
      <c r="I600" s="2">
        <v>44</v>
      </c>
      <c r="J600" s="2" t="s">
        <v>38</v>
      </c>
      <c r="K600" s="8">
        <v>45592</v>
      </c>
      <c r="L600" s="2" t="s">
        <v>23</v>
      </c>
      <c r="M600" s="2" t="s">
        <v>60</v>
      </c>
      <c r="N600" s="2" t="s">
        <v>34</v>
      </c>
      <c r="O600" s="2">
        <v>260</v>
      </c>
      <c r="P600" s="2">
        <v>260</v>
      </c>
      <c r="Q600" s="2">
        <v>260</v>
      </c>
      <c r="R600" s="9" t="s">
        <v>30</v>
      </c>
      <c r="S600" s="9">
        <f t="shared" si="18"/>
        <v>260</v>
      </c>
      <c r="T600" s="10" t="str">
        <f t="shared" si="19"/>
        <v>Low</v>
      </c>
    </row>
    <row r="601" spans="1:20">
      <c r="A601" s="2">
        <v>500609</v>
      </c>
      <c r="B601" s="2">
        <v>105698</v>
      </c>
      <c r="C601" s="8">
        <v>45428</v>
      </c>
      <c r="D601" s="2">
        <v>2017</v>
      </c>
      <c r="E601" s="2">
        <v>1</v>
      </c>
      <c r="F601" s="2">
        <v>30</v>
      </c>
      <c r="G601" s="2" t="s">
        <v>20</v>
      </c>
      <c r="H601" s="2" t="s">
        <v>21</v>
      </c>
      <c r="I601" s="2">
        <v>54</v>
      </c>
      <c r="J601" s="2" t="s">
        <v>48</v>
      </c>
      <c r="K601" s="8">
        <v>45026</v>
      </c>
      <c r="L601" s="2" t="s">
        <v>23</v>
      </c>
      <c r="M601" s="2" t="s">
        <v>44</v>
      </c>
      <c r="N601" s="2" t="s">
        <v>25</v>
      </c>
      <c r="O601" s="2">
        <v>11</v>
      </c>
      <c r="P601" s="2">
        <v>8</v>
      </c>
      <c r="Q601" s="2">
        <v>8</v>
      </c>
      <c r="R601" s="9" t="s">
        <v>30</v>
      </c>
      <c r="S601" s="9">
        <f t="shared" si="18"/>
        <v>11</v>
      </c>
      <c r="T601" s="10" t="str">
        <f t="shared" si="19"/>
        <v>High</v>
      </c>
    </row>
    <row r="602" spans="1:20">
      <c r="A602" s="2">
        <v>500610</v>
      </c>
      <c r="B602" s="2">
        <v>102132</v>
      </c>
      <c r="C602" s="8">
        <v>45615</v>
      </c>
      <c r="D602" s="2">
        <v>2013</v>
      </c>
      <c r="E602" s="2">
        <v>2</v>
      </c>
      <c r="F602" s="2">
        <v>10</v>
      </c>
      <c r="G602" s="2" t="s">
        <v>20</v>
      </c>
      <c r="H602" s="2" t="s">
        <v>21</v>
      </c>
      <c r="I602" s="2">
        <v>64</v>
      </c>
      <c r="J602" s="2" t="s">
        <v>48</v>
      </c>
      <c r="K602" s="8">
        <v>45965</v>
      </c>
      <c r="L602" s="2" t="s">
        <v>23</v>
      </c>
      <c r="M602" s="2" t="s">
        <v>53</v>
      </c>
      <c r="N602" s="2" t="s">
        <v>54</v>
      </c>
      <c r="O602" s="2">
        <v>7</v>
      </c>
      <c r="P602" s="2">
        <v>13</v>
      </c>
      <c r="Q602" s="2">
        <v>13</v>
      </c>
      <c r="R602" s="9" t="s">
        <v>30</v>
      </c>
      <c r="S602" s="9">
        <f t="shared" si="18"/>
        <v>14</v>
      </c>
      <c r="T602" s="10" t="str">
        <f t="shared" si="19"/>
        <v>Average</v>
      </c>
    </row>
    <row r="603" spans="1:20">
      <c r="A603" s="2">
        <v>500611</v>
      </c>
      <c r="B603" s="2">
        <v>103395</v>
      </c>
      <c r="C603" s="8">
        <v>45831</v>
      </c>
      <c r="D603" s="2">
        <v>2001</v>
      </c>
      <c r="E603" s="2">
        <v>1</v>
      </c>
      <c r="F603" s="2">
        <v>10</v>
      </c>
      <c r="G603" s="2" t="s">
        <v>56</v>
      </c>
      <c r="H603" s="2" t="s">
        <v>21</v>
      </c>
      <c r="I603" s="2">
        <v>34</v>
      </c>
      <c r="J603" s="2" t="s">
        <v>32</v>
      </c>
      <c r="K603" s="8">
        <v>45575</v>
      </c>
      <c r="L603" s="2" t="s">
        <v>41</v>
      </c>
      <c r="M603" s="2" t="s">
        <v>50</v>
      </c>
      <c r="N603" s="2" t="s">
        <v>34</v>
      </c>
      <c r="O603" s="2">
        <v>18</v>
      </c>
      <c r="P603" s="2">
        <v>16</v>
      </c>
      <c r="Q603" s="2">
        <v>16</v>
      </c>
      <c r="R603" s="9" t="s">
        <v>26</v>
      </c>
      <c r="S603" s="9">
        <f t="shared" si="18"/>
        <v>18</v>
      </c>
      <c r="T603" s="10" t="str">
        <f t="shared" si="19"/>
        <v>Average</v>
      </c>
    </row>
    <row r="604" spans="1:20">
      <c r="A604" s="2">
        <v>500612</v>
      </c>
      <c r="B604" s="2">
        <v>102926</v>
      </c>
      <c r="C604" s="8">
        <v>45435</v>
      </c>
      <c r="D604" s="2">
        <v>2002</v>
      </c>
      <c r="E604" s="2">
        <v>1</v>
      </c>
      <c r="F604" s="2">
        <v>0</v>
      </c>
      <c r="G604" s="2" t="s">
        <v>56</v>
      </c>
      <c r="H604" s="2" t="s">
        <v>21</v>
      </c>
      <c r="I604" s="2">
        <v>26</v>
      </c>
      <c r="J604" s="2" t="s">
        <v>32</v>
      </c>
      <c r="K604" s="8">
        <v>45086</v>
      </c>
      <c r="L604" s="2" t="s">
        <v>23</v>
      </c>
      <c r="M604" s="2" t="s">
        <v>33</v>
      </c>
      <c r="N604" s="2" t="s">
        <v>34</v>
      </c>
      <c r="O604" s="2">
        <v>62</v>
      </c>
      <c r="P604" s="2">
        <v>62</v>
      </c>
      <c r="Q604" s="2">
        <v>62</v>
      </c>
      <c r="R604" s="9" t="s">
        <v>30</v>
      </c>
      <c r="S604" s="9">
        <f t="shared" si="18"/>
        <v>62</v>
      </c>
      <c r="T604" s="10" t="str">
        <f t="shared" si="19"/>
        <v>Low</v>
      </c>
    </row>
    <row r="605" spans="1:20">
      <c r="A605" s="2">
        <v>500613</v>
      </c>
      <c r="B605" s="2">
        <v>107321</v>
      </c>
      <c r="C605" s="8">
        <v>45788</v>
      </c>
      <c r="D605" s="2">
        <v>2005</v>
      </c>
      <c r="E605" s="2">
        <v>1</v>
      </c>
      <c r="F605" s="2">
        <v>5</v>
      </c>
      <c r="G605" s="2" t="s">
        <v>20</v>
      </c>
      <c r="H605" s="2" t="s">
        <v>21</v>
      </c>
      <c r="I605" s="2">
        <v>28</v>
      </c>
      <c r="J605" s="2" t="s">
        <v>43</v>
      </c>
      <c r="K605" s="8">
        <v>45078</v>
      </c>
      <c r="L605" s="2" t="s">
        <v>23</v>
      </c>
      <c r="M605" s="2" t="s">
        <v>51</v>
      </c>
      <c r="N605" s="2" t="s">
        <v>25</v>
      </c>
      <c r="O605" s="2">
        <v>28</v>
      </c>
      <c r="P605" s="2">
        <v>27</v>
      </c>
      <c r="Q605" s="2">
        <v>27</v>
      </c>
      <c r="R605" s="9" t="s">
        <v>26</v>
      </c>
      <c r="S605" s="9">
        <f t="shared" si="18"/>
        <v>28</v>
      </c>
      <c r="T605" s="10" t="str">
        <f t="shared" si="19"/>
        <v>Low</v>
      </c>
    </row>
    <row r="606" spans="1:20">
      <c r="A606" s="2">
        <v>500614</v>
      </c>
      <c r="B606" s="2">
        <v>107197</v>
      </c>
      <c r="C606" s="8">
        <v>45864</v>
      </c>
      <c r="D606" s="2">
        <v>2015</v>
      </c>
      <c r="E606" s="2">
        <v>1</v>
      </c>
      <c r="F606" s="2">
        <v>0</v>
      </c>
      <c r="G606" s="2" t="s">
        <v>20</v>
      </c>
      <c r="H606" s="2" t="s">
        <v>21</v>
      </c>
      <c r="I606" s="2">
        <v>32</v>
      </c>
      <c r="J606" s="2" t="s">
        <v>32</v>
      </c>
      <c r="K606" s="8">
        <v>45741</v>
      </c>
      <c r="L606" s="2" t="s">
        <v>23</v>
      </c>
      <c r="M606" s="2" t="s">
        <v>66</v>
      </c>
      <c r="N606" s="2" t="s">
        <v>34</v>
      </c>
      <c r="O606" s="2">
        <v>58</v>
      </c>
      <c r="P606" s="2">
        <v>58</v>
      </c>
      <c r="Q606" s="2">
        <v>58</v>
      </c>
      <c r="R606" s="9" t="s">
        <v>26</v>
      </c>
      <c r="S606" s="9">
        <f t="shared" si="18"/>
        <v>58</v>
      </c>
      <c r="T606" s="10" t="str">
        <f t="shared" si="19"/>
        <v>Low</v>
      </c>
    </row>
    <row r="607" spans="1:20">
      <c r="A607" s="2">
        <v>500615</v>
      </c>
      <c r="B607" s="2">
        <v>100379</v>
      </c>
      <c r="C607" s="8">
        <v>45951</v>
      </c>
      <c r="D607" s="2">
        <v>2008</v>
      </c>
      <c r="E607" s="2">
        <v>2</v>
      </c>
      <c r="F607" s="2">
        <v>0</v>
      </c>
      <c r="G607" s="2" t="s">
        <v>27</v>
      </c>
      <c r="H607" s="2" t="s">
        <v>21</v>
      </c>
      <c r="I607" s="2">
        <v>36</v>
      </c>
      <c r="J607" s="2" t="s">
        <v>32</v>
      </c>
      <c r="K607" s="8">
        <v>45943</v>
      </c>
      <c r="L607" s="2" t="s">
        <v>23</v>
      </c>
      <c r="M607" s="2" t="s">
        <v>39</v>
      </c>
      <c r="N607" s="2" t="s">
        <v>25</v>
      </c>
      <c r="O607" s="2">
        <v>14</v>
      </c>
      <c r="P607" s="2">
        <v>28</v>
      </c>
      <c r="Q607" s="2">
        <v>28</v>
      </c>
      <c r="R607" s="9" t="s">
        <v>26</v>
      </c>
      <c r="S607" s="9">
        <f t="shared" si="18"/>
        <v>28</v>
      </c>
      <c r="T607" s="10" t="str">
        <f t="shared" si="19"/>
        <v>Low</v>
      </c>
    </row>
    <row r="608" spans="1:20">
      <c r="A608" s="2">
        <v>500616</v>
      </c>
      <c r="B608" s="2">
        <v>100119</v>
      </c>
      <c r="C608" s="8">
        <v>45862</v>
      </c>
      <c r="D608" s="2">
        <v>2013</v>
      </c>
      <c r="E608" s="2">
        <v>1</v>
      </c>
      <c r="F608" s="2">
        <v>10</v>
      </c>
      <c r="G608" s="2" t="s">
        <v>20</v>
      </c>
      <c r="H608" s="2" t="s">
        <v>21</v>
      </c>
      <c r="I608" s="2">
        <v>29</v>
      </c>
      <c r="J608" s="2" t="s">
        <v>32</v>
      </c>
      <c r="K608" s="8">
        <v>45929</v>
      </c>
      <c r="L608" s="2" t="s">
        <v>23</v>
      </c>
      <c r="M608" s="2" t="s">
        <v>53</v>
      </c>
      <c r="N608" s="2" t="s">
        <v>54</v>
      </c>
      <c r="O608" s="2">
        <v>7</v>
      </c>
      <c r="P608" s="2">
        <v>6</v>
      </c>
      <c r="Q608" s="2">
        <v>6</v>
      </c>
      <c r="R608" s="9" t="s">
        <v>26</v>
      </c>
      <c r="S608" s="9">
        <f t="shared" si="18"/>
        <v>7</v>
      </c>
      <c r="T608" s="10" t="str">
        <f t="shared" si="19"/>
        <v>Average</v>
      </c>
    </row>
    <row r="609" spans="1:20">
      <c r="A609" s="2">
        <v>500617</v>
      </c>
      <c r="B609" s="2">
        <v>109492</v>
      </c>
      <c r="C609" s="8">
        <v>45508</v>
      </c>
      <c r="D609" s="2">
        <v>2017</v>
      </c>
      <c r="E609" s="2">
        <v>1</v>
      </c>
      <c r="F609" s="2">
        <v>0</v>
      </c>
      <c r="G609" s="2" t="s">
        <v>31</v>
      </c>
      <c r="H609" s="2" t="s">
        <v>21</v>
      </c>
      <c r="I609" s="2">
        <v>19</v>
      </c>
      <c r="J609" s="2" t="s">
        <v>38</v>
      </c>
      <c r="K609" s="8">
        <v>45623</v>
      </c>
      <c r="L609" s="2" t="s">
        <v>41</v>
      </c>
      <c r="M609" s="2" t="s">
        <v>44</v>
      </c>
      <c r="N609" s="2" t="s">
        <v>25</v>
      </c>
      <c r="O609" s="2">
        <v>11</v>
      </c>
      <c r="P609" s="2">
        <v>11</v>
      </c>
      <c r="Q609" s="2">
        <v>11</v>
      </c>
      <c r="R609" s="9" t="s">
        <v>30</v>
      </c>
      <c r="S609" s="9">
        <f t="shared" si="18"/>
        <v>11</v>
      </c>
      <c r="T609" s="10" t="str">
        <f t="shared" si="19"/>
        <v>Low</v>
      </c>
    </row>
    <row r="610" spans="1:20">
      <c r="A610" s="2">
        <v>500618</v>
      </c>
      <c r="B610" s="2">
        <v>104897</v>
      </c>
      <c r="C610" s="8">
        <v>46200</v>
      </c>
      <c r="D610" s="2">
        <v>2001</v>
      </c>
      <c r="E610" s="2">
        <v>1</v>
      </c>
      <c r="F610" s="2">
        <v>15</v>
      </c>
      <c r="G610" s="2" t="s">
        <v>27</v>
      </c>
      <c r="H610" s="2" t="s">
        <v>21</v>
      </c>
      <c r="I610" s="2">
        <v>58</v>
      </c>
      <c r="J610" s="2" t="s">
        <v>48</v>
      </c>
      <c r="K610" s="8">
        <v>45267</v>
      </c>
      <c r="L610" s="2" t="s">
        <v>41</v>
      </c>
      <c r="M610" s="2" t="s">
        <v>50</v>
      </c>
      <c r="N610" s="2" t="s">
        <v>34</v>
      </c>
      <c r="O610" s="2">
        <v>18</v>
      </c>
      <c r="P610" s="2">
        <v>15</v>
      </c>
      <c r="Q610" s="2">
        <v>15</v>
      </c>
      <c r="R610" s="9" t="s">
        <v>26</v>
      </c>
      <c r="S610" s="9">
        <f t="shared" si="18"/>
        <v>18</v>
      </c>
      <c r="T610" s="10" t="str">
        <f t="shared" si="19"/>
        <v>High</v>
      </c>
    </row>
    <row r="611" spans="1:20">
      <c r="A611" s="2">
        <v>500619</v>
      </c>
      <c r="B611" s="2">
        <v>109238</v>
      </c>
      <c r="C611" s="8">
        <v>46061</v>
      </c>
      <c r="D611" s="2">
        <v>2007</v>
      </c>
      <c r="E611" s="2">
        <v>2</v>
      </c>
      <c r="F611" s="2">
        <v>0</v>
      </c>
      <c r="G611" s="2" t="s">
        <v>56</v>
      </c>
      <c r="H611" s="2" t="s">
        <v>21</v>
      </c>
      <c r="I611" s="2">
        <v>39</v>
      </c>
      <c r="J611" s="2" t="s">
        <v>35</v>
      </c>
      <c r="K611" s="8">
        <v>45194</v>
      </c>
      <c r="L611" s="2" t="s">
        <v>23</v>
      </c>
      <c r="M611" s="2" t="s">
        <v>61</v>
      </c>
      <c r="N611" s="2" t="s">
        <v>34</v>
      </c>
      <c r="O611" s="2">
        <v>75</v>
      </c>
      <c r="P611" s="2">
        <v>150</v>
      </c>
      <c r="Q611" s="2">
        <v>150</v>
      </c>
      <c r="R611" s="9" t="s">
        <v>26</v>
      </c>
      <c r="S611" s="9">
        <f t="shared" si="18"/>
        <v>150</v>
      </c>
      <c r="T611" s="10" t="str">
        <f t="shared" si="19"/>
        <v>Low</v>
      </c>
    </row>
    <row r="612" spans="1:20">
      <c r="A612" s="2">
        <v>500620</v>
      </c>
      <c r="B612" s="2">
        <v>101347</v>
      </c>
      <c r="C612" s="8">
        <v>45614</v>
      </c>
      <c r="D612" s="2">
        <v>2009</v>
      </c>
      <c r="E612" s="2">
        <v>2</v>
      </c>
      <c r="F612" s="2">
        <v>20</v>
      </c>
      <c r="G612" s="2" t="s">
        <v>20</v>
      </c>
      <c r="H612" s="2" t="s">
        <v>21</v>
      </c>
      <c r="I612" s="2">
        <v>59</v>
      </c>
      <c r="J612" s="2" t="s">
        <v>45</v>
      </c>
      <c r="K612" s="8">
        <v>45232</v>
      </c>
      <c r="L612" s="2" t="s">
        <v>23</v>
      </c>
      <c r="M612" s="2" t="s">
        <v>65</v>
      </c>
      <c r="N612" s="2" t="s">
        <v>59</v>
      </c>
      <c r="O612" s="2">
        <v>120</v>
      </c>
      <c r="P612" s="2">
        <v>192</v>
      </c>
      <c r="Q612" s="2">
        <v>192</v>
      </c>
      <c r="R612" s="9" t="s">
        <v>30</v>
      </c>
      <c r="S612" s="9">
        <f t="shared" si="18"/>
        <v>240</v>
      </c>
      <c r="T612" s="10" t="str">
        <f t="shared" si="19"/>
        <v>High</v>
      </c>
    </row>
    <row r="613" spans="1:20">
      <c r="A613" s="2">
        <v>500621</v>
      </c>
      <c r="B613" s="2">
        <v>103709</v>
      </c>
      <c r="C613" s="8">
        <v>45317</v>
      </c>
      <c r="D613" s="2">
        <v>2017</v>
      </c>
      <c r="E613" s="2">
        <v>1</v>
      </c>
      <c r="F613" s="2">
        <v>0</v>
      </c>
      <c r="G613" s="2" t="s">
        <v>56</v>
      </c>
      <c r="H613" s="2" t="s">
        <v>21</v>
      </c>
      <c r="I613" s="2">
        <v>41</v>
      </c>
      <c r="J613" s="2" t="s">
        <v>32</v>
      </c>
      <c r="K613" s="8">
        <v>45745</v>
      </c>
      <c r="L613" s="2" t="s">
        <v>23</v>
      </c>
      <c r="M613" s="2" t="s">
        <v>44</v>
      </c>
      <c r="N613" s="2" t="s">
        <v>25</v>
      </c>
      <c r="O613" s="2">
        <v>11</v>
      </c>
      <c r="P613" s="2">
        <v>11</v>
      </c>
      <c r="Q613" s="2">
        <v>11</v>
      </c>
      <c r="R613" s="9" t="s">
        <v>30</v>
      </c>
      <c r="S613" s="9">
        <f t="shared" si="18"/>
        <v>11</v>
      </c>
      <c r="T613" s="10" t="str">
        <f t="shared" si="19"/>
        <v>Low</v>
      </c>
    </row>
    <row r="614" spans="1:20">
      <c r="A614" s="2">
        <v>500622</v>
      </c>
      <c r="B614" s="2">
        <v>105113</v>
      </c>
      <c r="C614" s="8">
        <v>45748</v>
      </c>
      <c r="D614" s="2">
        <v>2013</v>
      </c>
      <c r="E614" s="2">
        <v>2</v>
      </c>
      <c r="F614" s="2">
        <v>0</v>
      </c>
      <c r="G614" s="2" t="s">
        <v>27</v>
      </c>
      <c r="H614" s="2" t="s">
        <v>21</v>
      </c>
      <c r="I614" s="2">
        <v>65</v>
      </c>
      <c r="J614" s="2" t="s">
        <v>45</v>
      </c>
      <c r="K614" s="8">
        <v>45745</v>
      </c>
      <c r="L614" s="2" t="s">
        <v>23</v>
      </c>
      <c r="M614" s="2" t="s">
        <v>53</v>
      </c>
      <c r="N614" s="2" t="s">
        <v>54</v>
      </c>
      <c r="O614" s="2">
        <v>7</v>
      </c>
      <c r="P614" s="2">
        <v>14</v>
      </c>
      <c r="Q614" s="2">
        <v>14</v>
      </c>
      <c r="R614" s="9" t="s">
        <v>26</v>
      </c>
      <c r="S614" s="9">
        <f t="shared" si="18"/>
        <v>14</v>
      </c>
      <c r="T614" s="10" t="str">
        <f t="shared" si="19"/>
        <v>Low</v>
      </c>
    </row>
    <row r="615" spans="1:20">
      <c r="A615" s="2">
        <v>500623</v>
      </c>
      <c r="B615" s="2">
        <v>101954</v>
      </c>
      <c r="C615" s="8">
        <v>46039</v>
      </c>
      <c r="D615" s="2">
        <v>2020</v>
      </c>
      <c r="E615" s="2">
        <v>3</v>
      </c>
      <c r="F615" s="2">
        <v>0</v>
      </c>
      <c r="G615" s="2" t="s">
        <v>31</v>
      </c>
      <c r="H615" s="2" t="s">
        <v>21</v>
      </c>
      <c r="I615" s="2">
        <v>40</v>
      </c>
      <c r="J615" s="2" t="s">
        <v>48</v>
      </c>
      <c r="K615" s="8">
        <v>45440</v>
      </c>
      <c r="L615" s="2" t="s">
        <v>41</v>
      </c>
      <c r="M615" s="2" t="s">
        <v>62</v>
      </c>
      <c r="N615" s="2" t="s">
        <v>63</v>
      </c>
      <c r="O615" s="2">
        <v>68</v>
      </c>
      <c r="P615" s="2">
        <v>204</v>
      </c>
      <c r="Q615" s="2">
        <v>204</v>
      </c>
      <c r="R615" s="9" t="s">
        <v>26</v>
      </c>
      <c r="S615" s="9">
        <f t="shared" si="18"/>
        <v>204</v>
      </c>
      <c r="T615" s="10" t="str">
        <f t="shared" si="19"/>
        <v>Low</v>
      </c>
    </row>
    <row r="616" spans="1:20">
      <c r="A616" s="2">
        <v>500624</v>
      </c>
      <c r="B616" s="2">
        <v>104882</v>
      </c>
      <c r="C616" s="8">
        <v>46002</v>
      </c>
      <c r="D616" s="2">
        <v>2007</v>
      </c>
      <c r="E616" s="2">
        <v>1</v>
      </c>
      <c r="F616" s="2">
        <v>15</v>
      </c>
      <c r="G616" s="2" t="s">
        <v>56</v>
      </c>
      <c r="H616" s="2" t="s">
        <v>21</v>
      </c>
      <c r="I616" s="2">
        <v>65</v>
      </c>
      <c r="J616" s="2" t="s">
        <v>32</v>
      </c>
      <c r="K616" s="8">
        <v>44987</v>
      </c>
      <c r="L616" s="2" t="s">
        <v>49</v>
      </c>
      <c r="M616" s="2" t="s">
        <v>61</v>
      </c>
      <c r="N616" s="2" t="s">
        <v>34</v>
      </c>
      <c r="O616" s="2">
        <v>75</v>
      </c>
      <c r="P616" s="2">
        <v>64</v>
      </c>
      <c r="Q616" s="2">
        <v>64</v>
      </c>
      <c r="R616" s="9" t="s">
        <v>26</v>
      </c>
      <c r="S616" s="9">
        <f t="shared" si="18"/>
        <v>75</v>
      </c>
      <c r="T616" s="10" t="str">
        <f t="shared" si="19"/>
        <v>High</v>
      </c>
    </row>
    <row r="617" spans="1:20">
      <c r="A617" s="2">
        <v>500625</v>
      </c>
      <c r="B617" s="2">
        <v>102572</v>
      </c>
      <c r="C617" s="8">
        <v>46073</v>
      </c>
      <c r="D617" s="2">
        <v>2006</v>
      </c>
      <c r="E617" s="2">
        <v>3</v>
      </c>
      <c r="F617" s="2">
        <v>5</v>
      </c>
      <c r="G617" s="2" t="s">
        <v>20</v>
      </c>
      <c r="H617" s="2" t="s">
        <v>21</v>
      </c>
      <c r="I617" s="2">
        <v>62</v>
      </c>
      <c r="J617" s="2" t="s">
        <v>52</v>
      </c>
      <c r="K617" s="8">
        <v>45667</v>
      </c>
      <c r="L617" s="2" t="s">
        <v>23</v>
      </c>
      <c r="M617" s="2" t="s">
        <v>57</v>
      </c>
      <c r="N617" s="2" t="s">
        <v>34</v>
      </c>
      <c r="O617" s="2">
        <v>48</v>
      </c>
      <c r="P617" s="2">
        <v>137</v>
      </c>
      <c r="Q617" s="2">
        <v>137</v>
      </c>
      <c r="R617" s="9" t="s">
        <v>26</v>
      </c>
      <c r="S617" s="9">
        <f t="shared" si="18"/>
        <v>144</v>
      </c>
      <c r="T617" s="10" t="str">
        <f t="shared" si="19"/>
        <v>Low</v>
      </c>
    </row>
    <row r="618" spans="1:20">
      <c r="A618" s="2">
        <v>500626</v>
      </c>
      <c r="B618" s="2">
        <v>105537</v>
      </c>
      <c r="C618" s="8">
        <v>46165</v>
      </c>
      <c r="D618" s="2">
        <v>2003</v>
      </c>
      <c r="E618" s="2">
        <v>1</v>
      </c>
      <c r="F618" s="2">
        <v>10</v>
      </c>
      <c r="G618" s="2" t="s">
        <v>31</v>
      </c>
      <c r="H618" s="2" t="s">
        <v>21</v>
      </c>
      <c r="I618" s="2">
        <v>20</v>
      </c>
      <c r="J618" s="2" t="s">
        <v>38</v>
      </c>
      <c r="K618" s="8">
        <v>45982</v>
      </c>
      <c r="L618" s="2" t="s">
        <v>23</v>
      </c>
      <c r="M618" s="2" t="s">
        <v>24</v>
      </c>
      <c r="N618" s="2" t="s">
        <v>25</v>
      </c>
      <c r="O618" s="2">
        <v>9</v>
      </c>
      <c r="P618" s="2">
        <v>8</v>
      </c>
      <c r="Q618" s="2">
        <v>8</v>
      </c>
      <c r="R618" s="9" t="s">
        <v>26</v>
      </c>
      <c r="S618" s="9">
        <f t="shared" si="18"/>
        <v>9</v>
      </c>
      <c r="T618" s="10" t="str">
        <f t="shared" si="19"/>
        <v>Average</v>
      </c>
    </row>
    <row r="619" spans="1:20">
      <c r="A619" s="2">
        <v>500627</v>
      </c>
      <c r="B619" s="2">
        <v>104253</v>
      </c>
      <c r="C619" s="8">
        <v>45907</v>
      </c>
      <c r="D619" s="2">
        <v>2007</v>
      </c>
      <c r="E619" s="2">
        <v>1</v>
      </c>
      <c r="F619" s="2">
        <v>0</v>
      </c>
      <c r="G619" s="2" t="s">
        <v>56</v>
      </c>
      <c r="H619" s="2" t="s">
        <v>21</v>
      </c>
      <c r="I619" s="2">
        <v>65</v>
      </c>
      <c r="J619" s="2" t="s">
        <v>38</v>
      </c>
      <c r="K619" s="8">
        <v>45782</v>
      </c>
      <c r="L619" s="2" t="s">
        <v>23</v>
      </c>
      <c r="M619" s="2" t="s">
        <v>61</v>
      </c>
      <c r="N619" s="2" t="s">
        <v>34</v>
      </c>
      <c r="O619" s="2">
        <v>75</v>
      </c>
      <c r="P619" s="2">
        <v>75</v>
      </c>
      <c r="Q619" s="2">
        <v>75</v>
      </c>
      <c r="R619" s="9" t="s">
        <v>26</v>
      </c>
      <c r="S619" s="9">
        <f t="shared" si="18"/>
        <v>75</v>
      </c>
      <c r="T619" s="10" t="str">
        <f t="shared" si="19"/>
        <v>Low</v>
      </c>
    </row>
    <row r="620" spans="1:20">
      <c r="A620" s="2">
        <v>500628</v>
      </c>
      <c r="B620" s="2">
        <v>103529</v>
      </c>
      <c r="C620" s="8">
        <v>45432</v>
      </c>
      <c r="D620" s="2">
        <v>2006</v>
      </c>
      <c r="E620" s="2">
        <v>2</v>
      </c>
      <c r="F620" s="2">
        <v>15</v>
      </c>
      <c r="G620" s="2" t="s">
        <v>20</v>
      </c>
      <c r="H620" s="2" t="s">
        <v>21</v>
      </c>
      <c r="I620" s="2">
        <v>26</v>
      </c>
      <c r="J620" s="2" t="s">
        <v>38</v>
      </c>
      <c r="K620" s="8">
        <v>45764</v>
      </c>
      <c r="L620" s="2" t="s">
        <v>23</v>
      </c>
      <c r="M620" s="2" t="s">
        <v>57</v>
      </c>
      <c r="N620" s="2" t="s">
        <v>34</v>
      </c>
      <c r="O620" s="2">
        <v>48</v>
      </c>
      <c r="P620" s="2">
        <v>82</v>
      </c>
      <c r="Q620" s="2">
        <v>82</v>
      </c>
      <c r="R620" s="9" t="s">
        <v>30</v>
      </c>
      <c r="S620" s="9">
        <f t="shared" si="18"/>
        <v>96</v>
      </c>
      <c r="T620" s="10" t="str">
        <f t="shared" si="19"/>
        <v>High</v>
      </c>
    </row>
    <row r="621" spans="1:20">
      <c r="A621" s="2">
        <v>500629</v>
      </c>
      <c r="B621" s="2">
        <v>107456</v>
      </c>
      <c r="C621" s="8">
        <v>45323</v>
      </c>
      <c r="D621" s="2">
        <v>2008</v>
      </c>
      <c r="E621" s="2">
        <v>1</v>
      </c>
      <c r="F621" s="2">
        <v>0</v>
      </c>
      <c r="G621" s="2" t="s">
        <v>20</v>
      </c>
      <c r="H621" s="2" t="s">
        <v>21</v>
      </c>
      <c r="I621" s="2">
        <v>29</v>
      </c>
      <c r="J621" s="2" t="s">
        <v>55</v>
      </c>
      <c r="K621" s="8">
        <v>45173</v>
      </c>
      <c r="L621" s="2" t="s">
        <v>23</v>
      </c>
      <c r="M621" s="2" t="s">
        <v>39</v>
      </c>
      <c r="N621" s="2" t="s">
        <v>25</v>
      </c>
      <c r="O621" s="2">
        <v>14</v>
      </c>
      <c r="P621" s="2">
        <v>14</v>
      </c>
      <c r="Q621" s="2">
        <v>14</v>
      </c>
      <c r="R621" s="9" t="s">
        <v>30</v>
      </c>
      <c r="S621" s="9">
        <f t="shared" si="18"/>
        <v>14</v>
      </c>
      <c r="T621" s="10" t="str">
        <f t="shared" si="19"/>
        <v>Low</v>
      </c>
    </row>
    <row r="622" spans="1:20">
      <c r="A622" s="2">
        <v>500630</v>
      </c>
      <c r="B622" s="2">
        <v>102293</v>
      </c>
      <c r="C622" s="8">
        <v>45422</v>
      </c>
      <c r="D622" s="2">
        <v>2013</v>
      </c>
      <c r="E622" s="2">
        <v>1</v>
      </c>
      <c r="F622" s="2">
        <v>0</v>
      </c>
      <c r="G622" s="2" t="s">
        <v>20</v>
      </c>
      <c r="H622" s="2" t="s">
        <v>21</v>
      </c>
      <c r="I622" s="2">
        <v>29</v>
      </c>
      <c r="J622" s="2" t="s">
        <v>22</v>
      </c>
      <c r="K622" s="8">
        <v>46004</v>
      </c>
      <c r="L622" s="2" t="s">
        <v>41</v>
      </c>
      <c r="M622" s="2" t="s">
        <v>53</v>
      </c>
      <c r="N622" s="2" t="s">
        <v>54</v>
      </c>
      <c r="O622" s="2">
        <v>7</v>
      </c>
      <c r="P622" s="2">
        <v>7</v>
      </c>
      <c r="Q622" s="2">
        <v>7</v>
      </c>
      <c r="R622" s="9" t="s">
        <v>30</v>
      </c>
      <c r="S622" s="9">
        <f t="shared" si="18"/>
        <v>7</v>
      </c>
      <c r="T622" s="10" t="str">
        <f t="shared" si="19"/>
        <v>Low</v>
      </c>
    </row>
    <row r="623" spans="1:20">
      <c r="A623" s="2">
        <v>500631</v>
      </c>
      <c r="B623" s="2">
        <v>102856</v>
      </c>
      <c r="C623" s="8">
        <v>45465</v>
      </c>
      <c r="D623" s="2">
        <v>2001</v>
      </c>
      <c r="E623" s="2">
        <v>1</v>
      </c>
      <c r="F623" s="2">
        <v>0</v>
      </c>
      <c r="G623" s="2" t="s">
        <v>20</v>
      </c>
      <c r="H623" s="2" t="s">
        <v>21</v>
      </c>
      <c r="I623" s="2">
        <v>21</v>
      </c>
      <c r="J623" s="2" t="s">
        <v>22</v>
      </c>
      <c r="K623" s="8">
        <v>45063</v>
      </c>
      <c r="L623" s="2" t="s">
        <v>23</v>
      </c>
      <c r="M623" s="2" t="s">
        <v>50</v>
      </c>
      <c r="N623" s="2" t="s">
        <v>34</v>
      </c>
      <c r="O623" s="2">
        <v>18</v>
      </c>
      <c r="P623" s="2">
        <v>18</v>
      </c>
      <c r="Q623" s="2">
        <v>18</v>
      </c>
      <c r="R623" s="9" t="s">
        <v>30</v>
      </c>
      <c r="S623" s="9">
        <f t="shared" si="18"/>
        <v>18</v>
      </c>
      <c r="T623" s="10" t="str">
        <f t="shared" si="19"/>
        <v>Low</v>
      </c>
    </row>
    <row r="624" spans="1:20">
      <c r="A624" s="2">
        <v>500632</v>
      </c>
      <c r="B624" s="2">
        <v>104702</v>
      </c>
      <c r="C624" s="8">
        <v>45345</v>
      </c>
      <c r="D624" s="2">
        <v>2019</v>
      </c>
      <c r="E624" s="2">
        <v>3</v>
      </c>
      <c r="F624" s="2">
        <v>0</v>
      </c>
      <c r="G624" s="2" t="s">
        <v>31</v>
      </c>
      <c r="H624" s="2" t="s">
        <v>21</v>
      </c>
      <c r="I624" s="2">
        <v>20</v>
      </c>
      <c r="J624" s="2" t="s">
        <v>32</v>
      </c>
      <c r="K624" s="8">
        <v>45223</v>
      </c>
      <c r="L624" s="2" t="s">
        <v>41</v>
      </c>
      <c r="M624" s="2" t="s">
        <v>60</v>
      </c>
      <c r="N624" s="2" t="s">
        <v>34</v>
      </c>
      <c r="O624" s="2">
        <v>260</v>
      </c>
      <c r="P624" s="2">
        <v>780</v>
      </c>
      <c r="Q624" s="2">
        <v>780</v>
      </c>
      <c r="R624" s="9" t="s">
        <v>30</v>
      </c>
      <c r="S624" s="9">
        <f t="shared" si="18"/>
        <v>780</v>
      </c>
      <c r="T624" s="10" t="str">
        <f t="shared" si="19"/>
        <v>Low</v>
      </c>
    </row>
    <row r="625" spans="1:20">
      <c r="A625" s="2">
        <v>500633</v>
      </c>
      <c r="B625" s="2">
        <v>102817</v>
      </c>
      <c r="C625" s="8">
        <v>45683</v>
      </c>
      <c r="D625" s="2">
        <v>2003</v>
      </c>
      <c r="E625" s="2">
        <v>3</v>
      </c>
      <c r="F625" s="2">
        <v>0</v>
      </c>
      <c r="G625" s="2" t="s">
        <v>27</v>
      </c>
      <c r="H625" s="2" t="s">
        <v>21</v>
      </c>
      <c r="I625" s="2">
        <v>50</v>
      </c>
      <c r="J625" s="2" t="s">
        <v>35</v>
      </c>
      <c r="K625" s="8">
        <v>45519</v>
      </c>
      <c r="L625" s="2" t="s">
        <v>41</v>
      </c>
      <c r="M625" s="2" t="s">
        <v>24</v>
      </c>
      <c r="N625" s="2" t="s">
        <v>25</v>
      </c>
      <c r="O625" s="2">
        <v>9</v>
      </c>
      <c r="P625" s="2">
        <v>27</v>
      </c>
      <c r="Q625" s="2">
        <v>27</v>
      </c>
      <c r="R625" s="9" t="s">
        <v>26</v>
      </c>
      <c r="S625" s="9">
        <f t="shared" si="18"/>
        <v>27</v>
      </c>
      <c r="T625" s="10" t="str">
        <f t="shared" si="19"/>
        <v>Low</v>
      </c>
    </row>
    <row r="626" spans="1:20">
      <c r="A626" s="2">
        <v>500634</v>
      </c>
      <c r="B626" s="2">
        <v>104661</v>
      </c>
      <c r="C626" s="8">
        <v>45969</v>
      </c>
      <c r="D626" s="2">
        <v>2020</v>
      </c>
      <c r="E626" s="2">
        <v>1</v>
      </c>
      <c r="F626" s="2">
        <v>5</v>
      </c>
      <c r="G626" s="2" t="s">
        <v>31</v>
      </c>
      <c r="H626" s="2" t="s">
        <v>21</v>
      </c>
      <c r="I626" s="2">
        <v>57</v>
      </c>
      <c r="J626" s="2" t="s">
        <v>45</v>
      </c>
      <c r="K626" s="8">
        <v>45237</v>
      </c>
      <c r="L626" s="2" t="s">
        <v>41</v>
      </c>
      <c r="M626" s="2" t="s">
        <v>62</v>
      </c>
      <c r="N626" s="2" t="s">
        <v>63</v>
      </c>
      <c r="O626" s="2">
        <v>68</v>
      </c>
      <c r="P626" s="2">
        <v>65</v>
      </c>
      <c r="Q626" s="2">
        <v>65</v>
      </c>
      <c r="R626" s="9" t="s">
        <v>26</v>
      </c>
      <c r="S626" s="9">
        <f t="shared" si="18"/>
        <v>68</v>
      </c>
      <c r="T626" s="10" t="str">
        <f t="shared" si="19"/>
        <v>Low</v>
      </c>
    </row>
    <row r="627" spans="1:20">
      <c r="A627" s="2">
        <v>500635</v>
      </c>
      <c r="B627" s="2">
        <v>101733</v>
      </c>
      <c r="C627" s="8">
        <v>45295</v>
      </c>
      <c r="D627" s="2">
        <v>2005</v>
      </c>
      <c r="E627" s="2">
        <v>4</v>
      </c>
      <c r="F627" s="2">
        <v>0</v>
      </c>
      <c r="G627" s="2" t="s">
        <v>20</v>
      </c>
      <c r="H627" s="2" t="s">
        <v>21</v>
      </c>
      <c r="I627" s="2">
        <v>51</v>
      </c>
      <c r="J627" s="2" t="s">
        <v>55</v>
      </c>
      <c r="K627" s="8">
        <v>45377</v>
      </c>
      <c r="L627" s="2" t="s">
        <v>23</v>
      </c>
      <c r="M627" s="2" t="s">
        <v>51</v>
      </c>
      <c r="N627" s="2" t="s">
        <v>25</v>
      </c>
      <c r="O627" s="2">
        <v>28</v>
      </c>
      <c r="P627" s="2">
        <v>112</v>
      </c>
      <c r="Q627" s="2">
        <v>112</v>
      </c>
      <c r="R627" s="9" t="s">
        <v>30</v>
      </c>
      <c r="S627" s="9">
        <f t="shared" si="18"/>
        <v>112</v>
      </c>
      <c r="T627" s="10" t="str">
        <f t="shared" si="19"/>
        <v>Low</v>
      </c>
    </row>
    <row r="628" spans="1:20">
      <c r="A628" s="2">
        <v>500636</v>
      </c>
      <c r="B628" s="2">
        <v>104669</v>
      </c>
      <c r="C628" s="8">
        <v>45986</v>
      </c>
      <c r="D628" s="2">
        <v>2004</v>
      </c>
      <c r="E628" s="2">
        <v>2</v>
      </c>
      <c r="F628" s="2">
        <v>0</v>
      </c>
      <c r="G628" s="2" t="s">
        <v>56</v>
      </c>
      <c r="H628" s="2" t="s">
        <v>21</v>
      </c>
      <c r="I628" s="2">
        <v>53</v>
      </c>
      <c r="J628" s="2" t="s">
        <v>52</v>
      </c>
      <c r="K628" s="8">
        <v>45542</v>
      </c>
      <c r="L628" s="2" t="s">
        <v>23</v>
      </c>
      <c r="M628" s="2" t="s">
        <v>46</v>
      </c>
      <c r="N628" s="2" t="s">
        <v>34</v>
      </c>
      <c r="O628" s="2">
        <v>35</v>
      </c>
      <c r="P628" s="2">
        <v>70</v>
      </c>
      <c r="Q628" s="2">
        <v>70</v>
      </c>
      <c r="R628" s="9" t="s">
        <v>26</v>
      </c>
      <c r="S628" s="9">
        <f t="shared" si="18"/>
        <v>70</v>
      </c>
      <c r="T628" s="10" t="str">
        <f t="shared" si="19"/>
        <v>Low</v>
      </c>
    </row>
    <row r="629" spans="1:20">
      <c r="A629" s="2">
        <v>500637</v>
      </c>
      <c r="B629" s="2">
        <v>104927</v>
      </c>
      <c r="C629" s="8">
        <v>46109</v>
      </c>
      <c r="D629" s="2">
        <v>2013</v>
      </c>
      <c r="E629" s="2">
        <v>3</v>
      </c>
      <c r="F629" s="2">
        <v>15</v>
      </c>
      <c r="G629" s="2" t="s">
        <v>20</v>
      </c>
      <c r="H629" s="2" t="s">
        <v>21</v>
      </c>
      <c r="I629" s="2">
        <v>37</v>
      </c>
      <c r="J629" s="2" t="s">
        <v>48</v>
      </c>
      <c r="K629" s="8">
        <v>45387</v>
      </c>
      <c r="L629" s="2" t="s">
        <v>41</v>
      </c>
      <c r="M629" s="2" t="s">
        <v>53</v>
      </c>
      <c r="N629" s="2" t="s">
        <v>54</v>
      </c>
      <c r="O629" s="2">
        <v>7</v>
      </c>
      <c r="P629" s="2">
        <v>18</v>
      </c>
      <c r="Q629" s="2">
        <v>18</v>
      </c>
      <c r="R629" s="9" t="s">
        <v>26</v>
      </c>
      <c r="S629" s="9">
        <f t="shared" si="18"/>
        <v>21</v>
      </c>
      <c r="T629" s="10" t="str">
        <f t="shared" si="19"/>
        <v>High</v>
      </c>
    </row>
    <row r="630" spans="1:20">
      <c r="A630" s="2">
        <v>500638</v>
      </c>
      <c r="B630" s="2">
        <v>105337</v>
      </c>
      <c r="C630" s="8">
        <v>45423</v>
      </c>
      <c r="D630" s="2">
        <v>2004</v>
      </c>
      <c r="E630" s="2">
        <v>1</v>
      </c>
      <c r="F630" s="2">
        <v>10</v>
      </c>
      <c r="G630" s="2" t="s">
        <v>20</v>
      </c>
      <c r="H630" s="2" t="s">
        <v>21</v>
      </c>
      <c r="I630" s="2">
        <v>53</v>
      </c>
      <c r="J630" s="2" t="s">
        <v>48</v>
      </c>
      <c r="K630" s="8">
        <v>45214</v>
      </c>
      <c r="L630" s="2" t="s">
        <v>41</v>
      </c>
      <c r="M630" s="2" t="s">
        <v>46</v>
      </c>
      <c r="N630" s="2" t="s">
        <v>34</v>
      </c>
      <c r="O630" s="2">
        <v>35</v>
      </c>
      <c r="P630" s="2">
        <v>32</v>
      </c>
      <c r="Q630" s="2">
        <v>32</v>
      </c>
      <c r="R630" s="9" t="s">
        <v>30</v>
      </c>
      <c r="S630" s="9">
        <f t="shared" si="18"/>
        <v>35</v>
      </c>
      <c r="T630" s="10" t="str">
        <f t="shared" si="19"/>
        <v>Average</v>
      </c>
    </row>
    <row r="631" spans="1:20">
      <c r="A631" s="2">
        <v>500639</v>
      </c>
      <c r="B631" s="2">
        <v>105267</v>
      </c>
      <c r="C631" s="8">
        <v>45310</v>
      </c>
      <c r="D631" s="2">
        <v>2011</v>
      </c>
      <c r="E631" s="2">
        <v>2</v>
      </c>
      <c r="F631" s="2">
        <v>0</v>
      </c>
      <c r="G631" s="2" t="s">
        <v>27</v>
      </c>
      <c r="H631" s="2" t="s">
        <v>21</v>
      </c>
      <c r="I631" s="2">
        <v>44</v>
      </c>
      <c r="J631" s="2" t="s">
        <v>45</v>
      </c>
      <c r="K631" s="8">
        <v>45402</v>
      </c>
      <c r="L631" s="2" t="s">
        <v>49</v>
      </c>
      <c r="M631" s="2" t="s">
        <v>42</v>
      </c>
      <c r="N631" s="2" t="s">
        <v>37</v>
      </c>
      <c r="O631" s="2">
        <v>32</v>
      </c>
      <c r="P631" s="2">
        <v>64</v>
      </c>
      <c r="Q631" s="2">
        <v>64</v>
      </c>
      <c r="R631" s="9" t="s">
        <v>30</v>
      </c>
      <c r="S631" s="9">
        <f t="shared" si="18"/>
        <v>64</v>
      </c>
      <c r="T631" s="10" t="str">
        <f t="shared" si="19"/>
        <v>Low</v>
      </c>
    </row>
    <row r="632" spans="1:20">
      <c r="A632" s="2">
        <v>500640</v>
      </c>
      <c r="B632" s="2">
        <v>104835</v>
      </c>
      <c r="C632" s="8">
        <v>45706</v>
      </c>
      <c r="D632" s="2">
        <v>2015</v>
      </c>
      <c r="E632" s="2">
        <v>4</v>
      </c>
      <c r="F632" s="2">
        <v>0</v>
      </c>
      <c r="G632" s="2" t="s">
        <v>20</v>
      </c>
      <c r="H632" s="2" t="s">
        <v>21</v>
      </c>
      <c r="I632" s="2">
        <v>64</v>
      </c>
      <c r="J632" s="2" t="s">
        <v>55</v>
      </c>
      <c r="K632" s="8">
        <v>45158</v>
      </c>
      <c r="L632" s="2" t="s">
        <v>41</v>
      </c>
      <c r="M632" s="2" t="s">
        <v>66</v>
      </c>
      <c r="N632" s="2" t="s">
        <v>34</v>
      </c>
      <c r="O632" s="2">
        <v>58</v>
      </c>
      <c r="P632" s="2">
        <v>232</v>
      </c>
      <c r="Q632" s="2">
        <v>232</v>
      </c>
      <c r="R632" s="9" t="s">
        <v>26</v>
      </c>
      <c r="S632" s="9">
        <f t="shared" si="18"/>
        <v>232</v>
      </c>
      <c r="T632" s="10" t="str">
        <f t="shared" si="19"/>
        <v>Low</v>
      </c>
    </row>
    <row r="633" spans="1:20">
      <c r="A633" s="2">
        <v>500641</v>
      </c>
      <c r="B633" s="2">
        <v>103752</v>
      </c>
      <c r="C633" s="8">
        <v>46042</v>
      </c>
      <c r="D633" s="2">
        <v>2013</v>
      </c>
      <c r="E633" s="2">
        <v>2</v>
      </c>
      <c r="F633" s="2">
        <v>0</v>
      </c>
      <c r="G633" s="2" t="s">
        <v>31</v>
      </c>
      <c r="H633" s="2" t="s">
        <v>21</v>
      </c>
      <c r="I633" s="2">
        <v>56</v>
      </c>
      <c r="J633" s="2" t="s">
        <v>43</v>
      </c>
      <c r="K633" s="8">
        <v>44989</v>
      </c>
      <c r="L633" s="2" t="s">
        <v>41</v>
      </c>
      <c r="M633" s="2" t="s">
        <v>53</v>
      </c>
      <c r="N633" s="2" t="s">
        <v>54</v>
      </c>
      <c r="O633" s="2">
        <v>7</v>
      </c>
      <c r="P633" s="2">
        <v>14</v>
      </c>
      <c r="Q633" s="2">
        <v>14</v>
      </c>
      <c r="R633" s="9" t="s">
        <v>26</v>
      </c>
      <c r="S633" s="9">
        <f t="shared" si="18"/>
        <v>14</v>
      </c>
      <c r="T633" s="10" t="str">
        <f t="shared" si="19"/>
        <v>Low</v>
      </c>
    </row>
    <row r="634" spans="1:20">
      <c r="A634" s="2">
        <v>500642</v>
      </c>
      <c r="B634" s="2">
        <v>103416</v>
      </c>
      <c r="C634" s="8">
        <v>45928</v>
      </c>
      <c r="D634" s="2">
        <v>2017</v>
      </c>
      <c r="E634" s="2">
        <v>5</v>
      </c>
      <c r="F634" s="2">
        <v>15</v>
      </c>
      <c r="G634" s="2" t="s">
        <v>20</v>
      </c>
      <c r="H634" s="2" t="s">
        <v>21</v>
      </c>
      <c r="I634" s="2">
        <v>37</v>
      </c>
      <c r="J634" s="2" t="s">
        <v>22</v>
      </c>
      <c r="K634" s="8">
        <v>45436</v>
      </c>
      <c r="L634" s="2" t="s">
        <v>41</v>
      </c>
      <c r="M634" s="2" t="s">
        <v>44</v>
      </c>
      <c r="N634" s="2" t="s">
        <v>25</v>
      </c>
      <c r="O634" s="2">
        <v>11</v>
      </c>
      <c r="P634" s="2">
        <v>47</v>
      </c>
      <c r="Q634" s="2">
        <v>47</v>
      </c>
      <c r="R634" s="9" t="s">
        <v>26</v>
      </c>
      <c r="S634" s="9">
        <f t="shared" si="18"/>
        <v>55</v>
      </c>
      <c r="T634" s="10" t="str">
        <f t="shared" si="19"/>
        <v>High</v>
      </c>
    </row>
    <row r="635" spans="1:20">
      <c r="A635" s="2">
        <v>500643</v>
      </c>
      <c r="B635" s="2">
        <v>105285</v>
      </c>
      <c r="C635" s="8">
        <v>45322</v>
      </c>
      <c r="D635" s="2">
        <v>2005</v>
      </c>
      <c r="E635" s="2">
        <v>1</v>
      </c>
      <c r="F635" s="2">
        <v>20</v>
      </c>
      <c r="G635" s="2" t="s">
        <v>56</v>
      </c>
      <c r="H635" s="2" t="s">
        <v>21</v>
      </c>
      <c r="I635" s="2">
        <v>65</v>
      </c>
      <c r="J635" s="2" t="s">
        <v>32</v>
      </c>
      <c r="K635" s="8">
        <v>45204</v>
      </c>
      <c r="L635" s="2" t="s">
        <v>23</v>
      </c>
      <c r="M635" s="2" t="s">
        <v>51</v>
      </c>
      <c r="N635" s="2" t="s">
        <v>25</v>
      </c>
      <c r="O635" s="2">
        <v>28</v>
      </c>
      <c r="P635" s="2">
        <v>22</v>
      </c>
      <c r="Q635" s="2">
        <v>22</v>
      </c>
      <c r="R635" s="9" t="s">
        <v>30</v>
      </c>
      <c r="S635" s="9">
        <f t="shared" si="18"/>
        <v>28</v>
      </c>
      <c r="T635" s="10" t="str">
        <f t="shared" si="19"/>
        <v>High</v>
      </c>
    </row>
    <row r="636" spans="1:20">
      <c r="A636" s="2">
        <v>500644</v>
      </c>
      <c r="B636" s="2">
        <v>102863</v>
      </c>
      <c r="C636" s="8">
        <v>45873</v>
      </c>
      <c r="D636" s="2">
        <v>2012</v>
      </c>
      <c r="E636" s="2">
        <v>1</v>
      </c>
      <c r="F636" s="2">
        <v>0</v>
      </c>
      <c r="G636" s="2" t="s">
        <v>31</v>
      </c>
      <c r="H636" s="2" t="s">
        <v>21</v>
      </c>
      <c r="I636" s="2">
        <v>58</v>
      </c>
      <c r="J636" s="2" t="s">
        <v>32</v>
      </c>
      <c r="K636" s="8">
        <v>45872</v>
      </c>
      <c r="L636" s="2" t="s">
        <v>23</v>
      </c>
      <c r="M636" s="2" t="s">
        <v>36</v>
      </c>
      <c r="N636" s="2" t="s">
        <v>37</v>
      </c>
      <c r="O636" s="2">
        <v>180</v>
      </c>
      <c r="P636" s="2">
        <v>180</v>
      </c>
      <c r="Q636" s="2">
        <v>180</v>
      </c>
      <c r="R636" s="9" t="s">
        <v>26</v>
      </c>
      <c r="S636" s="9">
        <f t="shared" si="18"/>
        <v>180</v>
      </c>
      <c r="T636" s="10" t="str">
        <f t="shared" si="19"/>
        <v>Low</v>
      </c>
    </row>
    <row r="637" spans="1:20">
      <c r="A637" s="2">
        <v>500645</v>
      </c>
      <c r="B637" s="2">
        <v>103271</v>
      </c>
      <c r="C637" s="8">
        <v>45998</v>
      </c>
      <c r="D637" s="2">
        <v>2008</v>
      </c>
      <c r="E637" s="2">
        <v>2</v>
      </c>
      <c r="F637" s="2">
        <v>10</v>
      </c>
      <c r="G637" s="2" t="s">
        <v>20</v>
      </c>
      <c r="H637" s="2" t="s">
        <v>21</v>
      </c>
      <c r="I637" s="2">
        <v>25</v>
      </c>
      <c r="J637" s="2" t="s">
        <v>43</v>
      </c>
      <c r="K637" s="8">
        <v>45018</v>
      </c>
      <c r="L637" s="2" t="s">
        <v>41</v>
      </c>
      <c r="M637" s="2" t="s">
        <v>39</v>
      </c>
      <c r="N637" s="2" t="s">
        <v>25</v>
      </c>
      <c r="O637" s="2">
        <v>14</v>
      </c>
      <c r="P637" s="2">
        <v>25</v>
      </c>
      <c r="Q637" s="2">
        <v>25</v>
      </c>
      <c r="R637" s="9" t="s">
        <v>26</v>
      </c>
      <c r="S637" s="9">
        <f t="shared" si="18"/>
        <v>28</v>
      </c>
      <c r="T637" s="10" t="str">
        <f t="shared" si="19"/>
        <v>Average</v>
      </c>
    </row>
    <row r="638" spans="1:20">
      <c r="A638" s="2">
        <v>500646</v>
      </c>
      <c r="B638" s="2">
        <v>107341</v>
      </c>
      <c r="C638" s="8">
        <v>45526</v>
      </c>
      <c r="D638" s="2">
        <v>2007</v>
      </c>
      <c r="E638" s="2">
        <v>4</v>
      </c>
      <c r="F638" s="2">
        <v>0</v>
      </c>
      <c r="G638" s="2" t="s">
        <v>31</v>
      </c>
      <c r="H638" s="2" t="s">
        <v>21</v>
      </c>
      <c r="I638" s="2">
        <v>60</v>
      </c>
      <c r="J638" s="2" t="s">
        <v>43</v>
      </c>
      <c r="K638" s="8">
        <v>45890</v>
      </c>
      <c r="L638" s="2" t="s">
        <v>23</v>
      </c>
      <c r="M638" s="2" t="s">
        <v>61</v>
      </c>
      <c r="N638" s="2" t="s">
        <v>34</v>
      </c>
      <c r="O638" s="2">
        <v>75</v>
      </c>
      <c r="P638" s="2">
        <v>300</v>
      </c>
      <c r="Q638" s="2">
        <v>300</v>
      </c>
      <c r="R638" s="9" t="s">
        <v>30</v>
      </c>
      <c r="S638" s="9">
        <f t="shared" si="18"/>
        <v>300</v>
      </c>
      <c r="T638" s="10" t="str">
        <f t="shared" si="19"/>
        <v>Low</v>
      </c>
    </row>
    <row r="639" spans="1:20">
      <c r="A639" s="2">
        <v>500647</v>
      </c>
      <c r="B639" s="2">
        <v>107731</v>
      </c>
      <c r="C639" s="8">
        <v>45856</v>
      </c>
      <c r="D639" s="2">
        <v>2016</v>
      </c>
      <c r="E639" s="2">
        <v>1</v>
      </c>
      <c r="F639" s="2">
        <v>20</v>
      </c>
      <c r="G639" s="2" t="s">
        <v>56</v>
      </c>
      <c r="H639" s="2" t="s">
        <v>21</v>
      </c>
      <c r="I639" s="2">
        <v>44</v>
      </c>
      <c r="J639" s="2" t="s">
        <v>52</v>
      </c>
      <c r="K639" s="8">
        <v>45165</v>
      </c>
      <c r="L639" s="2" t="s">
        <v>23</v>
      </c>
      <c r="M639" s="2" t="s">
        <v>67</v>
      </c>
      <c r="N639" s="2" t="s">
        <v>34</v>
      </c>
      <c r="O639" s="2">
        <v>21</v>
      </c>
      <c r="P639" s="2">
        <v>17</v>
      </c>
      <c r="Q639" s="2">
        <v>17</v>
      </c>
      <c r="R639" s="9" t="s">
        <v>26</v>
      </c>
      <c r="S639" s="9">
        <f t="shared" si="18"/>
        <v>21</v>
      </c>
      <c r="T639" s="10" t="str">
        <f t="shared" si="19"/>
        <v>High</v>
      </c>
    </row>
    <row r="640" spans="1:20">
      <c r="A640" s="2">
        <v>500648</v>
      </c>
      <c r="B640" s="2">
        <v>105433</v>
      </c>
      <c r="C640" s="8">
        <v>45718</v>
      </c>
      <c r="D640" s="2">
        <v>2008</v>
      </c>
      <c r="E640" s="2">
        <v>3</v>
      </c>
      <c r="F640" s="2">
        <v>10</v>
      </c>
      <c r="G640" s="2" t="s">
        <v>31</v>
      </c>
      <c r="H640" s="2" t="s">
        <v>21</v>
      </c>
      <c r="I640" s="2">
        <v>33</v>
      </c>
      <c r="J640" s="2" t="s">
        <v>45</v>
      </c>
      <c r="K640" s="8">
        <v>45838</v>
      </c>
      <c r="L640" s="2" t="s">
        <v>41</v>
      </c>
      <c r="M640" s="2" t="s">
        <v>39</v>
      </c>
      <c r="N640" s="2" t="s">
        <v>25</v>
      </c>
      <c r="O640" s="2">
        <v>14</v>
      </c>
      <c r="P640" s="2">
        <v>38</v>
      </c>
      <c r="Q640" s="2">
        <v>38</v>
      </c>
      <c r="R640" s="9" t="s">
        <v>26</v>
      </c>
      <c r="S640" s="9">
        <f t="shared" si="18"/>
        <v>42</v>
      </c>
      <c r="T640" s="10" t="str">
        <f t="shared" si="19"/>
        <v>Average</v>
      </c>
    </row>
    <row r="641" spans="1:20">
      <c r="A641" s="2">
        <v>500649</v>
      </c>
      <c r="B641" s="2">
        <v>107658</v>
      </c>
      <c r="C641" s="8">
        <v>45469</v>
      </c>
      <c r="D641" s="2">
        <v>2003</v>
      </c>
      <c r="E641" s="2">
        <v>2</v>
      </c>
      <c r="F641" s="2">
        <v>0</v>
      </c>
      <c r="G641" s="2" t="s">
        <v>20</v>
      </c>
      <c r="H641" s="2" t="s">
        <v>40</v>
      </c>
      <c r="I641" s="2">
        <v>62</v>
      </c>
      <c r="J641" s="2" t="s">
        <v>38</v>
      </c>
      <c r="K641" s="8">
        <v>45671</v>
      </c>
      <c r="L641" s="2" t="s">
        <v>41</v>
      </c>
      <c r="M641" s="2" t="s">
        <v>24</v>
      </c>
      <c r="N641" s="2" t="s">
        <v>25</v>
      </c>
      <c r="O641" s="2">
        <v>9</v>
      </c>
      <c r="P641" s="2">
        <v>18</v>
      </c>
      <c r="Q641" s="2">
        <v>18</v>
      </c>
      <c r="R641" s="9" t="s">
        <v>30</v>
      </c>
      <c r="S641" s="9">
        <f t="shared" si="18"/>
        <v>18</v>
      </c>
      <c r="T641" s="10" t="str">
        <f t="shared" si="19"/>
        <v>Low</v>
      </c>
    </row>
    <row r="642" spans="1:20">
      <c r="A642" s="2">
        <v>500650</v>
      </c>
      <c r="B642" s="2">
        <v>101098</v>
      </c>
      <c r="C642" s="8">
        <v>46078</v>
      </c>
      <c r="D642" s="2">
        <v>2019</v>
      </c>
      <c r="E642" s="2">
        <v>1</v>
      </c>
      <c r="F642" s="2">
        <v>0</v>
      </c>
      <c r="G642" s="2" t="s">
        <v>20</v>
      </c>
      <c r="H642" s="2" t="s">
        <v>21</v>
      </c>
      <c r="I642" s="2">
        <v>41</v>
      </c>
      <c r="J642" s="2" t="s">
        <v>35</v>
      </c>
      <c r="K642" s="8">
        <v>45745</v>
      </c>
      <c r="L642" s="2" t="s">
        <v>23</v>
      </c>
      <c r="M642" s="2" t="s">
        <v>60</v>
      </c>
      <c r="N642" s="2" t="s">
        <v>34</v>
      </c>
      <c r="O642" s="2">
        <v>260</v>
      </c>
      <c r="P642" s="2">
        <v>260</v>
      </c>
      <c r="Q642" s="2">
        <v>260</v>
      </c>
      <c r="R642" s="9" t="s">
        <v>26</v>
      </c>
      <c r="S642" s="9">
        <f t="shared" ref="S642:S705" si="20">SUM(E642*O642)</f>
        <v>260</v>
      </c>
      <c r="T642" s="10" t="str">
        <f t="shared" ref="T642:T705" si="21">IF(F642&lt;=5,"Low",IF(F642&lt;=10,"Average",IF(F642&gt;10,"High")))</f>
        <v>Low</v>
      </c>
    </row>
    <row r="643" spans="1:20">
      <c r="A643" s="2">
        <v>500651</v>
      </c>
      <c r="B643" s="2">
        <v>108662</v>
      </c>
      <c r="C643" s="8">
        <v>45484</v>
      </c>
      <c r="D643" s="2">
        <v>2007</v>
      </c>
      <c r="E643" s="2">
        <v>2</v>
      </c>
      <c r="F643" s="2">
        <v>5</v>
      </c>
      <c r="G643" s="2" t="s">
        <v>20</v>
      </c>
      <c r="H643" s="2" t="s">
        <v>21</v>
      </c>
      <c r="I643" s="2">
        <v>22</v>
      </c>
      <c r="J643" s="2" t="s">
        <v>35</v>
      </c>
      <c r="K643" s="8">
        <v>45724</v>
      </c>
      <c r="L643" s="2" t="s">
        <v>23</v>
      </c>
      <c r="M643" s="2" t="s">
        <v>61</v>
      </c>
      <c r="N643" s="2" t="s">
        <v>34</v>
      </c>
      <c r="O643" s="2">
        <v>75</v>
      </c>
      <c r="P643" s="2">
        <v>142</v>
      </c>
      <c r="Q643" s="2">
        <v>142</v>
      </c>
      <c r="R643" s="9" t="s">
        <v>30</v>
      </c>
      <c r="S643" s="9">
        <f t="shared" si="20"/>
        <v>150</v>
      </c>
      <c r="T643" s="10" t="str">
        <f t="shared" si="21"/>
        <v>Low</v>
      </c>
    </row>
    <row r="644" spans="1:20">
      <c r="A644" s="2">
        <v>500652</v>
      </c>
      <c r="B644" s="2">
        <v>102068</v>
      </c>
      <c r="C644" s="8">
        <v>46018</v>
      </c>
      <c r="D644" s="2">
        <v>2017</v>
      </c>
      <c r="E644" s="2">
        <v>1</v>
      </c>
      <c r="F644" s="2">
        <v>20</v>
      </c>
      <c r="G644" s="2" t="s">
        <v>31</v>
      </c>
      <c r="H644" s="2" t="s">
        <v>21</v>
      </c>
      <c r="I644" s="2">
        <v>61</v>
      </c>
      <c r="J644" s="2" t="s">
        <v>52</v>
      </c>
      <c r="K644" s="8">
        <v>45258</v>
      </c>
      <c r="L644" s="2" t="s">
        <v>23</v>
      </c>
      <c r="M644" s="2" t="s">
        <v>44</v>
      </c>
      <c r="N644" s="2" t="s">
        <v>25</v>
      </c>
      <c r="O644" s="2">
        <v>11</v>
      </c>
      <c r="P644" s="2">
        <v>9</v>
      </c>
      <c r="Q644" s="2">
        <v>9</v>
      </c>
      <c r="R644" s="9" t="s">
        <v>26</v>
      </c>
      <c r="S644" s="9">
        <f t="shared" si="20"/>
        <v>11</v>
      </c>
      <c r="T644" s="10" t="str">
        <f t="shared" si="21"/>
        <v>High</v>
      </c>
    </row>
    <row r="645" spans="1:20">
      <c r="A645" s="2">
        <v>500653</v>
      </c>
      <c r="B645" s="2">
        <v>104214</v>
      </c>
      <c r="C645" s="8">
        <v>45898</v>
      </c>
      <c r="D645" s="2">
        <v>2008</v>
      </c>
      <c r="E645" s="2">
        <v>2</v>
      </c>
      <c r="F645" s="2">
        <v>5</v>
      </c>
      <c r="G645" s="2" t="s">
        <v>27</v>
      </c>
      <c r="H645" s="2" t="s">
        <v>21</v>
      </c>
      <c r="I645" s="2">
        <v>52</v>
      </c>
      <c r="J645" s="2" t="s">
        <v>32</v>
      </c>
      <c r="K645" s="8">
        <v>45883</v>
      </c>
      <c r="L645" s="2" t="s">
        <v>41</v>
      </c>
      <c r="M645" s="2" t="s">
        <v>39</v>
      </c>
      <c r="N645" s="2" t="s">
        <v>25</v>
      </c>
      <c r="O645" s="2">
        <v>14</v>
      </c>
      <c r="P645" s="2">
        <v>27</v>
      </c>
      <c r="Q645" s="2">
        <v>27</v>
      </c>
      <c r="R645" s="9" t="s">
        <v>26</v>
      </c>
      <c r="S645" s="9">
        <f t="shared" si="20"/>
        <v>28</v>
      </c>
      <c r="T645" s="10" t="str">
        <f t="shared" si="21"/>
        <v>Low</v>
      </c>
    </row>
    <row r="646" spans="1:20">
      <c r="A646" s="2">
        <v>500654</v>
      </c>
      <c r="B646" s="2">
        <v>104671</v>
      </c>
      <c r="C646" s="8">
        <v>45482</v>
      </c>
      <c r="D646" s="2">
        <v>2008</v>
      </c>
      <c r="E646" s="2">
        <v>2</v>
      </c>
      <c r="F646" s="2">
        <v>0</v>
      </c>
      <c r="G646" s="2" t="s">
        <v>27</v>
      </c>
      <c r="H646" s="2" t="s">
        <v>21</v>
      </c>
      <c r="I646" s="2">
        <v>22</v>
      </c>
      <c r="J646" s="2" t="s">
        <v>32</v>
      </c>
      <c r="K646" s="8">
        <v>45286</v>
      </c>
      <c r="L646" s="2" t="s">
        <v>23</v>
      </c>
      <c r="M646" s="2" t="s">
        <v>39</v>
      </c>
      <c r="N646" s="2" t="s">
        <v>25</v>
      </c>
      <c r="O646" s="2">
        <v>14</v>
      </c>
      <c r="P646" s="2">
        <v>28</v>
      </c>
      <c r="Q646" s="2">
        <v>28</v>
      </c>
      <c r="R646" s="9" t="s">
        <v>30</v>
      </c>
      <c r="S646" s="9">
        <f t="shared" si="20"/>
        <v>28</v>
      </c>
      <c r="T646" s="10" t="str">
        <f t="shared" si="21"/>
        <v>Low</v>
      </c>
    </row>
    <row r="647" spans="1:20">
      <c r="A647" s="2">
        <v>500655</v>
      </c>
      <c r="B647" s="2">
        <v>103904</v>
      </c>
      <c r="C647" s="8">
        <v>45906</v>
      </c>
      <c r="D647" s="2">
        <v>2017</v>
      </c>
      <c r="E647" s="2">
        <v>1</v>
      </c>
      <c r="F647" s="2">
        <v>30</v>
      </c>
      <c r="G647" s="2" t="s">
        <v>31</v>
      </c>
      <c r="H647" s="2" t="s">
        <v>21</v>
      </c>
      <c r="I647" s="2">
        <v>18</v>
      </c>
      <c r="J647" s="2" t="s">
        <v>45</v>
      </c>
      <c r="K647" s="8">
        <v>45832</v>
      </c>
      <c r="L647" s="2" t="s">
        <v>23</v>
      </c>
      <c r="M647" s="2" t="s">
        <v>44</v>
      </c>
      <c r="N647" s="2" t="s">
        <v>25</v>
      </c>
      <c r="O647" s="2">
        <v>11</v>
      </c>
      <c r="P647" s="2">
        <v>8</v>
      </c>
      <c r="Q647" s="2">
        <v>8</v>
      </c>
      <c r="R647" s="9" t="s">
        <v>26</v>
      </c>
      <c r="S647" s="9">
        <f t="shared" si="20"/>
        <v>11</v>
      </c>
      <c r="T647" s="10" t="str">
        <f t="shared" si="21"/>
        <v>High</v>
      </c>
    </row>
    <row r="648" spans="1:20">
      <c r="A648" s="2">
        <v>500656</v>
      </c>
      <c r="B648" s="2">
        <v>100319</v>
      </c>
      <c r="C648" s="8">
        <v>45314</v>
      </c>
      <c r="D648" s="2">
        <v>2016</v>
      </c>
      <c r="E648" s="2">
        <v>2</v>
      </c>
      <c r="F648" s="2">
        <v>0</v>
      </c>
      <c r="G648" s="2" t="s">
        <v>31</v>
      </c>
      <c r="H648" s="2" t="s">
        <v>21</v>
      </c>
      <c r="I648" s="2">
        <v>63</v>
      </c>
      <c r="J648" s="2" t="s">
        <v>45</v>
      </c>
      <c r="K648" s="8">
        <v>45140</v>
      </c>
      <c r="L648" s="2" t="s">
        <v>23</v>
      </c>
      <c r="M648" s="2" t="s">
        <v>67</v>
      </c>
      <c r="N648" s="2" t="s">
        <v>34</v>
      </c>
      <c r="O648" s="2">
        <v>21</v>
      </c>
      <c r="P648" s="2">
        <v>42</v>
      </c>
      <c r="Q648" s="2">
        <v>42</v>
      </c>
      <c r="R648" s="9" t="s">
        <v>30</v>
      </c>
      <c r="S648" s="9">
        <f t="shared" si="20"/>
        <v>42</v>
      </c>
      <c r="T648" s="10" t="str">
        <f t="shared" si="21"/>
        <v>Low</v>
      </c>
    </row>
    <row r="649" spans="1:20">
      <c r="A649" s="2">
        <v>500657</v>
      </c>
      <c r="B649" s="2">
        <v>107619</v>
      </c>
      <c r="C649" s="8">
        <v>45496</v>
      </c>
      <c r="D649" s="2">
        <v>2003</v>
      </c>
      <c r="E649" s="2">
        <v>1</v>
      </c>
      <c r="F649" s="2">
        <v>10</v>
      </c>
      <c r="G649" s="2" t="s">
        <v>27</v>
      </c>
      <c r="H649" s="2" t="s">
        <v>21</v>
      </c>
      <c r="I649" s="2">
        <v>30</v>
      </c>
      <c r="J649" s="2" t="s">
        <v>32</v>
      </c>
      <c r="K649" s="8">
        <v>45936</v>
      </c>
      <c r="L649" s="2" t="s">
        <v>41</v>
      </c>
      <c r="M649" s="2" t="s">
        <v>24</v>
      </c>
      <c r="N649" s="2" t="s">
        <v>25</v>
      </c>
      <c r="O649" s="2">
        <v>9</v>
      </c>
      <c r="P649" s="2">
        <v>8</v>
      </c>
      <c r="Q649" s="2">
        <v>8</v>
      </c>
      <c r="R649" s="9" t="s">
        <v>30</v>
      </c>
      <c r="S649" s="9">
        <f t="shared" si="20"/>
        <v>9</v>
      </c>
      <c r="T649" s="10" t="str">
        <f t="shared" si="21"/>
        <v>Average</v>
      </c>
    </row>
    <row r="650" spans="1:20">
      <c r="A650" s="2">
        <v>500658</v>
      </c>
      <c r="B650" s="2">
        <v>101259</v>
      </c>
      <c r="C650" s="8">
        <v>45538</v>
      </c>
      <c r="D650" s="2">
        <v>2006</v>
      </c>
      <c r="E650" s="2">
        <v>1</v>
      </c>
      <c r="F650" s="2">
        <v>0</v>
      </c>
      <c r="G650" s="2" t="s">
        <v>27</v>
      </c>
      <c r="H650" s="2" t="s">
        <v>21</v>
      </c>
      <c r="I650" s="2">
        <v>43</v>
      </c>
      <c r="J650" s="2" t="s">
        <v>43</v>
      </c>
      <c r="K650" s="8">
        <v>45470</v>
      </c>
      <c r="L650" s="2" t="s">
        <v>41</v>
      </c>
      <c r="M650" s="2" t="s">
        <v>57</v>
      </c>
      <c r="N650" s="2" t="s">
        <v>34</v>
      </c>
      <c r="O650" s="2">
        <v>48</v>
      </c>
      <c r="P650" s="2">
        <v>48</v>
      </c>
      <c r="Q650" s="2">
        <v>48</v>
      </c>
      <c r="R650" s="9" t="s">
        <v>30</v>
      </c>
      <c r="S650" s="9">
        <f t="shared" si="20"/>
        <v>48</v>
      </c>
      <c r="T650" s="10" t="str">
        <f t="shared" si="21"/>
        <v>Low</v>
      </c>
    </row>
    <row r="651" spans="1:20">
      <c r="A651" s="2">
        <v>500659</v>
      </c>
      <c r="B651" s="2">
        <v>108794</v>
      </c>
      <c r="C651" s="8">
        <v>46063</v>
      </c>
      <c r="D651" s="2">
        <v>2008</v>
      </c>
      <c r="E651" s="2">
        <v>1</v>
      </c>
      <c r="F651" s="2">
        <v>15</v>
      </c>
      <c r="G651" s="2" t="s">
        <v>31</v>
      </c>
      <c r="H651" s="2" t="s">
        <v>21</v>
      </c>
      <c r="I651" s="2">
        <v>26</v>
      </c>
      <c r="J651" s="2" t="s">
        <v>48</v>
      </c>
      <c r="K651" s="8">
        <v>45386</v>
      </c>
      <c r="L651" s="2" t="s">
        <v>23</v>
      </c>
      <c r="M651" s="2" t="s">
        <v>39</v>
      </c>
      <c r="N651" s="2" t="s">
        <v>25</v>
      </c>
      <c r="O651" s="2">
        <v>14</v>
      </c>
      <c r="P651" s="2">
        <v>12</v>
      </c>
      <c r="Q651" s="2">
        <v>12</v>
      </c>
      <c r="R651" s="9" t="s">
        <v>26</v>
      </c>
      <c r="S651" s="9">
        <f t="shared" si="20"/>
        <v>14</v>
      </c>
      <c r="T651" s="10" t="str">
        <f t="shared" si="21"/>
        <v>High</v>
      </c>
    </row>
    <row r="652" spans="1:20">
      <c r="A652" s="2">
        <v>500660</v>
      </c>
      <c r="B652" s="2">
        <v>101360</v>
      </c>
      <c r="C652" s="8">
        <v>46096</v>
      </c>
      <c r="D652" s="2">
        <v>2013</v>
      </c>
      <c r="E652" s="2">
        <v>3</v>
      </c>
      <c r="F652" s="2">
        <v>5</v>
      </c>
      <c r="G652" s="2" t="s">
        <v>20</v>
      </c>
      <c r="H652" s="2" t="s">
        <v>21</v>
      </c>
      <c r="I652" s="2">
        <v>35</v>
      </c>
      <c r="J652" s="2" t="s">
        <v>43</v>
      </c>
      <c r="K652" s="8">
        <v>45729</v>
      </c>
      <c r="L652" s="2" t="s">
        <v>41</v>
      </c>
      <c r="M652" s="2" t="s">
        <v>53</v>
      </c>
      <c r="N652" s="2" t="s">
        <v>54</v>
      </c>
      <c r="O652" s="2">
        <v>7</v>
      </c>
      <c r="P652" s="2">
        <v>20</v>
      </c>
      <c r="Q652" s="2">
        <v>20</v>
      </c>
      <c r="R652" s="9" t="s">
        <v>26</v>
      </c>
      <c r="S652" s="9">
        <f t="shared" si="20"/>
        <v>21</v>
      </c>
      <c r="T652" s="10" t="str">
        <f t="shared" si="21"/>
        <v>Low</v>
      </c>
    </row>
    <row r="653" spans="1:20">
      <c r="A653" s="2">
        <v>500661</v>
      </c>
      <c r="B653" s="2">
        <v>106328</v>
      </c>
      <c r="C653" s="8">
        <v>45526</v>
      </c>
      <c r="D653" s="2">
        <v>2011</v>
      </c>
      <c r="E653" s="2">
        <v>2</v>
      </c>
      <c r="F653" s="2">
        <v>0</v>
      </c>
      <c r="G653" s="2" t="s">
        <v>31</v>
      </c>
      <c r="H653" s="2" t="s">
        <v>21</v>
      </c>
      <c r="I653" s="2">
        <v>52</v>
      </c>
      <c r="J653" s="2" t="s">
        <v>32</v>
      </c>
      <c r="K653" s="8">
        <v>45774</v>
      </c>
      <c r="L653" s="2" t="s">
        <v>23</v>
      </c>
      <c r="M653" s="2" t="s">
        <v>42</v>
      </c>
      <c r="N653" s="2" t="s">
        <v>37</v>
      </c>
      <c r="O653" s="2">
        <v>32</v>
      </c>
      <c r="P653" s="2">
        <v>64</v>
      </c>
      <c r="Q653" s="2">
        <v>64</v>
      </c>
      <c r="R653" s="9" t="s">
        <v>30</v>
      </c>
      <c r="S653" s="9">
        <f t="shared" si="20"/>
        <v>64</v>
      </c>
      <c r="T653" s="10" t="str">
        <f t="shared" si="21"/>
        <v>Low</v>
      </c>
    </row>
    <row r="654" spans="1:20">
      <c r="A654" s="2">
        <v>500662</v>
      </c>
      <c r="B654" s="2">
        <v>108683</v>
      </c>
      <c r="C654" s="8">
        <v>45702</v>
      </c>
      <c r="D654" s="2">
        <v>2011</v>
      </c>
      <c r="E654" s="2">
        <v>4</v>
      </c>
      <c r="F654" s="2">
        <v>5</v>
      </c>
      <c r="G654" s="2" t="s">
        <v>31</v>
      </c>
      <c r="H654" s="2" t="s">
        <v>21</v>
      </c>
      <c r="I654" s="2">
        <v>18</v>
      </c>
      <c r="J654" s="2" t="s">
        <v>32</v>
      </c>
      <c r="K654" s="8">
        <v>45209</v>
      </c>
      <c r="L654" s="2" t="s">
        <v>41</v>
      </c>
      <c r="M654" s="2" t="s">
        <v>42</v>
      </c>
      <c r="N654" s="2" t="s">
        <v>37</v>
      </c>
      <c r="O654" s="2">
        <v>32</v>
      </c>
      <c r="P654" s="2">
        <v>122</v>
      </c>
      <c r="Q654" s="2">
        <v>122</v>
      </c>
      <c r="R654" s="9" t="s">
        <v>26</v>
      </c>
      <c r="S654" s="9">
        <f t="shared" si="20"/>
        <v>128</v>
      </c>
      <c r="T654" s="10" t="str">
        <f t="shared" si="21"/>
        <v>Low</v>
      </c>
    </row>
    <row r="655" spans="1:20">
      <c r="A655" s="2">
        <v>500663</v>
      </c>
      <c r="B655" s="2">
        <v>106655</v>
      </c>
      <c r="C655" s="8">
        <v>46180</v>
      </c>
      <c r="D655" s="2">
        <v>2013</v>
      </c>
      <c r="E655" s="2">
        <v>2</v>
      </c>
      <c r="F655" s="2">
        <v>10</v>
      </c>
      <c r="G655" s="2" t="s">
        <v>31</v>
      </c>
      <c r="H655" s="2" t="s">
        <v>21</v>
      </c>
      <c r="I655" s="2">
        <v>22</v>
      </c>
      <c r="J655" s="2" t="s">
        <v>32</v>
      </c>
      <c r="K655" s="8">
        <v>45204</v>
      </c>
      <c r="L655" s="2" t="s">
        <v>23</v>
      </c>
      <c r="M655" s="2" t="s">
        <v>53</v>
      </c>
      <c r="N655" s="2" t="s">
        <v>54</v>
      </c>
      <c r="O655" s="2">
        <v>7</v>
      </c>
      <c r="P655" s="2">
        <v>13</v>
      </c>
      <c r="Q655" s="2">
        <v>13</v>
      </c>
      <c r="R655" s="9" t="s">
        <v>26</v>
      </c>
      <c r="S655" s="9">
        <f t="shared" si="20"/>
        <v>14</v>
      </c>
      <c r="T655" s="10" t="str">
        <f t="shared" si="21"/>
        <v>Average</v>
      </c>
    </row>
    <row r="656" spans="1:20">
      <c r="A656" s="2">
        <v>500664</v>
      </c>
      <c r="B656" s="2">
        <v>103815</v>
      </c>
      <c r="C656" s="8">
        <v>45867</v>
      </c>
      <c r="D656" s="2">
        <v>2003</v>
      </c>
      <c r="E656" s="2">
        <v>1</v>
      </c>
      <c r="F656" s="2">
        <v>0</v>
      </c>
      <c r="G656" s="2" t="s">
        <v>56</v>
      </c>
      <c r="H656" s="2" t="s">
        <v>21</v>
      </c>
      <c r="I656" s="2">
        <v>36</v>
      </c>
      <c r="J656" s="2" t="s">
        <v>52</v>
      </c>
      <c r="K656" s="8">
        <v>46014</v>
      </c>
      <c r="L656" s="2" t="s">
        <v>23</v>
      </c>
      <c r="M656" s="2" t="s">
        <v>24</v>
      </c>
      <c r="N656" s="2" t="s">
        <v>25</v>
      </c>
      <c r="O656" s="2">
        <v>9</v>
      </c>
      <c r="P656" s="2">
        <v>9</v>
      </c>
      <c r="Q656" s="2">
        <v>9</v>
      </c>
      <c r="R656" s="9" t="s">
        <v>26</v>
      </c>
      <c r="S656" s="9">
        <f t="shared" si="20"/>
        <v>9</v>
      </c>
      <c r="T656" s="10" t="str">
        <f t="shared" si="21"/>
        <v>Low</v>
      </c>
    </row>
    <row r="657" spans="1:20">
      <c r="A657" s="2">
        <v>500665</v>
      </c>
      <c r="B657" s="2">
        <v>106302</v>
      </c>
      <c r="C657" s="8">
        <v>45352</v>
      </c>
      <c r="D657" s="2">
        <v>2012</v>
      </c>
      <c r="E657" s="2">
        <v>2</v>
      </c>
      <c r="F657" s="2">
        <v>15</v>
      </c>
      <c r="G657" s="2" t="s">
        <v>27</v>
      </c>
      <c r="H657" s="2" t="s">
        <v>21</v>
      </c>
      <c r="I657" s="2">
        <v>18</v>
      </c>
      <c r="J657" s="2" t="s">
        <v>28</v>
      </c>
      <c r="K657" s="8">
        <v>45713</v>
      </c>
      <c r="L657" s="2" t="s">
        <v>41</v>
      </c>
      <c r="M657" s="2" t="s">
        <v>36</v>
      </c>
      <c r="N657" s="2" t="s">
        <v>37</v>
      </c>
      <c r="O657" s="2">
        <v>180</v>
      </c>
      <c r="P657" s="2">
        <v>306</v>
      </c>
      <c r="Q657" s="2">
        <v>306</v>
      </c>
      <c r="R657" s="9" t="s">
        <v>30</v>
      </c>
      <c r="S657" s="9">
        <f t="shared" si="20"/>
        <v>360</v>
      </c>
      <c r="T657" s="10" t="str">
        <f t="shared" si="21"/>
        <v>High</v>
      </c>
    </row>
    <row r="658" spans="1:20">
      <c r="A658" s="2">
        <v>500666</v>
      </c>
      <c r="B658" s="2">
        <v>108616</v>
      </c>
      <c r="C658" s="8">
        <v>45630</v>
      </c>
      <c r="D658" s="2">
        <v>2008</v>
      </c>
      <c r="E658" s="2">
        <v>4</v>
      </c>
      <c r="F658" s="2">
        <v>5</v>
      </c>
      <c r="G658" s="2" t="s">
        <v>31</v>
      </c>
      <c r="H658" s="2" t="s">
        <v>21</v>
      </c>
      <c r="I658" s="2">
        <v>34</v>
      </c>
      <c r="J658" s="2" t="s">
        <v>32</v>
      </c>
      <c r="K658" s="8">
        <v>45107</v>
      </c>
      <c r="L658" s="2" t="s">
        <v>23</v>
      </c>
      <c r="M658" s="2" t="s">
        <v>39</v>
      </c>
      <c r="N658" s="2" t="s">
        <v>25</v>
      </c>
      <c r="O658" s="2">
        <v>14</v>
      </c>
      <c r="P658" s="2">
        <v>53</v>
      </c>
      <c r="Q658" s="2">
        <v>53</v>
      </c>
      <c r="R658" s="9" t="s">
        <v>30</v>
      </c>
      <c r="S658" s="9">
        <f t="shared" si="20"/>
        <v>56</v>
      </c>
      <c r="T658" s="10" t="str">
        <f t="shared" si="21"/>
        <v>Low</v>
      </c>
    </row>
    <row r="659" spans="1:20">
      <c r="A659" s="2">
        <v>500667</v>
      </c>
      <c r="B659" s="2">
        <v>106204</v>
      </c>
      <c r="C659" s="8">
        <v>45656</v>
      </c>
      <c r="D659" s="2">
        <v>2020</v>
      </c>
      <c r="E659" s="2">
        <v>2</v>
      </c>
      <c r="F659" s="2">
        <v>0</v>
      </c>
      <c r="G659" s="2" t="s">
        <v>20</v>
      </c>
      <c r="H659" s="2" t="s">
        <v>21</v>
      </c>
      <c r="I659" s="2">
        <v>27</v>
      </c>
      <c r="J659" s="2" t="s">
        <v>32</v>
      </c>
      <c r="K659" s="8">
        <v>45639</v>
      </c>
      <c r="L659" s="2" t="s">
        <v>41</v>
      </c>
      <c r="M659" s="2" t="s">
        <v>62</v>
      </c>
      <c r="N659" s="2" t="s">
        <v>63</v>
      </c>
      <c r="O659" s="2">
        <v>68</v>
      </c>
      <c r="P659" s="2">
        <v>136</v>
      </c>
      <c r="Q659" s="2">
        <v>136</v>
      </c>
      <c r="R659" s="9" t="s">
        <v>30</v>
      </c>
      <c r="S659" s="9">
        <f t="shared" si="20"/>
        <v>136</v>
      </c>
      <c r="T659" s="10" t="str">
        <f t="shared" si="21"/>
        <v>Low</v>
      </c>
    </row>
    <row r="660" spans="1:20">
      <c r="A660" s="2">
        <v>500668</v>
      </c>
      <c r="B660" s="2">
        <v>103661</v>
      </c>
      <c r="C660" s="8">
        <v>45556</v>
      </c>
      <c r="D660" s="2">
        <v>2013</v>
      </c>
      <c r="E660" s="2">
        <v>2</v>
      </c>
      <c r="F660" s="2">
        <v>20</v>
      </c>
      <c r="G660" s="2" t="s">
        <v>20</v>
      </c>
      <c r="H660" s="2" t="s">
        <v>21</v>
      </c>
      <c r="I660" s="2">
        <v>44</v>
      </c>
      <c r="J660" s="2" t="s">
        <v>32</v>
      </c>
      <c r="K660" s="8">
        <v>45409</v>
      </c>
      <c r="L660" s="2" t="s">
        <v>49</v>
      </c>
      <c r="M660" s="2" t="s">
        <v>53</v>
      </c>
      <c r="N660" s="2" t="s">
        <v>54</v>
      </c>
      <c r="O660" s="2">
        <v>7</v>
      </c>
      <c r="P660" s="2">
        <v>11</v>
      </c>
      <c r="Q660" s="2">
        <v>11</v>
      </c>
      <c r="R660" s="9" t="s">
        <v>30</v>
      </c>
      <c r="S660" s="9">
        <f t="shared" si="20"/>
        <v>14</v>
      </c>
      <c r="T660" s="10" t="str">
        <f t="shared" si="21"/>
        <v>High</v>
      </c>
    </row>
    <row r="661" spans="1:20">
      <c r="A661" s="2">
        <v>500669</v>
      </c>
      <c r="B661" s="2">
        <v>102451</v>
      </c>
      <c r="C661" s="8">
        <v>45741</v>
      </c>
      <c r="D661" s="2">
        <v>2005</v>
      </c>
      <c r="E661" s="2">
        <v>2</v>
      </c>
      <c r="F661" s="2">
        <v>0</v>
      </c>
      <c r="G661" s="2" t="s">
        <v>27</v>
      </c>
      <c r="H661" s="2" t="s">
        <v>21</v>
      </c>
      <c r="I661" s="2">
        <v>58</v>
      </c>
      <c r="J661" s="2" t="s">
        <v>32</v>
      </c>
      <c r="K661" s="8">
        <v>45888</v>
      </c>
      <c r="L661" s="2" t="s">
        <v>41</v>
      </c>
      <c r="M661" s="2" t="s">
        <v>51</v>
      </c>
      <c r="N661" s="2" t="s">
        <v>25</v>
      </c>
      <c r="O661" s="2">
        <v>28</v>
      </c>
      <c r="P661" s="2">
        <v>56</v>
      </c>
      <c r="Q661" s="2">
        <v>56</v>
      </c>
      <c r="R661" s="9" t="s">
        <v>26</v>
      </c>
      <c r="S661" s="9">
        <f t="shared" si="20"/>
        <v>56</v>
      </c>
      <c r="T661" s="10" t="str">
        <f t="shared" si="21"/>
        <v>Low</v>
      </c>
    </row>
    <row r="662" spans="1:20">
      <c r="A662" s="2">
        <v>500670</v>
      </c>
      <c r="B662" s="2">
        <v>107071</v>
      </c>
      <c r="C662" s="8">
        <v>45927</v>
      </c>
      <c r="D662" s="2">
        <v>2019</v>
      </c>
      <c r="E662" s="2">
        <v>1</v>
      </c>
      <c r="F662" s="2">
        <v>5</v>
      </c>
      <c r="G662" s="2" t="s">
        <v>31</v>
      </c>
      <c r="H662" s="2" t="s">
        <v>21</v>
      </c>
      <c r="I662" s="2">
        <v>32</v>
      </c>
      <c r="J662" s="2" t="s">
        <v>38</v>
      </c>
      <c r="K662" s="8">
        <v>45751</v>
      </c>
      <c r="L662" s="2" t="s">
        <v>41</v>
      </c>
      <c r="M662" s="2" t="s">
        <v>60</v>
      </c>
      <c r="N662" s="2" t="s">
        <v>34</v>
      </c>
      <c r="O662" s="2">
        <v>260</v>
      </c>
      <c r="P662" s="2">
        <v>247</v>
      </c>
      <c r="Q662" s="2">
        <v>247</v>
      </c>
      <c r="R662" s="9" t="s">
        <v>26</v>
      </c>
      <c r="S662" s="9">
        <f t="shared" si="20"/>
        <v>260</v>
      </c>
      <c r="T662" s="10" t="str">
        <f t="shared" si="21"/>
        <v>Low</v>
      </c>
    </row>
    <row r="663" spans="1:20">
      <c r="A663" s="2">
        <v>500671</v>
      </c>
      <c r="B663" s="2">
        <v>101778</v>
      </c>
      <c r="C663" s="8">
        <v>45889</v>
      </c>
      <c r="D663" s="2">
        <v>2001</v>
      </c>
      <c r="E663" s="2">
        <v>2</v>
      </c>
      <c r="F663" s="2">
        <v>20</v>
      </c>
      <c r="G663" s="2" t="s">
        <v>31</v>
      </c>
      <c r="H663" s="2" t="s">
        <v>21</v>
      </c>
      <c r="I663" s="2">
        <v>25</v>
      </c>
      <c r="J663" s="2" t="s">
        <v>35</v>
      </c>
      <c r="K663" s="8">
        <v>45971</v>
      </c>
      <c r="L663" s="2" t="s">
        <v>23</v>
      </c>
      <c r="M663" s="2" t="s">
        <v>50</v>
      </c>
      <c r="N663" s="2" t="s">
        <v>34</v>
      </c>
      <c r="O663" s="2">
        <v>18</v>
      </c>
      <c r="P663" s="2">
        <v>29</v>
      </c>
      <c r="Q663" s="2">
        <v>29</v>
      </c>
      <c r="R663" s="9" t="s">
        <v>26</v>
      </c>
      <c r="S663" s="9">
        <f t="shared" si="20"/>
        <v>36</v>
      </c>
      <c r="T663" s="10" t="str">
        <f t="shared" si="21"/>
        <v>High</v>
      </c>
    </row>
    <row r="664" spans="1:20">
      <c r="A664" s="2">
        <v>500672</v>
      </c>
      <c r="B664" s="2">
        <v>105221</v>
      </c>
      <c r="C664" s="8">
        <v>45595</v>
      </c>
      <c r="D664" s="2">
        <v>2011</v>
      </c>
      <c r="E664" s="2">
        <v>1</v>
      </c>
      <c r="F664" s="2">
        <v>30</v>
      </c>
      <c r="G664" s="2" t="s">
        <v>56</v>
      </c>
      <c r="H664" s="2" t="s">
        <v>21</v>
      </c>
      <c r="I664" s="2">
        <v>32</v>
      </c>
      <c r="J664" s="2" t="s">
        <v>22</v>
      </c>
      <c r="K664" s="8">
        <v>45370</v>
      </c>
      <c r="L664" s="2" t="s">
        <v>23</v>
      </c>
      <c r="M664" s="2" t="s">
        <v>42</v>
      </c>
      <c r="N664" s="2" t="s">
        <v>37</v>
      </c>
      <c r="O664" s="2">
        <v>32</v>
      </c>
      <c r="P664" s="2">
        <v>22</v>
      </c>
      <c r="Q664" s="2">
        <v>22</v>
      </c>
      <c r="R664" s="9" t="s">
        <v>30</v>
      </c>
      <c r="S664" s="9">
        <f t="shared" si="20"/>
        <v>32</v>
      </c>
      <c r="T664" s="10" t="str">
        <f t="shared" si="21"/>
        <v>High</v>
      </c>
    </row>
    <row r="665" spans="1:20">
      <c r="A665" s="2">
        <v>500673</v>
      </c>
      <c r="B665" s="2">
        <v>101491</v>
      </c>
      <c r="C665" s="8">
        <v>45928</v>
      </c>
      <c r="D665" s="2">
        <v>2014</v>
      </c>
      <c r="E665" s="2">
        <v>2</v>
      </c>
      <c r="F665" s="2">
        <v>5</v>
      </c>
      <c r="G665" s="2" t="s">
        <v>31</v>
      </c>
      <c r="H665" s="2" t="s">
        <v>21</v>
      </c>
      <c r="I665" s="2">
        <v>31</v>
      </c>
      <c r="J665" s="2" t="s">
        <v>32</v>
      </c>
      <c r="K665" s="8">
        <v>45630</v>
      </c>
      <c r="L665" s="2" t="s">
        <v>41</v>
      </c>
      <c r="M665" s="2" t="s">
        <v>29</v>
      </c>
      <c r="N665" s="2" t="s">
        <v>25</v>
      </c>
      <c r="O665" s="2">
        <v>42</v>
      </c>
      <c r="P665" s="2">
        <v>80</v>
      </c>
      <c r="Q665" s="2">
        <v>80</v>
      </c>
      <c r="R665" s="9" t="s">
        <v>26</v>
      </c>
      <c r="S665" s="9">
        <f t="shared" si="20"/>
        <v>84</v>
      </c>
      <c r="T665" s="10" t="str">
        <f t="shared" si="21"/>
        <v>Low</v>
      </c>
    </row>
    <row r="666" spans="1:20">
      <c r="A666" s="2">
        <v>500674</v>
      </c>
      <c r="B666" s="2">
        <v>102290</v>
      </c>
      <c r="C666" s="8">
        <v>45753</v>
      </c>
      <c r="D666" s="2">
        <v>2012</v>
      </c>
      <c r="E666" s="2">
        <v>1</v>
      </c>
      <c r="F666" s="2">
        <v>0</v>
      </c>
      <c r="G666" s="2" t="s">
        <v>20</v>
      </c>
      <c r="H666" s="2" t="s">
        <v>21</v>
      </c>
      <c r="I666" s="2">
        <v>37</v>
      </c>
      <c r="J666" s="2" t="s">
        <v>32</v>
      </c>
      <c r="K666" s="8">
        <v>45714</v>
      </c>
      <c r="L666" s="2" t="s">
        <v>23</v>
      </c>
      <c r="M666" s="2" t="s">
        <v>36</v>
      </c>
      <c r="N666" s="2" t="s">
        <v>37</v>
      </c>
      <c r="O666" s="2">
        <v>180</v>
      </c>
      <c r="P666" s="2">
        <v>180</v>
      </c>
      <c r="Q666" s="2">
        <v>180</v>
      </c>
      <c r="R666" s="9" t="s">
        <v>26</v>
      </c>
      <c r="S666" s="9">
        <f t="shared" si="20"/>
        <v>180</v>
      </c>
      <c r="T666" s="10" t="str">
        <f t="shared" si="21"/>
        <v>Low</v>
      </c>
    </row>
    <row r="667" spans="1:20">
      <c r="A667" s="2">
        <v>500675</v>
      </c>
      <c r="B667" s="2">
        <v>108842</v>
      </c>
      <c r="C667" s="8">
        <v>45956</v>
      </c>
      <c r="D667" s="2">
        <v>2017</v>
      </c>
      <c r="E667" s="2">
        <v>1</v>
      </c>
      <c r="F667" s="2">
        <v>0</v>
      </c>
      <c r="G667" s="2" t="s">
        <v>56</v>
      </c>
      <c r="H667" s="2" t="s">
        <v>21</v>
      </c>
      <c r="I667" s="2">
        <v>32</v>
      </c>
      <c r="J667" s="2" t="s">
        <v>35</v>
      </c>
      <c r="K667" s="8">
        <v>45875</v>
      </c>
      <c r="L667" s="2" t="s">
        <v>23</v>
      </c>
      <c r="M667" s="2" t="s">
        <v>44</v>
      </c>
      <c r="N667" s="2" t="s">
        <v>25</v>
      </c>
      <c r="O667" s="2">
        <v>11</v>
      </c>
      <c r="P667" s="2">
        <v>11</v>
      </c>
      <c r="Q667" s="2">
        <v>11</v>
      </c>
      <c r="R667" s="9" t="s">
        <v>26</v>
      </c>
      <c r="S667" s="9">
        <f t="shared" si="20"/>
        <v>11</v>
      </c>
      <c r="T667" s="10" t="str">
        <f t="shared" si="21"/>
        <v>Low</v>
      </c>
    </row>
    <row r="668" spans="1:20">
      <c r="A668" s="2">
        <v>500676</v>
      </c>
      <c r="B668" s="2">
        <v>109024</v>
      </c>
      <c r="C668" s="8">
        <v>45390</v>
      </c>
      <c r="D668" s="2">
        <v>2007</v>
      </c>
      <c r="E668" s="2">
        <v>1</v>
      </c>
      <c r="F668" s="2">
        <v>0</v>
      </c>
      <c r="G668" s="2" t="s">
        <v>20</v>
      </c>
      <c r="H668" s="2" t="s">
        <v>21</v>
      </c>
      <c r="I668" s="2">
        <v>42</v>
      </c>
      <c r="J668" s="2" t="s">
        <v>45</v>
      </c>
      <c r="K668" s="8">
        <v>45297</v>
      </c>
      <c r="L668" s="2" t="s">
        <v>23</v>
      </c>
      <c r="M668" s="2" t="s">
        <v>61</v>
      </c>
      <c r="N668" s="2" t="s">
        <v>34</v>
      </c>
      <c r="O668" s="2">
        <v>75</v>
      </c>
      <c r="P668" s="2">
        <v>75</v>
      </c>
      <c r="Q668" s="2">
        <v>75</v>
      </c>
      <c r="R668" s="9" t="s">
        <v>30</v>
      </c>
      <c r="S668" s="9">
        <f t="shared" si="20"/>
        <v>75</v>
      </c>
      <c r="T668" s="10" t="str">
        <f t="shared" si="21"/>
        <v>Low</v>
      </c>
    </row>
    <row r="669" spans="1:20">
      <c r="A669" s="2">
        <v>500677</v>
      </c>
      <c r="B669" s="2">
        <v>108210</v>
      </c>
      <c r="C669" s="8">
        <v>45641</v>
      </c>
      <c r="D669" s="2">
        <v>2016</v>
      </c>
      <c r="E669" s="2">
        <v>1</v>
      </c>
      <c r="F669" s="2">
        <v>0</v>
      </c>
      <c r="G669" s="2" t="s">
        <v>31</v>
      </c>
      <c r="H669" s="2" t="s">
        <v>21</v>
      </c>
      <c r="I669" s="2">
        <v>61</v>
      </c>
      <c r="J669" s="2" t="s">
        <v>52</v>
      </c>
      <c r="K669" s="8">
        <v>44997</v>
      </c>
      <c r="L669" s="2" t="s">
        <v>23</v>
      </c>
      <c r="M669" s="2" t="s">
        <v>67</v>
      </c>
      <c r="N669" s="2" t="s">
        <v>34</v>
      </c>
      <c r="O669" s="2">
        <v>21</v>
      </c>
      <c r="P669" s="2">
        <v>21</v>
      </c>
      <c r="Q669" s="2">
        <v>21</v>
      </c>
      <c r="R669" s="9" t="s">
        <v>30</v>
      </c>
      <c r="S669" s="9">
        <f t="shared" si="20"/>
        <v>21</v>
      </c>
      <c r="T669" s="10" t="str">
        <f t="shared" si="21"/>
        <v>Low</v>
      </c>
    </row>
    <row r="670" spans="1:20">
      <c r="A670" s="2">
        <v>500678</v>
      </c>
      <c r="B670" s="2">
        <v>108759</v>
      </c>
      <c r="C670" s="8">
        <v>45633</v>
      </c>
      <c r="D670" s="2">
        <v>2007</v>
      </c>
      <c r="E670" s="2">
        <v>1</v>
      </c>
      <c r="F670" s="2">
        <v>10</v>
      </c>
      <c r="G670" s="2" t="s">
        <v>20</v>
      </c>
      <c r="H670" s="2" t="s">
        <v>21</v>
      </c>
      <c r="I670" s="2">
        <v>28</v>
      </c>
      <c r="J670" s="2" t="s">
        <v>32</v>
      </c>
      <c r="K670" s="8">
        <v>45214</v>
      </c>
      <c r="L670" s="2" t="s">
        <v>23</v>
      </c>
      <c r="M670" s="2" t="s">
        <v>61</v>
      </c>
      <c r="N670" s="2" t="s">
        <v>34</v>
      </c>
      <c r="O670" s="2">
        <v>75</v>
      </c>
      <c r="P670" s="2">
        <v>68</v>
      </c>
      <c r="Q670" s="2">
        <v>68</v>
      </c>
      <c r="R670" s="9" t="s">
        <v>30</v>
      </c>
      <c r="S670" s="9">
        <f t="shared" si="20"/>
        <v>75</v>
      </c>
      <c r="T670" s="10" t="str">
        <f t="shared" si="21"/>
        <v>Average</v>
      </c>
    </row>
    <row r="671" spans="1:20">
      <c r="A671" s="2">
        <v>500679</v>
      </c>
      <c r="B671" s="2">
        <v>107659</v>
      </c>
      <c r="C671" s="8">
        <v>45596</v>
      </c>
      <c r="D671" s="2">
        <v>2014</v>
      </c>
      <c r="E671" s="2">
        <v>2</v>
      </c>
      <c r="F671" s="2">
        <v>15</v>
      </c>
      <c r="G671" s="2" t="s">
        <v>27</v>
      </c>
      <c r="H671" s="2" t="s">
        <v>21</v>
      </c>
      <c r="I671" s="2">
        <v>48</v>
      </c>
      <c r="J671" s="2" t="s">
        <v>52</v>
      </c>
      <c r="K671" s="8">
        <v>45986</v>
      </c>
      <c r="L671" s="2" t="s">
        <v>23</v>
      </c>
      <c r="M671" s="2" t="s">
        <v>29</v>
      </c>
      <c r="N671" s="2" t="s">
        <v>25</v>
      </c>
      <c r="O671" s="2">
        <v>42</v>
      </c>
      <c r="P671" s="2">
        <v>71</v>
      </c>
      <c r="Q671" s="2">
        <v>71</v>
      </c>
      <c r="R671" s="9" t="s">
        <v>30</v>
      </c>
      <c r="S671" s="9">
        <f t="shared" si="20"/>
        <v>84</v>
      </c>
      <c r="T671" s="10" t="str">
        <f t="shared" si="21"/>
        <v>High</v>
      </c>
    </row>
    <row r="672" spans="1:20">
      <c r="A672" s="2">
        <v>500680</v>
      </c>
      <c r="B672" s="2">
        <v>107484</v>
      </c>
      <c r="C672" s="8">
        <v>45895</v>
      </c>
      <c r="D672" s="2">
        <v>2010</v>
      </c>
      <c r="E672" s="2">
        <v>3</v>
      </c>
      <c r="F672" s="2">
        <v>0</v>
      </c>
      <c r="G672" s="2" t="s">
        <v>27</v>
      </c>
      <c r="H672" s="2" t="s">
        <v>21</v>
      </c>
      <c r="I672" s="2">
        <v>27</v>
      </c>
      <c r="J672" s="2" t="s">
        <v>22</v>
      </c>
      <c r="K672" s="8">
        <v>44958</v>
      </c>
      <c r="L672" s="2" t="s">
        <v>41</v>
      </c>
      <c r="M672" s="2" t="s">
        <v>58</v>
      </c>
      <c r="N672" s="2" t="s">
        <v>59</v>
      </c>
      <c r="O672" s="2">
        <v>55</v>
      </c>
      <c r="P672" s="2">
        <v>165</v>
      </c>
      <c r="Q672" s="2">
        <v>165</v>
      </c>
      <c r="R672" s="9" t="s">
        <v>26</v>
      </c>
      <c r="S672" s="9">
        <f t="shared" si="20"/>
        <v>165</v>
      </c>
      <c r="T672" s="10" t="str">
        <f t="shared" si="21"/>
        <v>Low</v>
      </c>
    </row>
    <row r="673" spans="1:20">
      <c r="A673" s="2">
        <v>500681</v>
      </c>
      <c r="B673" s="2">
        <v>107865</v>
      </c>
      <c r="C673" s="8">
        <v>45773</v>
      </c>
      <c r="D673" s="2">
        <v>2001</v>
      </c>
      <c r="E673" s="2">
        <v>2</v>
      </c>
      <c r="F673" s="2">
        <v>20</v>
      </c>
      <c r="G673" s="2" t="s">
        <v>27</v>
      </c>
      <c r="H673" s="2" t="s">
        <v>21</v>
      </c>
      <c r="I673" s="2">
        <v>29</v>
      </c>
      <c r="J673" s="2" t="s">
        <v>48</v>
      </c>
      <c r="K673" s="8">
        <v>45058</v>
      </c>
      <c r="L673" s="2" t="s">
        <v>41</v>
      </c>
      <c r="M673" s="2" t="s">
        <v>50</v>
      </c>
      <c r="N673" s="2" t="s">
        <v>34</v>
      </c>
      <c r="O673" s="2">
        <v>18</v>
      </c>
      <c r="P673" s="2">
        <v>29</v>
      </c>
      <c r="Q673" s="2">
        <v>29</v>
      </c>
      <c r="R673" s="9" t="s">
        <v>26</v>
      </c>
      <c r="S673" s="9">
        <f t="shared" si="20"/>
        <v>36</v>
      </c>
      <c r="T673" s="10" t="str">
        <f t="shared" si="21"/>
        <v>High</v>
      </c>
    </row>
    <row r="674" spans="1:20">
      <c r="A674" s="2">
        <v>500682</v>
      </c>
      <c r="B674" s="2">
        <v>106640</v>
      </c>
      <c r="C674" s="8">
        <v>45625</v>
      </c>
      <c r="D674" s="2">
        <v>2013</v>
      </c>
      <c r="E674" s="2">
        <v>2</v>
      </c>
      <c r="F674" s="2">
        <v>0</v>
      </c>
      <c r="G674" s="2" t="s">
        <v>31</v>
      </c>
      <c r="H674" s="2" t="s">
        <v>21</v>
      </c>
      <c r="I674" s="2">
        <v>32</v>
      </c>
      <c r="J674" s="2" t="s">
        <v>28</v>
      </c>
      <c r="K674" s="8">
        <v>44934</v>
      </c>
      <c r="L674" s="2" t="s">
        <v>23</v>
      </c>
      <c r="M674" s="2" t="s">
        <v>53</v>
      </c>
      <c r="N674" s="2" t="s">
        <v>54</v>
      </c>
      <c r="O674" s="2">
        <v>7</v>
      </c>
      <c r="P674" s="2">
        <v>14</v>
      </c>
      <c r="Q674" s="2">
        <v>14</v>
      </c>
      <c r="R674" s="9" t="s">
        <v>30</v>
      </c>
      <c r="S674" s="9">
        <f t="shared" si="20"/>
        <v>14</v>
      </c>
      <c r="T674" s="10" t="str">
        <f t="shared" si="21"/>
        <v>Low</v>
      </c>
    </row>
    <row r="675" spans="1:20">
      <c r="A675" s="2">
        <v>500683</v>
      </c>
      <c r="B675" s="2">
        <v>107739</v>
      </c>
      <c r="C675" s="8">
        <v>45755</v>
      </c>
      <c r="D675" s="2">
        <v>2011</v>
      </c>
      <c r="E675" s="2">
        <v>2</v>
      </c>
      <c r="F675" s="2">
        <v>15</v>
      </c>
      <c r="G675" s="2" t="s">
        <v>20</v>
      </c>
      <c r="H675" s="2" t="s">
        <v>21</v>
      </c>
      <c r="I675" s="2">
        <v>50</v>
      </c>
      <c r="J675" s="2" t="s">
        <v>45</v>
      </c>
      <c r="K675" s="8">
        <v>45451</v>
      </c>
      <c r="L675" s="2" t="s">
        <v>49</v>
      </c>
      <c r="M675" s="2" t="s">
        <v>42</v>
      </c>
      <c r="N675" s="2" t="s">
        <v>37</v>
      </c>
      <c r="O675" s="2">
        <v>32</v>
      </c>
      <c r="P675" s="2">
        <v>54</v>
      </c>
      <c r="Q675" s="2">
        <v>54</v>
      </c>
      <c r="R675" s="9" t="s">
        <v>26</v>
      </c>
      <c r="S675" s="9">
        <f t="shared" si="20"/>
        <v>64</v>
      </c>
      <c r="T675" s="10" t="str">
        <f t="shared" si="21"/>
        <v>High</v>
      </c>
    </row>
    <row r="676" spans="1:20">
      <c r="A676" s="2">
        <v>500684</v>
      </c>
      <c r="B676" s="2">
        <v>104432</v>
      </c>
      <c r="C676" s="8">
        <v>45900</v>
      </c>
      <c r="D676" s="2">
        <v>2005</v>
      </c>
      <c r="E676" s="2">
        <v>5</v>
      </c>
      <c r="F676" s="2">
        <v>0</v>
      </c>
      <c r="G676" s="2" t="s">
        <v>31</v>
      </c>
      <c r="H676" s="2" t="s">
        <v>21</v>
      </c>
      <c r="I676" s="2">
        <v>22</v>
      </c>
      <c r="J676" s="2" t="s">
        <v>32</v>
      </c>
      <c r="K676" s="8">
        <v>45479</v>
      </c>
      <c r="L676" s="2" t="s">
        <v>41</v>
      </c>
      <c r="M676" s="2" t="s">
        <v>51</v>
      </c>
      <c r="N676" s="2" t="s">
        <v>25</v>
      </c>
      <c r="O676" s="2">
        <v>28</v>
      </c>
      <c r="P676" s="2">
        <v>140</v>
      </c>
      <c r="Q676" s="2">
        <v>140</v>
      </c>
      <c r="R676" s="9" t="s">
        <v>26</v>
      </c>
      <c r="S676" s="9">
        <f t="shared" si="20"/>
        <v>140</v>
      </c>
      <c r="T676" s="10" t="str">
        <f t="shared" si="21"/>
        <v>Low</v>
      </c>
    </row>
    <row r="677" spans="1:20">
      <c r="A677" s="2">
        <v>500685</v>
      </c>
      <c r="B677" s="2">
        <v>107186</v>
      </c>
      <c r="C677" s="8">
        <v>45875</v>
      </c>
      <c r="D677" s="2">
        <v>2013</v>
      </c>
      <c r="E677" s="2">
        <v>1</v>
      </c>
      <c r="F677" s="2">
        <v>5</v>
      </c>
      <c r="G677" s="2" t="s">
        <v>20</v>
      </c>
      <c r="H677" s="2" t="s">
        <v>21</v>
      </c>
      <c r="I677" s="2">
        <v>56</v>
      </c>
      <c r="J677" s="2" t="s">
        <v>45</v>
      </c>
      <c r="K677" s="8">
        <v>45397</v>
      </c>
      <c r="L677" s="2" t="s">
        <v>23</v>
      </c>
      <c r="M677" s="2" t="s">
        <v>53</v>
      </c>
      <c r="N677" s="2" t="s">
        <v>54</v>
      </c>
      <c r="O677" s="2">
        <v>7</v>
      </c>
      <c r="P677" s="2">
        <v>7</v>
      </c>
      <c r="Q677" s="2">
        <v>7</v>
      </c>
      <c r="R677" s="9" t="s">
        <v>26</v>
      </c>
      <c r="S677" s="9">
        <f t="shared" si="20"/>
        <v>7</v>
      </c>
      <c r="T677" s="10" t="str">
        <f t="shared" si="21"/>
        <v>Low</v>
      </c>
    </row>
    <row r="678" spans="1:20">
      <c r="A678" s="2">
        <v>500686</v>
      </c>
      <c r="B678" s="2">
        <v>101332</v>
      </c>
      <c r="C678" s="8">
        <v>45949</v>
      </c>
      <c r="D678" s="2">
        <v>2014</v>
      </c>
      <c r="E678" s="2">
        <v>1</v>
      </c>
      <c r="F678" s="2">
        <v>10</v>
      </c>
      <c r="G678" s="2" t="s">
        <v>56</v>
      </c>
      <c r="H678" s="2" t="s">
        <v>21</v>
      </c>
      <c r="I678" s="2">
        <v>52</v>
      </c>
      <c r="J678" s="2" t="s">
        <v>28</v>
      </c>
      <c r="K678" s="8">
        <v>45802</v>
      </c>
      <c r="L678" s="2" t="s">
        <v>41</v>
      </c>
      <c r="M678" s="2" t="s">
        <v>29</v>
      </c>
      <c r="N678" s="2" t="s">
        <v>25</v>
      </c>
      <c r="O678" s="2">
        <v>42</v>
      </c>
      <c r="P678" s="2">
        <v>38</v>
      </c>
      <c r="Q678" s="2">
        <v>38</v>
      </c>
      <c r="R678" s="9" t="s">
        <v>26</v>
      </c>
      <c r="S678" s="9">
        <f t="shared" si="20"/>
        <v>42</v>
      </c>
      <c r="T678" s="10" t="str">
        <f t="shared" si="21"/>
        <v>Average</v>
      </c>
    </row>
    <row r="679" spans="1:20">
      <c r="A679" s="2">
        <v>500687</v>
      </c>
      <c r="B679" s="2">
        <v>103966</v>
      </c>
      <c r="C679" s="8">
        <v>46027</v>
      </c>
      <c r="D679" s="2">
        <v>2003</v>
      </c>
      <c r="E679" s="2">
        <v>2</v>
      </c>
      <c r="F679" s="2">
        <v>15</v>
      </c>
      <c r="G679" s="2" t="s">
        <v>27</v>
      </c>
      <c r="H679" s="2" t="s">
        <v>21</v>
      </c>
      <c r="I679" s="2">
        <v>58</v>
      </c>
      <c r="J679" s="2" t="s">
        <v>32</v>
      </c>
      <c r="K679" s="8">
        <v>45095</v>
      </c>
      <c r="L679" s="2" t="s">
        <v>23</v>
      </c>
      <c r="M679" s="2" t="s">
        <v>24</v>
      </c>
      <c r="N679" s="2" t="s">
        <v>25</v>
      </c>
      <c r="O679" s="2">
        <v>9</v>
      </c>
      <c r="P679" s="2">
        <v>15</v>
      </c>
      <c r="Q679" s="2">
        <v>15</v>
      </c>
      <c r="R679" s="9" t="s">
        <v>26</v>
      </c>
      <c r="S679" s="9">
        <f t="shared" si="20"/>
        <v>18</v>
      </c>
      <c r="T679" s="10" t="str">
        <f t="shared" si="21"/>
        <v>High</v>
      </c>
    </row>
    <row r="680" spans="1:20">
      <c r="A680" s="2">
        <v>500688</v>
      </c>
      <c r="B680" s="2">
        <v>104205</v>
      </c>
      <c r="C680" s="8">
        <v>45930</v>
      </c>
      <c r="D680" s="2">
        <v>2014</v>
      </c>
      <c r="E680" s="2">
        <v>1</v>
      </c>
      <c r="F680" s="2">
        <v>0</v>
      </c>
      <c r="G680" s="2" t="s">
        <v>31</v>
      </c>
      <c r="H680" s="2" t="s">
        <v>21</v>
      </c>
      <c r="I680" s="2">
        <v>32</v>
      </c>
      <c r="J680" s="2" t="s">
        <v>32</v>
      </c>
      <c r="K680" s="8">
        <v>44963</v>
      </c>
      <c r="L680" s="2" t="s">
        <v>41</v>
      </c>
      <c r="M680" s="2" t="s">
        <v>29</v>
      </c>
      <c r="N680" s="2" t="s">
        <v>25</v>
      </c>
      <c r="O680" s="2">
        <v>42</v>
      </c>
      <c r="P680" s="2">
        <v>42</v>
      </c>
      <c r="Q680" s="2">
        <v>42</v>
      </c>
      <c r="R680" s="9" t="s">
        <v>26</v>
      </c>
      <c r="S680" s="9">
        <f t="shared" si="20"/>
        <v>42</v>
      </c>
      <c r="T680" s="10" t="str">
        <f t="shared" si="21"/>
        <v>Low</v>
      </c>
    </row>
    <row r="681" spans="1:20">
      <c r="A681" s="2">
        <v>500689</v>
      </c>
      <c r="B681" s="2">
        <v>105781</v>
      </c>
      <c r="C681" s="8">
        <v>45447</v>
      </c>
      <c r="D681" s="2">
        <v>2017</v>
      </c>
      <c r="E681" s="2">
        <v>4</v>
      </c>
      <c r="F681" s="2">
        <v>5</v>
      </c>
      <c r="G681" s="2" t="s">
        <v>31</v>
      </c>
      <c r="H681" s="2" t="s">
        <v>21</v>
      </c>
      <c r="I681" s="2">
        <v>27</v>
      </c>
      <c r="J681" s="2" t="s">
        <v>43</v>
      </c>
      <c r="K681" s="8">
        <v>45710</v>
      </c>
      <c r="L681" s="2" t="s">
        <v>23</v>
      </c>
      <c r="M681" s="2" t="s">
        <v>44</v>
      </c>
      <c r="N681" s="2" t="s">
        <v>25</v>
      </c>
      <c r="O681" s="2">
        <v>11</v>
      </c>
      <c r="P681" s="2">
        <v>42</v>
      </c>
      <c r="Q681" s="2">
        <v>42</v>
      </c>
      <c r="R681" s="9" t="s">
        <v>30</v>
      </c>
      <c r="S681" s="9">
        <f t="shared" si="20"/>
        <v>44</v>
      </c>
      <c r="T681" s="10" t="str">
        <f t="shared" si="21"/>
        <v>Low</v>
      </c>
    </row>
    <row r="682" spans="1:20">
      <c r="A682" s="2">
        <v>500690</v>
      </c>
      <c r="B682" s="2">
        <v>107256</v>
      </c>
      <c r="C682" s="8">
        <v>46023</v>
      </c>
      <c r="D682" s="2">
        <v>2017</v>
      </c>
      <c r="E682" s="2">
        <v>1</v>
      </c>
      <c r="F682" s="2">
        <v>0</v>
      </c>
      <c r="G682" s="2" t="s">
        <v>20</v>
      </c>
      <c r="H682" s="2" t="s">
        <v>21</v>
      </c>
      <c r="I682" s="2">
        <v>50</v>
      </c>
      <c r="J682" s="2" t="s">
        <v>52</v>
      </c>
      <c r="K682" s="8">
        <v>45171</v>
      </c>
      <c r="L682" s="2" t="s">
        <v>23</v>
      </c>
      <c r="M682" s="2" t="s">
        <v>44</v>
      </c>
      <c r="N682" s="2" t="s">
        <v>25</v>
      </c>
      <c r="O682" s="2">
        <v>11</v>
      </c>
      <c r="P682" s="2">
        <v>11</v>
      </c>
      <c r="Q682" s="2">
        <v>11</v>
      </c>
      <c r="R682" s="9" t="s">
        <v>26</v>
      </c>
      <c r="S682" s="9">
        <f t="shared" si="20"/>
        <v>11</v>
      </c>
      <c r="T682" s="10" t="str">
        <f t="shared" si="21"/>
        <v>Low</v>
      </c>
    </row>
    <row r="683" spans="1:20">
      <c r="A683" s="2">
        <v>500691</v>
      </c>
      <c r="B683" s="2">
        <v>109885</v>
      </c>
      <c r="C683" s="8">
        <v>45578</v>
      </c>
      <c r="D683" s="2">
        <v>2002</v>
      </c>
      <c r="E683" s="2">
        <v>1</v>
      </c>
      <c r="F683" s="2">
        <v>10</v>
      </c>
      <c r="G683" s="2" t="s">
        <v>27</v>
      </c>
      <c r="H683" s="2" t="s">
        <v>21</v>
      </c>
      <c r="I683" s="2">
        <v>29</v>
      </c>
      <c r="J683" s="2" t="s">
        <v>22</v>
      </c>
      <c r="K683" s="8">
        <v>46001</v>
      </c>
      <c r="L683" s="2" t="s">
        <v>41</v>
      </c>
      <c r="M683" s="2" t="s">
        <v>33</v>
      </c>
      <c r="N683" s="2" t="s">
        <v>34</v>
      </c>
      <c r="O683" s="2">
        <v>62</v>
      </c>
      <c r="P683" s="2">
        <v>56</v>
      </c>
      <c r="Q683" s="2">
        <v>56</v>
      </c>
      <c r="R683" s="9" t="s">
        <v>30</v>
      </c>
      <c r="S683" s="9">
        <f t="shared" si="20"/>
        <v>62</v>
      </c>
      <c r="T683" s="10" t="str">
        <f t="shared" si="21"/>
        <v>Average</v>
      </c>
    </row>
    <row r="684" spans="1:20">
      <c r="A684" s="2">
        <v>500692</v>
      </c>
      <c r="B684" s="2">
        <v>104797</v>
      </c>
      <c r="C684" s="8">
        <v>45867</v>
      </c>
      <c r="D684" s="2">
        <v>2019</v>
      </c>
      <c r="E684" s="2">
        <v>2</v>
      </c>
      <c r="F684" s="2">
        <v>0</v>
      </c>
      <c r="G684" s="2" t="s">
        <v>27</v>
      </c>
      <c r="H684" s="2" t="s">
        <v>21</v>
      </c>
      <c r="I684" s="2">
        <v>42</v>
      </c>
      <c r="J684" s="2" t="s">
        <v>32</v>
      </c>
      <c r="K684" s="8">
        <v>45883</v>
      </c>
      <c r="L684" s="2" t="s">
        <v>41</v>
      </c>
      <c r="M684" s="2" t="s">
        <v>60</v>
      </c>
      <c r="N684" s="2" t="s">
        <v>34</v>
      </c>
      <c r="O684" s="2">
        <v>260</v>
      </c>
      <c r="P684" s="2">
        <v>520</v>
      </c>
      <c r="Q684" s="2">
        <v>520</v>
      </c>
      <c r="R684" s="9" t="s">
        <v>26</v>
      </c>
      <c r="S684" s="9">
        <f t="shared" si="20"/>
        <v>520</v>
      </c>
      <c r="T684" s="10" t="str">
        <f t="shared" si="21"/>
        <v>Low</v>
      </c>
    </row>
    <row r="685" spans="1:20">
      <c r="A685" s="2">
        <v>500693</v>
      </c>
      <c r="B685" s="2">
        <v>108093</v>
      </c>
      <c r="C685" s="8">
        <v>46192</v>
      </c>
      <c r="D685" s="2">
        <v>2004</v>
      </c>
      <c r="E685" s="2">
        <v>1</v>
      </c>
      <c r="F685" s="2">
        <v>0</v>
      </c>
      <c r="G685" s="2" t="s">
        <v>31</v>
      </c>
      <c r="H685" s="2" t="s">
        <v>21</v>
      </c>
      <c r="I685" s="2">
        <v>49</v>
      </c>
      <c r="J685" s="2" t="s">
        <v>43</v>
      </c>
      <c r="K685" s="8">
        <v>45400</v>
      </c>
      <c r="L685" s="2" t="s">
        <v>23</v>
      </c>
      <c r="M685" s="2" t="s">
        <v>46</v>
      </c>
      <c r="N685" s="2" t="s">
        <v>34</v>
      </c>
      <c r="O685" s="2">
        <v>35</v>
      </c>
      <c r="P685" s="2">
        <v>35</v>
      </c>
      <c r="Q685" s="2">
        <v>35</v>
      </c>
      <c r="R685" s="9" t="s">
        <v>26</v>
      </c>
      <c r="S685" s="9">
        <f t="shared" si="20"/>
        <v>35</v>
      </c>
      <c r="T685" s="10" t="str">
        <f t="shared" si="21"/>
        <v>Low</v>
      </c>
    </row>
    <row r="686" spans="1:20">
      <c r="A686" s="2">
        <v>500694</v>
      </c>
      <c r="B686" s="2">
        <v>109827</v>
      </c>
      <c r="C686" s="8">
        <v>45546</v>
      </c>
      <c r="D686" s="2">
        <v>2014</v>
      </c>
      <c r="E686" s="2">
        <v>2</v>
      </c>
      <c r="F686" s="2">
        <v>15</v>
      </c>
      <c r="G686" s="2" t="s">
        <v>27</v>
      </c>
      <c r="H686" s="2" t="s">
        <v>21</v>
      </c>
      <c r="I686" s="2">
        <v>61</v>
      </c>
      <c r="J686" s="2" t="s">
        <v>55</v>
      </c>
      <c r="K686" s="8">
        <v>45281</v>
      </c>
      <c r="L686" s="2" t="s">
        <v>41</v>
      </c>
      <c r="M686" s="2" t="s">
        <v>29</v>
      </c>
      <c r="N686" s="2" t="s">
        <v>25</v>
      </c>
      <c r="O686" s="2">
        <v>42</v>
      </c>
      <c r="P686" s="2">
        <v>71</v>
      </c>
      <c r="Q686" s="2">
        <v>71</v>
      </c>
      <c r="R686" s="9" t="s">
        <v>30</v>
      </c>
      <c r="S686" s="9">
        <f t="shared" si="20"/>
        <v>84</v>
      </c>
      <c r="T686" s="10" t="str">
        <f t="shared" si="21"/>
        <v>High</v>
      </c>
    </row>
    <row r="687" spans="1:20">
      <c r="A687" s="2">
        <v>500695</v>
      </c>
      <c r="B687" s="2">
        <v>102544</v>
      </c>
      <c r="C687" s="8">
        <v>45525</v>
      </c>
      <c r="D687" s="2">
        <v>2008</v>
      </c>
      <c r="E687" s="2">
        <v>1</v>
      </c>
      <c r="F687" s="2">
        <v>10</v>
      </c>
      <c r="G687" s="2" t="s">
        <v>20</v>
      </c>
      <c r="H687" s="2" t="s">
        <v>21</v>
      </c>
      <c r="I687" s="2">
        <v>36</v>
      </c>
      <c r="J687" s="2" t="s">
        <v>28</v>
      </c>
      <c r="K687" s="8">
        <v>46013</v>
      </c>
      <c r="L687" s="2" t="s">
        <v>41</v>
      </c>
      <c r="M687" s="2" t="s">
        <v>39</v>
      </c>
      <c r="N687" s="2" t="s">
        <v>25</v>
      </c>
      <c r="O687" s="2">
        <v>14</v>
      </c>
      <c r="P687" s="2">
        <v>13</v>
      </c>
      <c r="Q687" s="2">
        <v>13</v>
      </c>
      <c r="R687" s="9" t="s">
        <v>30</v>
      </c>
      <c r="S687" s="9">
        <f t="shared" si="20"/>
        <v>14</v>
      </c>
      <c r="T687" s="10" t="str">
        <f t="shared" si="21"/>
        <v>Average</v>
      </c>
    </row>
    <row r="688" spans="1:20">
      <c r="A688" s="2">
        <v>500696</v>
      </c>
      <c r="B688" s="2">
        <v>106295</v>
      </c>
      <c r="C688" s="8">
        <v>45449</v>
      </c>
      <c r="D688" s="2">
        <v>2017</v>
      </c>
      <c r="E688" s="2">
        <v>2</v>
      </c>
      <c r="F688" s="2">
        <v>20</v>
      </c>
      <c r="G688" s="2" t="s">
        <v>20</v>
      </c>
      <c r="H688" s="2" t="s">
        <v>21</v>
      </c>
      <c r="I688" s="2">
        <v>21</v>
      </c>
      <c r="J688" s="2" t="s">
        <v>43</v>
      </c>
      <c r="K688" s="8">
        <v>45975</v>
      </c>
      <c r="L688" s="2" t="s">
        <v>23</v>
      </c>
      <c r="M688" s="2" t="s">
        <v>44</v>
      </c>
      <c r="N688" s="2" t="s">
        <v>25</v>
      </c>
      <c r="O688" s="2">
        <v>11</v>
      </c>
      <c r="P688" s="2">
        <v>18</v>
      </c>
      <c r="Q688" s="2">
        <v>18</v>
      </c>
      <c r="R688" s="9" t="s">
        <v>30</v>
      </c>
      <c r="S688" s="9">
        <f t="shared" si="20"/>
        <v>22</v>
      </c>
      <c r="T688" s="10" t="str">
        <f t="shared" si="21"/>
        <v>High</v>
      </c>
    </row>
    <row r="689" spans="1:20">
      <c r="A689" s="2">
        <v>500697</v>
      </c>
      <c r="B689" s="2">
        <v>101241</v>
      </c>
      <c r="C689" s="8">
        <v>46183</v>
      </c>
      <c r="D689" s="2">
        <v>2006</v>
      </c>
      <c r="E689" s="2">
        <v>1</v>
      </c>
      <c r="F689" s="2">
        <v>0</v>
      </c>
      <c r="G689" s="2" t="s">
        <v>31</v>
      </c>
      <c r="H689" s="2" t="s">
        <v>21</v>
      </c>
      <c r="I689" s="2">
        <v>42</v>
      </c>
      <c r="J689" s="2" t="s">
        <v>48</v>
      </c>
      <c r="K689" s="8">
        <v>45288</v>
      </c>
      <c r="L689" s="2" t="s">
        <v>41</v>
      </c>
      <c r="M689" s="2" t="s">
        <v>57</v>
      </c>
      <c r="N689" s="2" t="s">
        <v>34</v>
      </c>
      <c r="O689" s="2">
        <v>48</v>
      </c>
      <c r="P689" s="2">
        <v>48</v>
      </c>
      <c r="Q689" s="2">
        <v>48</v>
      </c>
      <c r="R689" s="9" t="s">
        <v>26</v>
      </c>
      <c r="S689" s="9">
        <f t="shared" si="20"/>
        <v>48</v>
      </c>
      <c r="T689" s="10" t="str">
        <f t="shared" si="21"/>
        <v>Low</v>
      </c>
    </row>
    <row r="690" spans="1:20">
      <c r="A690" s="2">
        <v>500698</v>
      </c>
      <c r="B690" s="2">
        <v>101614</v>
      </c>
      <c r="C690" s="8">
        <v>45660</v>
      </c>
      <c r="D690" s="2">
        <v>2018</v>
      </c>
      <c r="E690" s="2">
        <v>2</v>
      </c>
      <c r="F690" s="2">
        <v>20</v>
      </c>
      <c r="G690" s="2" t="s">
        <v>20</v>
      </c>
      <c r="H690" s="2" t="s">
        <v>21</v>
      </c>
      <c r="I690" s="2">
        <v>51</v>
      </c>
      <c r="J690" s="2" t="s">
        <v>32</v>
      </c>
      <c r="K690" s="8">
        <v>45830</v>
      </c>
      <c r="L690" s="2" t="s">
        <v>41</v>
      </c>
      <c r="M690" s="2" t="s">
        <v>64</v>
      </c>
      <c r="N690" s="2" t="s">
        <v>34</v>
      </c>
      <c r="O690" s="2">
        <v>85</v>
      </c>
      <c r="P690" s="2">
        <v>136</v>
      </c>
      <c r="Q690" s="2">
        <v>136</v>
      </c>
      <c r="R690" s="9" t="s">
        <v>26</v>
      </c>
      <c r="S690" s="9">
        <f t="shared" si="20"/>
        <v>170</v>
      </c>
      <c r="T690" s="10" t="str">
        <f t="shared" si="21"/>
        <v>High</v>
      </c>
    </row>
    <row r="691" spans="1:20">
      <c r="A691" s="2">
        <v>500699</v>
      </c>
      <c r="B691" s="2">
        <v>105153</v>
      </c>
      <c r="C691" s="8">
        <v>45969</v>
      </c>
      <c r="D691" s="2">
        <v>2010</v>
      </c>
      <c r="E691" s="2">
        <v>1</v>
      </c>
      <c r="F691" s="2">
        <v>10</v>
      </c>
      <c r="G691" s="2" t="s">
        <v>20</v>
      </c>
      <c r="H691" s="2" t="s">
        <v>40</v>
      </c>
      <c r="I691" s="2">
        <v>30</v>
      </c>
      <c r="J691" s="2" t="s">
        <v>32</v>
      </c>
      <c r="K691" s="8">
        <v>45824</v>
      </c>
      <c r="L691" s="2" t="s">
        <v>23</v>
      </c>
      <c r="M691" s="2" t="s">
        <v>58</v>
      </c>
      <c r="N691" s="2" t="s">
        <v>59</v>
      </c>
      <c r="O691" s="2">
        <v>55</v>
      </c>
      <c r="P691" s="2">
        <v>50</v>
      </c>
      <c r="Q691" s="2">
        <v>50</v>
      </c>
      <c r="R691" s="9" t="s">
        <v>26</v>
      </c>
      <c r="S691" s="9">
        <f t="shared" si="20"/>
        <v>55</v>
      </c>
      <c r="T691" s="10" t="str">
        <f t="shared" si="21"/>
        <v>Average</v>
      </c>
    </row>
    <row r="692" spans="1:20">
      <c r="A692" s="2">
        <v>500700</v>
      </c>
      <c r="B692" s="2">
        <v>100783</v>
      </c>
      <c r="C692" s="8">
        <v>45334</v>
      </c>
      <c r="D692" s="2">
        <v>2010</v>
      </c>
      <c r="E692" s="2">
        <v>2</v>
      </c>
      <c r="F692" s="2">
        <v>20</v>
      </c>
      <c r="G692" s="2" t="s">
        <v>20</v>
      </c>
      <c r="H692" s="2" t="s">
        <v>21</v>
      </c>
      <c r="I692" s="2">
        <v>23</v>
      </c>
      <c r="J692" s="2" t="s">
        <v>43</v>
      </c>
      <c r="K692" s="8">
        <v>45217</v>
      </c>
      <c r="L692" s="2" t="s">
        <v>49</v>
      </c>
      <c r="M692" s="2" t="s">
        <v>58</v>
      </c>
      <c r="N692" s="2" t="s">
        <v>59</v>
      </c>
      <c r="O692" s="2">
        <v>55</v>
      </c>
      <c r="P692" s="2">
        <v>88</v>
      </c>
      <c r="Q692" s="2">
        <v>88</v>
      </c>
      <c r="R692" s="9" t="s">
        <v>30</v>
      </c>
      <c r="S692" s="9">
        <f t="shared" si="20"/>
        <v>110</v>
      </c>
      <c r="T692" s="10" t="str">
        <f t="shared" si="21"/>
        <v>High</v>
      </c>
    </row>
    <row r="693" spans="1:20">
      <c r="A693" s="2">
        <v>500701</v>
      </c>
      <c r="B693" s="2">
        <v>105384</v>
      </c>
      <c r="C693" s="8">
        <v>45447</v>
      </c>
      <c r="D693" s="2">
        <v>2011</v>
      </c>
      <c r="E693" s="2">
        <v>4</v>
      </c>
      <c r="F693" s="2">
        <v>5</v>
      </c>
      <c r="G693" s="2" t="s">
        <v>20</v>
      </c>
      <c r="H693" s="2" t="s">
        <v>21</v>
      </c>
      <c r="I693" s="2">
        <v>36</v>
      </c>
      <c r="J693" s="2" t="s">
        <v>22</v>
      </c>
      <c r="K693" s="8">
        <v>44948</v>
      </c>
      <c r="L693" s="2" t="s">
        <v>41</v>
      </c>
      <c r="M693" s="2" t="s">
        <v>42</v>
      </c>
      <c r="N693" s="2" t="s">
        <v>37</v>
      </c>
      <c r="O693" s="2">
        <v>32</v>
      </c>
      <c r="P693" s="2">
        <v>122</v>
      </c>
      <c r="Q693" s="2">
        <v>122</v>
      </c>
      <c r="R693" s="9" t="s">
        <v>30</v>
      </c>
      <c r="S693" s="9">
        <f t="shared" si="20"/>
        <v>128</v>
      </c>
      <c r="T693" s="10" t="str">
        <f t="shared" si="21"/>
        <v>Low</v>
      </c>
    </row>
    <row r="694" spans="1:20">
      <c r="A694" s="2">
        <v>500702</v>
      </c>
      <c r="B694" s="2">
        <v>102149</v>
      </c>
      <c r="C694" s="8">
        <v>45346</v>
      </c>
      <c r="D694" s="2">
        <v>2006</v>
      </c>
      <c r="E694" s="2">
        <v>1</v>
      </c>
      <c r="F694" s="2">
        <v>0</v>
      </c>
      <c r="G694" s="2" t="s">
        <v>27</v>
      </c>
      <c r="H694" s="2" t="s">
        <v>21</v>
      </c>
      <c r="I694" s="2">
        <v>58</v>
      </c>
      <c r="J694" s="2" t="s">
        <v>38</v>
      </c>
      <c r="K694" s="8">
        <v>45070</v>
      </c>
      <c r="L694" s="2" t="s">
        <v>23</v>
      </c>
      <c r="M694" s="2" t="s">
        <v>57</v>
      </c>
      <c r="N694" s="2" t="s">
        <v>34</v>
      </c>
      <c r="O694" s="2">
        <v>48</v>
      </c>
      <c r="P694" s="2">
        <v>48</v>
      </c>
      <c r="Q694" s="2">
        <v>48</v>
      </c>
      <c r="R694" s="9" t="s">
        <v>30</v>
      </c>
      <c r="S694" s="9">
        <f t="shared" si="20"/>
        <v>48</v>
      </c>
      <c r="T694" s="10" t="str">
        <f t="shared" si="21"/>
        <v>Low</v>
      </c>
    </row>
    <row r="695" spans="1:20">
      <c r="A695" s="2">
        <v>500703</v>
      </c>
      <c r="B695" s="2">
        <v>106862</v>
      </c>
      <c r="C695" s="8">
        <v>45996</v>
      </c>
      <c r="D695" s="2">
        <v>2017</v>
      </c>
      <c r="E695" s="2">
        <v>1</v>
      </c>
      <c r="F695" s="2">
        <v>5</v>
      </c>
      <c r="G695" s="2" t="s">
        <v>56</v>
      </c>
      <c r="H695" s="2" t="s">
        <v>21</v>
      </c>
      <c r="I695" s="2">
        <v>45</v>
      </c>
      <c r="J695" s="2" t="s">
        <v>28</v>
      </c>
      <c r="K695" s="8">
        <v>45622</v>
      </c>
      <c r="L695" s="2" t="s">
        <v>23</v>
      </c>
      <c r="M695" s="2" t="s">
        <v>44</v>
      </c>
      <c r="N695" s="2" t="s">
        <v>25</v>
      </c>
      <c r="O695" s="2">
        <v>11</v>
      </c>
      <c r="P695" s="2">
        <v>10</v>
      </c>
      <c r="Q695" s="2">
        <v>10</v>
      </c>
      <c r="R695" s="9" t="s">
        <v>26</v>
      </c>
      <c r="S695" s="9">
        <f t="shared" si="20"/>
        <v>11</v>
      </c>
      <c r="T695" s="10" t="str">
        <f t="shared" si="21"/>
        <v>Low</v>
      </c>
    </row>
    <row r="696" spans="1:20">
      <c r="A696" s="2">
        <v>500704</v>
      </c>
      <c r="B696" s="2">
        <v>105408</v>
      </c>
      <c r="C696" s="8">
        <v>45384</v>
      </c>
      <c r="D696" s="2">
        <v>2003</v>
      </c>
      <c r="E696" s="2">
        <v>1</v>
      </c>
      <c r="F696" s="2">
        <v>5</v>
      </c>
      <c r="G696" s="2" t="s">
        <v>20</v>
      </c>
      <c r="H696" s="2" t="s">
        <v>21</v>
      </c>
      <c r="I696" s="2">
        <v>56</v>
      </c>
      <c r="J696" s="2" t="s">
        <v>48</v>
      </c>
      <c r="K696" s="8">
        <v>44946</v>
      </c>
      <c r="L696" s="2" t="s">
        <v>49</v>
      </c>
      <c r="M696" s="2" t="s">
        <v>24</v>
      </c>
      <c r="N696" s="2" t="s">
        <v>25</v>
      </c>
      <c r="O696" s="2">
        <v>9</v>
      </c>
      <c r="P696" s="2">
        <v>9</v>
      </c>
      <c r="Q696" s="2">
        <v>9</v>
      </c>
      <c r="R696" s="9" t="s">
        <v>30</v>
      </c>
      <c r="S696" s="9">
        <f t="shared" si="20"/>
        <v>9</v>
      </c>
      <c r="T696" s="10" t="str">
        <f t="shared" si="21"/>
        <v>Low</v>
      </c>
    </row>
    <row r="697" spans="1:20">
      <c r="A697" s="2">
        <v>500705</v>
      </c>
      <c r="B697" s="2">
        <v>107987</v>
      </c>
      <c r="C697" s="8">
        <v>46106</v>
      </c>
      <c r="D697" s="2">
        <v>2011</v>
      </c>
      <c r="E697" s="2">
        <v>1</v>
      </c>
      <c r="F697" s="2">
        <v>0</v>
      </c>
      <c r="G697" s="2" t="s">
        <v>20</v>
      </c>
      <c r="H697" s="2" t="s">
        <v>21</v>
      </c>
      <c r="I697" s="2">
        <v>58</v>
      </c>
      <c r="J697" s="2" t="s">
        <v>52</v>
      </c>
      <c r="K697" s="8">
        <v>45770</v>
      </c>
      <c r="L697" s="2" t="s">
        <v>23</v>
      </c>
      <c r="M697" s="2" t="s">
        <v>42</v>
      </c>
      <c r="N697" s="2" t="s">
        <v>37</v>
      </c>
      <c r="O697" s="2">
        <v>32</v>
      </c>
      <c r="P697" s="2">
        <v>32</v>
      </c>
      <c r="Q697" s="2">
        <v>32</v>
      </c>
      <c r="R697" s="9" t="s">
        <v>26</v>
      </c>
      <c r="S697" s="9">
        <f t="shared" si="20"/>
        <v>32</v>
      </c>
      <c r="T697" s="10" t="str">
        <f t="shared" si="21"/>
        <v>Low</v>
      </c>
    </row>
    <row r="698" spans="1:20">
      <c r="A698" s="2">
        <v>500706</v>
      </c>
      <c r="B698" s="2">
        <v>109669</v>
      </c>
      <c r="C698" s="8">
        <v>45865</v>
      </c>
      <c r="D698" s="2">
        <v>2010</v>
      </c>
      <c r="E698" s="2">
        <v>3</v>
      </c>
      <c r="F698" s="2">
        <v>0</v>
      </c>
      <c r="G698" s="2" t="s">
        <v>20</v>
      </c>
      <c r="H698" s="2" t="s">
        <v>21</v>
      </c>
      <c r="I698" s="2">
        <v>26</v>
      </c>
      <c r="J698" s="2" t="s">
        <v>32</v>
      </c>
      <c r="K698" s="8">
        <v>45416</v>
      </c>
      <c r="L698" s="2" t="s">
        <v>23</v>
      </c>
      <c r="M698" s="2" t="s">
        <v>58</v>
      </c>
      <c r="N698" s="2" t="s">
        <v>59</v>
      </c>
      <c r="O698" s="2">
        <v>55</v>
      </c>
      <c r="P698" s="2">
        <v>165</v>
      </c>
      <c r="Q698" s="2">
        <v>165</v>
      </c>
      <c r="R698" s="9" t="s">
        <v>26</v>
      </c>
      <c r="S698" s="9">
        <f t="shared" si="20"/>
        <v>165</v>
      </c>
      <c r="T698" s="10" t="str">
        <f t="shared" si="21"/>
        <v>Low</v>
      </c>
    </row>
    <row r="699" spans="1:20">
      <c r="A699" s="2">
        <v>500707</v>
      </c>
      <c r="B699" s="2">
        <v>108349</v>
      </c>
      <c r="C699" s="8">
        <v>46089</v>
      </c>
      <c r="D699" s="2">
        <v>2008</v>
      </c>
      <c r="E699" s="2">
        <v>1</v>
      </c>
      <c r="F699" s="2">
        <v>0</v>
      </c>
      <c r="G699" s="2" t="s">
        <v>20</v>
      </c>
      <c r="H699" s="2" t="s">
        <v>21</v>
      </c>
      <c r="I699" s="2">
        <v>52</v>
      </c>
      <c r="J699" s="2" t="s">
        <v>48</v>
      </c>
      <c r="K699" s="8">
        <v>45945</v>
      </c>
      <c r="L699" s="2" t="s">
        <v>41</v>
      </c>
      <c r="M699" s="2" t="s">
        <v>39</v>
      </c>
      <c r="N699" s="2" t="s">
        <v>25</v>
      </c>
      <c r="O699" s="2">
        <v>14</v>
      </c>
      <c r="P699" s="2">
        <v>14</v>
      </c>
      <c r="Q699" s="2">
        <v>14</v>
      </c>
      <c r="R699" s="9" t="s">
        <v>26</v>
      </c>
      <c r="S699" s="9">
        <f t="shared" si="20"/>
        <v>14</v>
      </c>
      <c r="T699" s="10" t="str">
        <f t="shared" si="21"/>
        <v>Low</v>
      </c>
    </row>
    <row r="700" spans="1:20">
      <c r="A700" s="2">
        <v>500708</v>
      </c>
      <c r="B700" s="2">
        <v>109882</v>
      </c>
      <c r="C700" s="8">
        <v>45645</v>
      </c>
      <c r="D700" s="2">
        <v>2011</v>
      </c>
      <c r="E700" s="2">
        <v>1</v>
      </c>
      <c r="F700" s="2">
        <v>30</v>
      </c>
      <c r="G700" s="2" t="s">
        <v>56</v>
      </c>
      <c r="H700" s="2" t="s">
        <v>21</v>
      </c>
      <c r="I700" s="2">
        <v>59</v>
      </c>
      <c r="J700" s="2" t="s">
        <v>38</v>
      </c>
      <c r="K700" s="8">
        <v>46018</v>
      </c>
      <c r="L700" s="2" t="s">
        <v>41</v>
      </c>
      <c r="M700" s="2" t="s">
        <v>42</v>
      </c>
      <c r="N700" s="2" t="s">
        <v>37</v>
      </c>
      <c r="O700" s="2">
        <v>32</v>
      </c>
      <c r="P700" s="2">
        <v>22</v>
      </c>
      <c r="Q700" s="2">
        <v>22</v>
      </c>
      <c r="R700" s="9" t="s">
        <v>30</v>
      </c>
      <c r="S700" s="9">
        <f t="shared" si="20"/>
        <v>32</v>
      </c>
      <c r="T700" s="10" t="str">
        <f t="shared" si="21"/>
        <v>High</v>
      </c>
    </row>
    <row r="701" spans="1:20">
      <c r="A701" s="2">
        <v>500709</v>
      </c>
      <c r="B701" s="2">
        <v>105206</v>
      </c>
      <c r="C701" s="8">
        <v>45746</v>
      </c>
      <c r="D701" s="2">
        <v>2007</v>
      </c>
      <c r="E701" s="2">
        <v>1</v>
      </c>
      <c r="F701" s="2">
        <v>30</v>
      </c>
      <c r="G701" s="2" t="s">
        <v>31</v>
      </c>
      <c r="H701" s="2" t="s">
        <v>21</v>
      </c>
      <c r="I701" s="2">
        <v>39</v>
      </c>
      <c r="J701" s="2" t="s">
        <v>35</v>
      </c>
      <c r="K701" s="8">
        <v>45121</v>
      </c>
      <c r="L701" s="2" t="s">
        <v>41</v>
      </c>
      <c r="M701" s="2" t="s">
        <v>61</v>
      </c>
      <c r="N701" s="2" t="s">
        <v>34</v>
      </c>
      <c r="O701" s="2">
        <v>75</v>
      </c>
      <c r="P701" s="2">
        <v>52</v>
      </c>
      <c r="Q701" s="2">
        <v>52</v>
      </c>
      <c r="R701" s="9" t="s">
        <v>26</v>
      </c>
      <c r="S701" s="9">
        <f t="shared" si="20"/>
        <v>75</v>
      </c>
      <c r="T701" s="10" t="str">
        <f t="shared" si="21"/>
        <v>High</v>
      </c>
    </row>
    <row r="702" spans="1:20">
      <c r="A702" s="2">
        <v>500710</v>
      </c>
      <c r="B702" s="2">
        <v>107636</v>
      </c>
      <c r="C702" s="8">
        <v>45316</v>
      </c>
      <c r="D702" s="2">
        <v>2008</v>
      </c>
      <c r="E702" s="2">
        <v>3</v>
      </c>
      <c r="F702" s="2">
        <v>20</v>
      </c>
      <c r="G702" s="2" t="s">
        <v>31</v>
      </c>
      <c r="H702" s="2" t="s">
        <v>21</v>
      </c>
      <c r="I702" s="2">
        <v>31</v>
      </c>
      <c r="J702" s="2" t="s">
        <v>48</v>
      </c>
      <c r="K702" s="8">
        <v>45032</v>
      </c>
      <c r="L702" s="2" t="s">
        <v>49</v>
      </c>
      <c r="M702" s="2" t="s">
        <v>39</v>
      </c>
      <c r="N702" s="2" t="s">
        <v>25</v>
      </c>
      <c r="O702" s="2">
        <v>14</v>
      </c>
      <c r="P702" s="2">
        <v>34</v>
      </c>
      <c r="Q702" s="2">
        <v>34</v>
      </c>
      <c r="R702" s="9" t="s">
        <v>30</v>
      </c>
      <c r="S702" s="9">
        <f t="shared" si="20"/>
        <v>42</v>
      </c>
      <c r="T702" s="10" t="str">
        <f t="shared" si="21"/>
        <v>High</v>
      </c>
    </row>
    <row r="703" spans="1:20">
      <c r="A703" s="2">
        <v>500711</v>
      </c>
      <c r="B703" s="2">
        <v>109403</v>
      </c>
      <c r="C703" s="8">
        <v>45694</v>
      </c>
      <c r="D703" s="2">
        <v>2017</v>
      </c>
      <c r="E703" s="2">
        <v>3</v>
      </c>
      <c r="F703" s="2">
        <v>0</v>
      </c>
      <c r="G703" s="2" t="s">
        <v>27</v>
      </c>
      <c r="H703" s="2" t="s">
        <v>21</v>
      </c>
      <c r="I703" s="2">
        <v>65</v>
      </c>
      <c r="J703" s="2" t="s">
        <v>52</v>
      </c>
      <c r="K703" s="8">
        <v>45797</v>
      </c>
      <c r="L703" s="2" t="s">
        <v>23</v>
      </c>
      <c r="M703" s="2" t="s">
        <v>44</v>
      </c>
      <c r="N703" s="2" t="s">
        <v>25</v>
      </c>
      <c r="O703" s="2">
        <v>11</v>
      </c>
      <c r="P703" s="2">
        <v>33</v>
      </c>
      <c r="Q703" s="2">
        <v>33</v>
      </c>
      <c r="R703" s="9" t="s">
        <v>26</v>
      </c>
      <c r="S703" s="9">
        <f t="shared" si="20"/>
        <v>33</v>
      </c>
      <c r="T703" s="10" t="str">
        <f t="shared" si="21"/>
        <v>Low</v>
      </c>
    </row>
    <row r="704" spans="1:20">
      <c r="A704" s="2">
        <v>500712</v>
      </c>
      <c r="B704" s="2">
        <v>102423</v>
      </c>
      <c r="C704" s="8">
        <v>45802</v>
      </c>
      <c r="D704" s="2">
        <v>2012</v>
      </c>
      <c r="E704" s="2">
        <v>2</v>
      </c>
      <c r="F704" s="2">
        <v>10</v>
      </c>
      <c r="G704" s="2" t="s">
        <v>20</v>
      </c>
      <c r="H704" s="2" t="s">
        <v>21</v>
      </c>
      <c r="I704" s="2">
        <v>22</v>
      </c>
      <c r="J704" s="2" t="s">
        <v>45</v>
      </c>
      <c r="K704" s="8">
        <v>45945</v>
      </c>
      <c r="L704" s="2" t="s">
        <v>41</v>
      </c>
      <c r="M704" s="2" t="s">
        <v>36</v>
      </c>
      <c r="N704" s="2" t="s">
        <v>37</v>
      </c>
      <c r="O704" s="2">
        <v>180</v>
      </c>
      <c r="P704" s="2">
        <v>324</v>
      </c>
      <c r="Q704" s="2">
        <v>324</v>
      </c>
      <c r="R704" s="9" t="s">
        <v>26</v>
      </c>
      <c r="S704" s="9">
        <f t="shared" si="20"/>
        <v>360</v>
      </c>
      <c r="T704" s="10" t="str">
        <f t="shared" si="21"/>
        <v>Average</v>
      </c>
    </row>
    <row r="705" spans="1:20">
      <c r="A705" s="2">
        <v>500713</v>
      </c>
      <c r="B705" s="2">
        <v>108412</v>
      </c>
      <c r="C705" s="8">
        <v>45379</v>
      </c>
      <c r="D705" s="2">
        <v>2013</v>
      </c>
      <c r="E705" s="2">
        <v>1</v>
      </c>
      <c r="F705" s="2">
        <v>0</v>
      </c>
      <c r="G705" s="2" t="s">
        <v>20</v>
      </c>
      <c r="H705" s="2" t="s">
        <v>21</v>
      </c>
      <c r="I705" s="2">
        <v>54</v>
      </c>
      <c r="J705" s="2" t="s">
        <v>32</v>
      </c>
      <c r="K705" s="8">
        <v>45788</v>
      </c>
      <c r="L705" s="2" t="s">
        <v>23</v>
      </c>
      <c r="M705" s="2" t="s">
        <v>53</v>
      </c>
      <c r="N705" s="2" t="s">
        <v>54</v>
      </c>
      <c r="O705" s="2">
        <v>7</v>
      </c>
      <c r="P705" s="2">
        <v>7</v>
      </c>
      <c r="Q705" s="2">
        <v>7</v>
      </c>
      <c r="R705" s="9" t="s">
        <v>30</v>
      </c>
      <c r="S705" s="9">
        <f t="shared" si="20"/>
        <v>7</v>
      </c>
      <c r="T705" s="10" t="str">
        <f t="shared" si="21"/>
        <v>Low</v>
      </c>
    </row>
    <row r="706" spans="1:20">
      <c r="A706" s="2">
        <v>500714</v>
      </c>
      <c r="B706" s="2">
        <v>109928</v>
      </c>
      <c r="C706" s="8">
        <v>46180</v>
      </c>
      <c r="D706" s="2">
        <v>2005</v>
      </c>
      <c r="E706" s="2">
        <v>1</v>
      </c>
      <c r="F706" s="2">
        <v>0</v>
      </c>
      <c r="G706" s="2" t="s">
        <v>20</v>
      </c>
      <c r="H706" s="2" t="s">
        <v>21</v>
      </c>
      <c r="I706" s="2">
        <v>29</v>
      </c>
      <c r="J706" s="2" t="s">
        <v>22</v>
      </c>
      <c r="K706" s="8">
        <v>45973</v>
      </c>
      <c r="L706" s="2" t="s">
        <v>23</v>
      </c>
      <c r="M706" s="2" t="s">
        <v>51</v>
      </c>
      <c r="N706" s="2" t="s">
        <v>25</v>
      </c>
      <c r="O706" s="2">
        <v>28</v>
      </c>
      <c r="P706" s="2">
        <v>28</v>
      </c>
      <c r="Q706" s="2">
        <v>28</v>
      </c>
      <c r="R706" s="9" t="s">
        <v>26</v>
      </c>
      <c r="S706" s="9">
        <f t="shared" ref="S706:S769" si="22">SUM(E706*O706)</f>
        <v>28</v>
      </c>
      <c r="T706" s="10" t="str">
        <f t="shared" ref="T706:T769" si="23">IF(F706&lt;=5,"Low",IF(F706&lt;=10,"Average",IF(F706&gt;10,"High")))</f>
        <v>Low</v>
      </c>
    </row>
    <row r="707" spans="1:20">
      <c r="A707" s="2">
        <v>500715</v>
      </c>
      <c r="B707" s="2">
        <v>103359</v>
      </c>
      <c r="C707" s="8">
        <v>45296</v>
      </c>
      <c r="D707" s="2">
        <v>2015</v>
      </c>
      <c r="E707" s="2">
        <v>4</v>
      </c>
      <c r="F707" s="2">
        <v>10</v>
      </c>
      <c r="G707" s="2" t="s">
        <v>20</v>
      </c>
      <c r="H707" s="2" t="s">
        <v>21</v>
      </c>
      <c r="I707" s="2">
        <v>26</v>
      </c>
      <c r="J707" s="2" t="s">
        <v>52</v>
      </c>
      <c r="K707" s="8">
        <v>45986</v>
      </c>
      <c r="L707" s="2" t="s">
        <v>23</v>
      </c>
      <c r="M707" s="2" t="s">
        <v>66</v>
      </c>
      <c r="N707" s="2" t="s">
        <v>34</v>
      </c>
      <c r="O707" s="2">
        <v>58</v>
      </c>
      <c r="P707" s="2">
        <v>209</v>
      </c>
      <c r="Q707" s="2">
        <v>209</v>
      </c>
      <c r="R707" s="9" t="s">
        <v>30</v>
      </c>
      <c r="S707" s="9">
        <f t="shared" si="22"/>
        <v>232</v>
      </c>
      <c r="T707" s="10" t="str">
        <f t="shared" si="23"/>
        <v>Average</v>
      </c>
    </row>
    <row r="708" spans="1:20">
      <c r="A708" s="2">
        <v>500716</v>
      </c>
      <c r="B708" s="2">
        <v>109387</v>
      </c>
      <c r="C708" s="8">
        <v>45523</v>
      </c>
      <c r="D708" s="2">
        <v>2018</v>
      </c>
      <c r="E708" s="2">
        <v>4</v>
      </c>
      <c r="F708" s="2">
        <v>0</v>
      </c>
      <c r="G708" s="2" t="s">
        <v>20</v>
      </c>
      <c r="H708" s="2" t="s">
        <v>21</v>
      </c>
      <c r="I708" s="2">
        <v>56</v>
      </c>
      <c r="J708" s="2" t="s">
        <v>35</v>
      </c>
      <c r="K708" s="8">
        <v>45271</v>
      </c>
      <c r="L708" s="2" t="s">
        <v>23</v>
      </c>
      <c r="M708" s="2" t="s">
        <v>64</v>
      </c>
      <c r="N708" s="2" t="s">
        <v>34</v>
      </c>
      <c r="O708" s="2">
        <v>85</v>
      </c>
      <c r="P708" s="2">
        <v>340</v>
      </c>
      <c r="Q708" s="2">
        <v>340</v>
      </c>
      <c r="R708" s="9" t="s">
        <v>30</v>
      </c>
      <c r="S708" s="9">
        <f t="shared" si="22"/>
        <v>340</v>
      </c>
      <c r="T708" s="10" t="str">
        <f t="shared" si="23"/>
        <v>Low</v>
      </c>
    </row>
    <row r="709" spans="1:20">
      <c r="A709" s="2">
        <v>500717</v>
      </c>
      <c r="B709" s="2">
        <v>104057</v>
      </c>
      <c r="C709" s="8">
        <v>45823</v>
      </c>
      <c r="D709" s="2">
        <v>2004</v>
      </c>
      <c r="E709" s="2">
        <v>3</v>
      </c>
      <c r="F709" s="2">
        <v>20</v>
      </c>
      <c r="G709" s="2" t="s">
        <v>31</v>
      </c>
      <c r="H709" s="2" t="s">
        <v>21</v>
      </c>
      <c r="I709" s="2">
        <v>58</v>
      </c>
      <c r="J709" s="2" t="s">
        <v>48</v>
      </c>
      <c r="K709" s="8">
        <v>45071</v>
      </c>
      <c r="L709" s="2" t="s">
        <v>41</v>
      </c>
      <c r="M709" s="2" t="s">
        <v>46</v>
      </c>
      <c r="N709" s="2" t="s">
        <v>34</v>
      </c>
      <c r="O709" s="2">
        <v>35</v>
      </c>
      <c r="P709" s="2">
        <v>84</v>
      </c>
      <c r="Q709" s="2">
        <v>84</v>
      </c>
      <c r="R709" s="9" t="s">
        <v>26</v>
      </c>
      <c r="S709" s="9">
        <f t="shared" si="22"/>
        <v>105</v>
      </c>
      <c r="T709" s="10" t="str">
        <f t="shared" si="23"/>
        <v>High</v>
      </c>
    </row>
    <row r="710" spans="1:20">
      <c r="A710" s="2">
        <v>500718</v>
      </c>
      <c r="B710" s="2">
        <v>106518</v>
      </c>
      <c r="C710" s="8">
        <v>45722</v>
      </c>
      <c r="D710" s="2">
        <v>2003</v>
      </c>
      <c r="E710" s="2">
        <v>2</v>
      </c>
      <c r="F710" s="2">
        <v>0</v>
      </c>
      <c r="G710" s="2" t="s">
        <v>27</v>
      </c>
      <c r="H710" s="2" t="s">
        <v>21</v>
      </c>
      <c r="I710" s="2">
        <v>45</v>
      </c>
      <c r="J710" s="2" t="s">
        <v>43</v>
      </c>
      <c r="K710" s="8">
        <v>45263</v>
      </c>
      <c r="L710" s="2" t="s">
        <v>41</v>
      </c>
      <c r="M710" s="2" t="s">
        <v>24</v>
      </c>
      <c r="N710" s="2" t="s">
        <v>25</v>
      </c>
      <c r="O710" s="2">
        <v>9</v>
      </c>
      <c r="P710" s="2">
        <v>18</v>
      </c>
      <c r="Q710" s="2">
        <v>18</v>
      </c>
      <c r="R710" s="9" t="s">
        <v>26</v>
      </c>
      <c r="S710" s="9">
        <f t="shared" si="22"/>
        <v>18</v>
      </c>
      <c r="T710" s="10" t="str">
        <f t="shared" si="23"/>
        <v>Low</v>
      </c>
    </row>
    <row r="711" spans="1:20">
      <c r="A711" s="2">
        <v>500719</v>
      </c>
      <c r="B711" s="2">
        <v>100596</v>
      </c>
      <c r="C711" s="8">
        <v>45498</v>
      </c>
      <c r="D711" s="2">
        <v>2003</v>
      </c>
      <c r="E711" s="2">
        <v>2</v>
      </c>
      <c r="F711" s="2">
        <v>5</v>
      </c>
      <c r="G711" s="2" t="s">
        <v>31</v>
      </c>
      <c r="H711" s="2" t="s">
        <v>21</v>
      </c>
      <c r="I711" s="2">
        <v>56</v>
      </c>
      <c r="J711" s="2" t="s">
        <v>48</v>
      </c>
      <c r="K711" s="8">
        <v>45141</v>
      </c>
      <c r="L711" s="2" t="s">
        <v>23</v>
      </c>
      <c r="M711" s="2" t="s">
        <v>24</v>
      </c>
      <c r="N711" s="2" t="s">
        <v>25</v>
      </c>
      <c r="O711" s="2">
        <v>9</v>
      </c>
      <c r="P711" s="2">
        <v>17</v>
      </c>
      <c r="Q711" s="2">
        <v>17</v>
      </c>
      <c r="R711" s="9" t="s">
        <v>30</v>
      </c>
      <c r="S711" s="9">
        <f t="shared" si="22"/>
        <v>18</v>
      </c>
      <c r="T711" s="10" t="str">
        <f t="shared" si="23"/>
        <v>Low</v>
      </c>
    </row>
    <row r="712" spans="1:20">
      <c r="A712" s="2">
        <v>500720</v>
      </c>
      <c r="B712" s="2">
        <v>100158</v>
      </c>
      <c r="C712" s="8">
        <v>46187</v>
      </c>
      <c r="D712" s="2">
        <v>2011</v>
      </c>
      <c r="E712" s="2">
        <v>4</v>
      </c>
      <c r="F712" s="2">
        <v>0</v>
      </c>
      <c r="G712" s="2" t="s">
        <v>20</v>
      </c>
      <c r="H712" s="2" t="s">
        <v>21</v>
      </c>
      <c r="I712" s="2">
        <v>44</v>
      </c>
      <c r="J712" s="2" t="s">
        <v>35</v>
      </c>
      <c r="K712" s="8">
        <v>45612</v>
      </c>
      <c r="L712" s="2" t="s">
        <v>23</v>
      </c>
      <c r="M712" s="2" t="s">
        <v>42</v>
      </c>
      <c r="N712" s="2" t="s">
        <v>37</v>
      </c>
      <c r="O712" s="2">
        <v>32</v>
      </c>
      <c r="P712" s="2">
        <v>128</v>
      </c>
      <c r="Q712" s="2">
        <v>128</v>
      </c>
      <c r="R712" s="9" t="s">
        <v>26</v>
      </c>
      <c r="S712" s="9">
        <f t="shared" si="22"/>
        <v>128</v>
      </c>
      <c r="T712" s="10" t="str">
        <f t="shared" si="23"/>
        <v>Low</v>
      </c>
    </row>
    <row r="713" spans="1:20">
      <c r="A713" s="2">
        <v>500721</v>
      </c>
      <c r="B713" s="2">
        <v>107879</v>
      </c>
      <c r="C713" s="8">
        <v>45455</v>
      </c>
      <c r="D713" s="2">
        <v>2004</v>
      </c>
      <c r="E713" s="2">
        <v>1</v>
      </c>
      <c r="F713" s="2">
        <v>5</v>
      </c>
      <c r="G713" s="2" t="s">
        <v>31</v>
      </c>
      <c r="H713" s="2" t="s">
        <v>21</v>
      </c>
      <c r="I713" s="2">
        <v>56</v>
      </c>
      <c r="J713" s="2" t="s">
        <v>48</v>
      </c>
      <c r="K713" s="8">
        <v>45528</v>
      </c>
      <c r="L713" s="2" t="s">
        <v>23</v>
      </c>
      <c r="M713" s="2" t="s">
        <v>46</v>
      </c>
      <c r="N713" s="2" t="s">
        <v>34</v>
      </c>
      <c r="O713" s="2">
        <v>35</v>
      </c>
      <c r="P713" s="2">
        <v>33</v>
      </c>
      <c r="Q713" s="2">
        <v>33</v>
      </c>
      <c r="R713" s="9" t="s">
        <v>30</v>
      </c>
      <c r="S713" s="9">
        <f t="shared" si="22"/>
        <v>35</v>
      </c>
      <c r="T713" s="10" t="str">
        <f t="shared" si="23"/>
        <v>Low</v>
      </c>
    </row>
    <row r="714" spans="1:20">
      <c r="A714" s="2">
        <v>500722</v>
      </c>
      <c r="B714" s="2">
        <v>102501</v>
      </c>
      <c r="C714" s="8">
        <v>45783</v>
      </c>
      <c r="D714" s="2">
        <v>2007</v>
      </c>
      <c r="E714" s="2">
        <v>2</v>
      </c>
      <c r="F714" s="2">
        <v>0</v>
      </c>
      <c r="G714" s="2" t="s">
        <v>27</v>
      </c>
      <c r="H714" s="2" t="s">
        <v>21</v>
      </c>
      <c r="I714" s="2">
        <v>51</v>
      </c>
      <c r="J714" s="2" t="s">
        <v>43</v>
      </c>
      <c r="K714" s="8">
        <v>45927</v>
      </c>
      <c r="L714" s="2" t="s">
        <v>23</v>
      </c>
      <c r="M714" s="2" t="s">
        <v>61</v>
      </c>
      <c r="N714" s="2" t="s">
        <v>34</v>
      </c>
      <c r="O714" s="2">
        <v>75</v>
      </c>
      <c r="P714" s="2">
        <v>150</v>
      </c>
      <c r="Q714" s="2">
        <v>150</v>
      </c>
      <c r="R714" s="9" t="s">
        <v>26</v>
      </c>
      <c r="S714" s="9">
        <f t="shared" si="22"/>
        <v>150</v>
      </c>
      <c r="T714" s="10" t="str">
        <f t="shared" si="23"/>
        <v>Low</v>
      </c>
    </row>
    <row r="715" spans="1:20">
      <c r="A715" s="2">
        <v>500723</v>
      </c>
      <c r="B715" s="2">
        <v>107893</v>
      </c>
      <c r="C715" s="8">
        <v>45392</v>
      </c>
      <c r="D715" s="2">
        <v>2017</v>
      </c>
      <c r="E715" s="2">
        <v>4</v>
      </c>
      <c r="F715" s="2">
        <v>10</v>
      </c>
      <c r="G715" s="2" t="s">
        <v>20</v>
      </c>
      <c r="H715" s="2" t="s">
        <v>21</v>
      </c>
      <c r="I715" s="2">
        <v>33</v>
      </c>
      <c r="J715" s="2" t="s">
        <v>32</v>
      </c>
      <c r="K715" s="8">
        <v>45974</v>
      </c>
      <c r="L715" s="2" t="s">
        <v>23</v>
      </c>
      <c r="M715" s="2" t="s">
        <v>44</v>
      </c>
      <c r="N715" s="2" t="s">
        <v>25</v>
      </c>
      <c r="O715" s="2">
        <v>11</v>
      </c>
      <c r="P715" s="2">
        <v>40</v>
      </c>
      <c r="Q715" s="2">
        <v>40</v>
      </c>
      <c r="R715" s="9" t="s">
        <v>30</v>
      </c>
      <c r="S715" s="9">
        <f t="shared" si="22"/>
        <v>44</v>
      </c>
      <c r="T715" s="10" t="str">
        <f t="shared" si="23"/>
        <v>Average</v>
      </c>
    </row>
    <row r="716" spans="1:20">
      <c r="A716" s="2">
        <v>500724</v>
      </c>
      <c r="B716" s="2">
        <v>104857</v>
      </c>
      <c r="C716" s="8">
        <v>45340</v>
      </c>
      <c r="D716" s="2">
        <v>2002</v>
      </c>
      <c r="E716" s="2">
        <v>1</v>
      </c>
      <c r="F716" s="2">
        <v>0</v>
      </c>
      <c r="G716" s="2" t="s">
        <v>31</v>
      </c>
      <c r="H716" s="2" t="s">
        <v>21</v>
      </c>
      <c r="I716" s="2">
        <v>58</v>
      </c>
      <c r="J716" s="2" t="s">
        <v>48</v>
      </c>
      <c r="K716" s="8">
        <v>45309</v>
      </c>
      <c r="L716" s="2" t="s">
        <v>23</v>
      </c>
      <c r="M716" s="2" t="s">
        <v>33</v>
      </c>
      <c r="N716" s="2" t="s">
        <v>34</v>
      </c>
      <c r="O716" s="2">
        <v>62</v>
      </c>
      <c r="P716" s="2">
        <v>62</v>
      </c>
      <c r="Q716" s="2">
        <v>62</v>
      </c>
      <c r="R716" s="9" t="s">
        <v>30</v>
      </c>
      <c r="S716" s="9">
        <f t="shared" si="22"/>
        <v>62</v>
      </c>
      <c r="T716" s="10" t="str">
        <f t="shared" si="23"/>
        <v>Low</v>
      </c>
    </row>
    <row r="717" spans="1:20">
      <c r="A717" s="2">
        <v>500725</v>
      </c>
      <c r="B717" s="2">
        <v>100984</v>
      </c>
      <c r="C717" s="8">
        <v>45713</v>
      </c>
      <c r="D717" s="2">
        <v>2006</v>
      </c>
      <c r="E717" s="2">
        <v>1</v>
      </c>
      <c r="F717" s="2">
        <v>0</v>
      </c>
      <c r="G717" s="2" t="s">
        <v>31</v>
      </c>
      <c r="H717" s="2" t="s">
        <v>21</v>
      </c>
      <c r="I717" s="2">
        <v>49</v>
      </c>
      <c r="J717" s="2" t="s">
        <v>45</v>
      </c>
      <c r="K717" s="8">
        <v>44992</v>
      </c>
      <c r="L717" s="2" t="s">
        <v>23</v>
      </c>
      <c r="M717" s="2" t="s">
        <v>57</v>
      </c>
      <c r="N717" s="2" t="s">
        <v>34</v>
      </c>
      <c r="O717" s="2">
        <v>48</v>
      </c>
      <c r="P717" s="2">
        <v>48</v>
      </c>
      <c r="Q717" s="2">
        <v>48</v>
      </c>
      <c r="R717" s="9" t="s">
        <v>26</v>
      </c>
      <c r="S717" s="9">
        <f t="shared" si="22"/>
        <v>48</v>
      </c>
      <c r="T717" s="10" t="str">
        <f t="shared" si="23"/>
        <v>Low</v>
      </c>
    </row>
    <row r="718" spans="1:20">
      <c r="A718" s="2">
        <v>500726</v>
      </c>
      <c r="B718" s="2">
        <v>102977</v>
      </c>
      <c r="C718" s="8">
        <v>45987</v>
      </c>
      <c r="D718" s="2">
        <v>2013</v>
      </c>
      <c r="E718" s="2">
        <v>2</v>
      </c>
      <c r="F718" s="2">
        <v>10</v>
      </c>
      <c r="G718" s="2" t="s">
        <v>27</v>
      </c>
      <c r="H718" s="2" t="s">
        <v>40</v>
      </c>
      <c r="I718" s="2">
        <v>41</v>
      </c>
      <c r="J718" s="2" t="s">
        <v>55</v>
      </c>
      <c r="K718" s="8">
        <v>45529</v>
      </c>
      <c r="L718" s="2" t="s">
        <v>41</v>
      </c>
      <c r="M718" s="2" t="s">
        <v>53</v>
      </c>
      <c r="N718" s="2" t="s">
        <v>54</v>
      </c>
      <c r="O718" s="2">
        <v>7</v>
      </c>
      <c r="P718" s="2">
        <v>13</v>
      </c>
      <c r="Q718" s="2">
        <v>13</v>
      </c>
      <c r="R718" s="9" t="s">
        <v>26</v>
      </c>
      <c r="S718" s="9">
        <f t="shared" si="22"/>
        <v>14</v>
      </c>
      <c r="T718" s="10" t="str">
        <f t="shared" si="23"/>
        <v>Average</v>
      </c>
    </row>
    <row r="719" spans="1:20">
      <c r="A719" s="2">
        <v>500727</v>
      </c>
      <c r="B719" s="2">
        <v>101924</v>
      </c>
      <c r="C719" s="8">
        <v>45751</v>
      </c>
      <c r="D719" s="2">
        <v>2003</v>
      </c>
      <c r="E719" s="2">
        <v>2</v>
      </c>
      <c r="F719" s="2">
        <v>20</v>
      </c>
      <c r="G719" s="2" t="s">
        <v>31</v>
      </c>
      <c r="H719" s="2" t="s">
        <v>21</v>
      </c>
      <c r="I719" s="2">
        <v>38</v>
      </c>
      <c r="J719" s="2" t="s">
        <v>43</v>
      </c>
      <c r="K719" s="8">
        <v>45548</v>
      </c>
      <c r="L719" s="2" t="s">
        <v>49</v>
      </c>
      <c r="M719" s="2" t="s">
        <v>24</v>
      </c>
      <c r="N719" s="2" t="s">
        <v>25</v>
      </c>
      <c r="O719" s="2">
        <v>9</v>
      </c>
      <c r="P719" s="2">
        <v>14</v>
      </c>
      <c r="Q719" s="2">
        <v>14</v>
      </c>
      <c r="R719" s="9" t="s">
        <v>26</v>
      </c>
      <c r="S719" s="9">
        <f t="shared" si="22"/>
        <v>18</v>
      </c>
      <c r="T719" s="10" t="str">
        <f t="shared" si="23"/>
        <v>High</v>
      </c>
    </row>
    <row r="720" spans="1:20">
      <c r="A720" s="2">
        <v>500728</v>
      </c>
      <c r="B720" s="2">
        <v>106128</v>
      </c>
      <c r="C720" s="8">
        <v>45545</v>
      </c>
      <c r="D720" s="2">
        <v>2001</v>
      </c>
      <c r="E720" s="2">
        <v>3</v>
      </c>
      <c r="F720" s="2">
        <v>15</v>
      </c>
      <c r="G720" s="2" t="s">
        <v>20</v>
      </c>
      <c r="H720" s="2" t="s">
        <v>21</v>
      </c>
      <c r="I720" s="2">
        <v>60</v>
      </c>
      <c r="J720" s="2" t="s">
        <v>32</v>
      </c>
      <c r="K720" s="8">
        <v>45361</v>
      </c>
      <c r="L720" s="2" t="s">
        <v>41</v>
      </c>
      <c r="M720" s="2" t="s">
        <v>50</v>
      </c>
      <c r="N720" s="2" t="s">
        <v>34</v>
      </c>
      <c r="O720" s="2">
        <v>18</v>
      </c>
      <c r="P720" s="2">
        <v>46</v>
      </c>
      <c r="Q720" s="2">
        <v>46</v>
      </c>
      <c r="R720" s="9" t="s">
        <v>30</v>
      </c>
      <c r="S720" s="9">
        <f t="shared" si="22"/>
        <v>54</v>
      </c>
      <c r="T720" s="10" t="str">
        <f t="shared" si="23"/>
        <v>High</v>
      </c>
    </row>
    <row r="721" spans="1:20">
      <c r="A721" s="2">
        <v>500729</v>
      </c>
      <c r="B721" s="2">
        <v>101042</v>
      </c>
      <c r="C721" s="8">
        <v>45306</v>
      </c>
      <c r="D721" s="2">
        <v>2011</v>
      </c>
      <c r="E721" s="2">
        <v>3</v>
      </c>
      <c r="F721" s="2">
        <v>0</v>
      </c>
      <c r="G721" s="2" t="s">
        <v>27</v>
      </c>
      <c r="H721" s="2" t="s">
        <v>21</v>
      </c>
      <c r="I721" s="2">
        <v>59</v>
      </c>
      <c r="J721" s="2" t="s">
        <v>32</v>
      </c>
      <c r="K721" s="8">
        <v>45023</v>
      </c>
      <c r="L721" s="2" t="s">
        <v>23</v>
      </c>
      <c r="M721" s="2" t="s">
        <v>42</v>
      </c>
      <c r="N721" s="2" t="s">
        <v>37</v>
      </c>
      <c r="O721" s="2">
        <v>32</v>
      </c>
      <c r="P721" s="2">
        <v>96</v>
      </c>
      <c r="Q721" s="2">
        <v>96</v>
      </c>
      <c r="R721" s="9" t="s">
        <v>30</v>
      </c>
      <c r="S721" s="9">
        <f t="shared" si="22"/>
        <v>96</v>
      </c>
      <c r="T721" s="10" t="str">
        <f t="shared" si="23"/>
        <v>Low</v>
      </c>
    </row>
    <row r="722" spans="1:20">
      <c r="A722" s="2">
        <v>500730</v>
      </c>
      <c r="B722" s="2">
        <v>105706</v>
      </c>
      <c r="C722" s="8">
        <v>46128</v>
      </c>
      <c r="D722" s="2">
        <v>2005</v>
      </c>
      <c r="E722" s="2">
        <v>2</v>
      </c>
      <c r="F722" s="2">
        <v>15</v>
      </c>
      <c r="G722" s="2" t="s">
        <v>56</v>
      </c>
      <c r="H722" s="2" t="s">
        <v>21</v>
      </c>
      <c r="I722" s="2">
        <v>57</v>
      </c>
      <c r="J722" s="2" t="s">
        <v>35</v>
      </c>
      <c r="K722" s="8">
        <v>45177</v>
      </c>
      <c r="L722" s="2" t="s">
        <v>49</v>
      </c>
      <c r="M722" s="2" t="s">
        <v>51</v>
      </c>
      <c r="N722" s="2" t="s">
        <v>25</v>
      </c>
      <c r="O722" s="2">
        <v>28</v>
      </c>
      <c r="P722" s="2">
        <v>48</v>
      </c>
      <c r="Q722" s="2">
        <v>48</v>
      </c>
      <c r="R722" s="9" t="s">
        <v>26</v>
      </c>
      <c r="S722" s="9">
        <f t="shared" si="22"/>
        <v>56</v>
      </c>
      <c r="T722" s="10" t="str">
        <f t="shared" si="23"/>
        <v>High</v>
      </c>
    </row>
    <row r="723" spans="1:20">
      <c r="A723" s="2">
        <v>500731</v>
      </c>
      <c r="B723" s="2">
        <v>108190</v>
      </c>
      <c r="C723" s="8">
        <v>45475</v>
      </c>
      <c r="D723" s="2">
        <v>2005</v>
      </c>
      <c r="E723" s="2">
        <v>1</v>
      </c>
      <c r="F723" s="2">
        <v>0</v>
      </c>
      <c r="G723" s="2" t="s">
        <v>20</v>
      </c>
      <c r="H723" s="2" t="s">
        <v>21</v>
      </c>
      <c r="I723" s="2">
        <v>28</v>
      </c>
      <c r="J723" s="2" t="s">
        <v>38</v>
      </c>
      <c r="K723" s="8">
        <v>45126</v>
      </c>
      <c r="L723" s="2" t="s">
        <v>23</v>
      </c>
      <c r="M723" s="2" t="s">
        <v>51</v>
      </c>
      <c r="N723" s="2" t="s">
        <v>25</v>
      </c>
      <c r="O723" s="2">
        <v>28</v>
      </c>
      <c r="P723" s="2">
        <v>28</v>
      </c>
      <c r="Q723" s="2">
        <v>28</v>
      </c>
      <c r="R723" s="9" t="s">
        <v>30</v>
      </c>
      <c r="S723" s="9">
        <f t="shared" si="22"/>
        <v>28</v>
      </c>
      <c r="T723" s="10" t="str">
        <f t="shared" si="23"/>
        <v>Low</v>
      </c>
    </row>
    <row r="724" spans="1:20">
      <c r="A724" s="2">
        <v>500732</v>
      </c>
      <c r="B724" s="2">
        <v>109828</v>
      </c>
      <c r="C724" s="8">
        <v>45788</v>
      </c>
      <c r="D724" s="2">
        <v>2013</v>
      </c>
      <c r="E724" s="2">
        <v>1</v>
      </c>
      <c r="F724" s="2">
        <v>0</v>
      </c>
      <c r="G724" s="2" t="s">
        <v>31</v>
      </c>
      <c r="H724" s="2" t="s">
        <v>21</v>
      </c>
      <c r="I724" s="2">
        <v>63</v>
      </c>
      <c r="J724" s="2" t="s">
        <v>32</v>
      </c>
      <c r="K724" s="8">
        <v>45823</v>
      </c>
      <c r="L724" s="2" t="s">
        <v>23</v>
      </c>
      <c r="M724" s="2" t="s">
        <v>53</v>
      </c>
      <c r="N724" s="2" t="s">
        <v>54</v>
      </c>
      <c r="O724" s="2">
        <v>7</v>
      </c>
      <c r="P724" s="2">
        <v>7</v>
      </c>
      <c r="Q724" s="2">
        <v>7</v>
      </c>
      <c r="R724" s="9" t="s">
        <v>26</v>
      </c>
      <c r="S724" s="9">
        <f t="shared" si="22"/>
        <v>7</v>
      </c>
      <c r="T724" s="10" t="str">
        <f t="shared" si="23"/>
        <v>Low</v>
      </c>
    </row>
    <row r="725" spans="1:20">
      <c r="A725" s="2">
        <v>500733</v>
      </c>
      <c r="B725" s="2">
        <v>106846</v>
      </c>
      <c r="C725" s="8">
        <v>45305</v>
      </c>
      <c r="D725" s="2">
        <v>2015</v>
      </c>
      <c r="E725" s="2">
        <v>1</v>
      </c>
      <c r="F725" s="2">
        <v>0</v>
      </c>
      <c r="G725" s="2" t="s">
        <v>20</v>
      </c>
      <c r="H725" s="2" t="s">
        <v>21</v>
      </c>
      <c r="I725" s="2">
        <v>49</v>
      </c>
      <c r="J725" s="2" t="s">
        <v>43</v>
      </c>
      <c r="K725" s="8">
        <v>45680</v>
      </c>
      <c r="L725" s="2" t="s">
        <v>23</v>
      </c>
      <c r="M725" s="2" t="s">
        <v>66</v>
      </c>
      <c r="N725" s="2" t="s">
        <v>34</v>
      </c>
      <c r="O725" s="2">
        <v>58</v>
      </c>
      <c r="P725" s="2">
        <v>58</v>
      </c>
      <c r="Q725" s="2">
        <v>58</v>
      </c>
      <c r="R725" s="9" t="s">
        <v>30</v>
      </c>
      <c r="S725" s="9">
        <f t="shared" si="22"/>
        <v>58</v>
      </c>
      <c r="T725" s="10" t="str">
        <f t="shared" si="23"/>
        <v>Low</v>
      </c>
    </row>
    <row r="726" spans="1:20">
      <c r="A726" s="2">
        <v>500734</v>
      </c>
      <c r="B726" s="2">
        <v>104373</v>
      </c>
      <c r="C726" s="8">
        <v>45375</v>
      </c>
      <c r="D726" s="2">
        <v>2018</v>
      </c>
      <c r="E726" s="2">
        <v>1</v>
      </c>
      <c r="F726" s="2">
        <v>15</v>
      </c>
      <c r="G726" s="2" t="s">
        <v>31</v>
      </c>
      <c r="H726" s="2" t="s">
        <v>21</v>
      </c>
      <c r="I726" s="2">
        <v>28</v>
      </c>
      <c r="J726" s="2" t="s">
        <v>38</v>
      </c>
      <c r="K726" s="8">
        <v>45815</v>
      </c>
      <c r="L726" s="2" t="s">
        <v>23</v>
      </c>
      <c r="M726" s="2" t="s">
        <v>64</v>
      </c>
      <c r="N726" s="2" t="s">
        <v>34</v>
      </c>
      <c r="O726" s="2">
        <v>85</v>
      </c>
      <c r="P726" s="2">
        <v>72</v>
      </c>
      <c r="Q726" s="2">
        <v>72</v>
      </c>
      <c r="R726" s="9" t="s">
        <v>30</v>
      </c>
      <c r="S726" s="9">
        <f t="shared" si="22"/>
        <v>85</v>
      </c>
      <c r="T726" s="10" t="str">
        <f t="shared" si="23"/>
        <v>High</v>
      </c>
    </row>
    <row r="727" spans="1:20">
      <c r="A727" s="2">
        <v>500735</v>
      </c>
      <c r="B727" s="2">
        <v>105160</v>
      </c>
      <c r="C727" s="8">
        <v>45439</v>
      </c>
      <c r="D727" s="2">
        <v>2006</v>
      </c>
      <c r="E727" s="2">
        <v>1</v>
      </c>
      <c r="F727" s="2">
        <v>5</v>
      </c>
      <c r="G727" s="2" t="s">
        <v>31</v>
      </c>
      <c r="H727" s="2" t="s">
        <v>21</v>
      </c>
      <c r="I727" s="2">
        <v>62</v>
      </c>
      <c r="J727" s="2" t="s">
        <v>38</v>
      </c>
      <c r="K727" s="8">
        <v>45375</v>
      </c>
      <c r="L727" s="2" t="s">
        <v>23</v>
      </c>
      <c r="M727" s="2" t="s">
        <v>57</v>
      </c>
      <c r="N727" s="2" t="s">
        <v>34</v>
      </c>
      <c r="O727" s="2">
        <v>48</v>
      </c>
      <c r="P727" s="2">
        <v>46</v>
      </c>
      <c r="Q727" s="2">
        <v>46</v>
      </c>
      <c r="R727" s="9" t="s">
        <v>30</v>
      </c>
      <c r="S727" s="9">
        <f t="shared" si="22"/>
        <v>48</v>
      </c>
      <c r="T727" s="10" t="str">
        <f t="shared" si="23"/>
        <v>Low</v>
      </c>
    </row>
    <row r="728" spans="1:20">
      <c r="A728" s="2">
        <v>500736</v>
      </c>
      <c r="B728" s="2">
        <v>100295</v>
      </c>
      <c r="C728" s="8">
        <v>45389</v>
      </c>
      <c r="D728" s="2">
        <v>2001</v>
      </c>
      <c r="E728" s="2">
        <v>1</v>
      </c>
      <c r="F728" s="2">
        <v>5</v>
      </c>
      <c r="G728" s="2" t="s">
        <v>31</v>
      </c>
      <c r="H728" s="2" t="s">
        <v>21</v>
      </c>
      <c r="I728" s="2">
        <v>44</v>
      </c>
      <c r="J728" s="2" t="s">
        <v>38</v>
      </c>
      <c r="K728" s="8">
        <v>45360</v>
      </c>
      <c r="L728" s="2" t="s">
        <v>41</v>
      </c>
      <c r="M728" s="2" t="s">
        <v>50</v>
      </c>
      <c r="N728" s="2" t="s">
        <v>34</v>
      </c>
      <c r="O728" s="2">
        <v>18</v>
      </c>
      <c r="P728" s="2">
        <v>17</v>
      </c>
      <c r="Q728" s="2">
        <v>17</v>
      </c>
      <c r="R728" s="9" t="s">
        <v>30</v>
      </c>
      <c r="S728" s="9">
        <f t="shared" si="22"/>
        <v>18</v>
      </c>
      <c r="T728" s="10" t="str">
        <f t="shared" si="23"/>
        <v>Low</v>
      </c>
    </row>
    <row r="729" spans="1:20">
      <c r="A729" s="2">
        <v>500737</v>
      </c>
      <c r="B729" s="2">
        <v>108974</v>
      </c>
      <c r="C729" s="8">
        <v>45750</v>
      </c>
      <c r="D729" s="2">
        <v>2003</v>
      </c>
      <c r="E729" s="2">
        <v>3</v>
      </c>
      <c r="F729" s="2">
        <v>5</v>
      </c>
      <c r="G729" s="2" t="s">
        <v>31</v>
      </c>
      <c r="H729" s="2" t="s">
        <v>21</v>
      </c>
      <c r="I729" s="2">
        <v>55</v>
      </c>
      <c r="J729" s="2" t="s">
        <v>43</v>
      </c>
      <c r="K729" s="8">
        <v>45673</v>
      </c>
      <c r="L729" s="2" t="s">
        <v>41</v>
      </c>
      <c r="M729" s="2" t="s">
        <v>24</v>
      </c>
      <c r="N729" s="2" t="s">
        <v>25</v>
      </c>
      <c r="O729" s="2">
        <v>9</v>
      </c>
      <c r="P729" s="2">
        <v>26</v>
      </c>
      <c r="Q729" s="2">
        <v>26</v>
      </c>
      <c r="R729" s="9" t="s">
        <v>26</v>
      </c>
      <c r="S729" s="9">
        <f t="shared" si="22"/>
        <v>27</v>
      </c>
      <c r="T729" s="10" t="str">
        <f t="shared" si="23"/>
        <v>Low</v>
      </c>
    </row>
    <row r="730" spans="1:20">
      <c r="A730" s="2">
        <v>500738</v>
      </c>
      <c r="B730" s="2">
        <v>100502</v>
      </c>
      <c r="C730" s="8">
        <v>45635</v>
      </c>
      <c r="D730" s="2">
        <v>2008</v>
      </c>
      <c r="E730" s="2">
        <v>1</v>
      </c>
      <c r="F730" s="2">
        <v>15</v>
      </c>
      <c r="G730" s="2" t="s">
        <v>20</v>
      </c>
      <c r="H730" s="2" t="s">
        <v>21</v>
      </c>
      <c r="I730" s="2">
        <v>49</v>
      </c>
      <c r="J730" s="2" t="s">
        <v>43</v>
      </c>
      <c r="K730" s="8">
        <v>45752</v>
      </c>
      <c r="L730" s="2" t="s">
        <v>41</v>
      </c>
      <c r="M730" s="2" t="s">
        <v>39</v>
      </c>
      <c r="N730" s="2" t="s">
        <v>25</v>
      </c>
      <c r="O730" s="2">
        <v>14</v>
      </c>
      <c r="P730" s="2">
        <v>12</v>
      </c>
      <c r="Q730" s="2">
        <v>12</v>
      </c>
      <c r="R730" s="9" t="s">
        <v>30</v>
      </c>
      <c r="S730" s="9">
        <f t="shared" si="22"/>
        <v>14</v>
      </c>
      <c r="T730" s="10" t="str">
        <f t="shared" si="23"/>
        <v>High</v>
      </c>
    </row>
    <row r="731" spans="1:20">
      <c r="A731" s="2">
        <v>500739</v>
      </c>
      <c r="B731" s="2">
        <v>109763</v>
      </c>
      <c r="C731" s="8">
        <v>45984</v>
      </c>
      <c r="D731" s="2">
        <v>2004</v>
      </c>
      <c r="E731" s="2">
        <v>5</v>
      </c>
      <c r="F731" s="2">
        <v>20</v>
      </c>
      <c r="G731" s="2" t="s">
        <v>20</v>
      </c>
      <c r="H731" s="2" t="s">
        <v>21</v>
      </c>
      <c r="I731" s="2">
        <v>62</v>
      </c>
      <c r="J731" s="2" t="s">
        <v>35</v>
      </c>
      <c r="K731" s="8">
        <v>45744</v>
      </c>
      <c r="L731" s="2" t="s">
        <v>23</v>
      </c>
      <c r="M731" s="2" t="s">
        <v>46</v>
      </c>
      <c r="N731" s="2" t="s">
        <v>34</v>
      </c>
      <c r="O731" s="2">
        <v>35</v>
      </c>
      <c r="P731" s="2">
        <v>140</v>
      </c>
      <c r="Q731" s="2">
        <v>140</v>
      </c>
      <c r="R731" s="9" t="s">
        <v>26</v>
      </c>
      <c r="S731" s="9">
        <f t="shared" si="22"/>
        <v>175</v>
      </c>
      <c r="T731" s="10" t="str">
        <f t="shared" si="23"/>
        <v>High</v>
      </c>
    </row>
    <row r="732" spans="1:20">
      <c r="A732" s="2">
        <v>500740</v>
      </c>
      <c r="B732" s="2">
        <v>101582</v>
      </c>
      <c r="C732" s="8">
        <v>45392</v>
      </c>
      <c r="D732" s="2">
        <v>2011</v>
      </c>
      <c r="E732" s="2">
        <v>3</v>
      </c>
      <c r="F732" s="2">
        <v>0</v>
      </c>
      <c r="G732" s="2" t="s">
        <v>31</v>
      </c>
      <c r="H732" s="2" t="s">
        <v>21</v>
      </c>
      <c r="I732" s="2">
        <v>28</v>
      </c>
      <c r="J732" s="2" t="s">
        <v>48</v>
      </c>
      <c r="K732" s="8">
        <v>45707</v>
      </c>
      <c r="L732" s="2" t="s">
        <v>23</v>
      </c>
      <c r="M732" s="2" t="s">
        <v>42</v>
      </c>
      <c r="N732" s="2" t="s">
        <v>37</v>
      </c>
      <c r="O732" s="2">
        <v>32</v>
      </c>
      <c r="P732" s="2">
        <v>96</v>
      </c>
      <c r="Q732" s="2">
        <v>96</v>
      </c>
      <c r="R732" s="9" t="s">
        <v>30</v>
      </c>
      <c r="S732" s="9">
        <f t="shared" si="22"/>
        <v>96</v>
      </c>
      <c r="T732" s="10" t="str">
        <f t="shared" si="23"/>
        <v>Low</v>
      </c>
    </row>
    <row r="733" spans="1:20">
      <c r="A733" s="2">
        <v>500741</v>
      </c>
      <c r="B733" s="2">
        <v>109191</v>
      </c>
      <c r="C733" s="8">
        <v>45664</v>
      </c>
      <c r="D733" s="2">
        <v>2013</v>
      </c>
      <c r="E733" s="2">
        <v>1</v>
      </c>
      <c r="F733" s="2">
        <v>5</v>
      </c>
      <c r="G733" s="2" t="s">
        <v>20</v>
      </c>
      <c r="H733" s="2" t="s">
        <v>21</v>
      </c>
      <c r="I733" s="2">
        <v>24</v>
      </c>
      <c r="J733" s="2" t="s">
        <v>32</v>
      </c>
      <c r="K733" s="8">
        <v>45934</v>
      </c>
      <c r="L733" s="2" t="s">
        <v>41</v>
      </c>
      <c r="M733" s="2" t="s">
        <v>53</v>
      </c>
      <c r="N733" s="2" t="s">
        <v>54</v>
      </c>
      <c r="O733" s="2">
        <v>7</v>
      </c>
      <c r="P733" s="2">
        <v>7</v>
      </c>
      <c r="Q733" s="2">
        <v>7</v>
      </c>
      <c r="R733" s="9" t="s">
        <v>26</v>
      </c>
      <c r="S733" s="9">
        <f t="shared" si="22"/>
        <v>7</v>
      </c>
      <c r="T733" s="10" t="str">
        <f t="shared" si="23"/>
        <v>Low</v>
      </c>
    </row>
    <row r="734" spans="1:20">
      <c r="A734" s="2">
        <v>500742</v>
      </c>
      <c r="B734" s="2">
        <v>102512</v>
      </c>
      <c r="C734" s="8">
        <v>45662</v>
      </c>
      <c r="D734" s="2">
        <v>2020</v>
      </c>
      <c r="E734" s="2">
        <v>1</v>
      </c>
      <c r="F734" s="2">
        <v>10</v>
      </c>
      <c r="G734" s="2" t="s">
        <v>20</v>
      </c>
      <c r="H734" s="2" t="s">
        <v>21</v>
      </c>
      <c r="I734" s="2">
        <v>58</v>
      </c>
      <c r="J734" s="2" t="s">
        <v>35</v>
      </c>
      <c r="K734" s="8">
        <v>45081</v>
      </c>
      <c r="L734" s="2" t="s">
        <v>49</v>
      </c>
      <c r="M734" s="2" t="s">
        <v>62</v>
      </c>
      <c r="N734" s="2" t="s">
        <v>63</v>
      </c>
      <c r="O734" s="2">
        <v>68</v>
      </c>
      <c r="P734" s="2">
        <v>61</v>
      </c>
      <c r="Q734" s="2">
        <v>61</v>
      </c>
      <c r="R734" s="9" t="s">
        <v>26</v>
      </c>
      <c r="S734" s="9">
        <f t="shared" si="22"/>
        <v>68</v>
      </c>
      <c r="T734" s="10" t="str">
        <f t="shared" si="23"/>
        <v>Average</v>
      </c>
    </row>
    <row r="735" spans="1:20">
      <c r="A735" s="2">
        <v>500743</v>
      </c>
      <c r="B735" s="2">
        <v>100424</v>
      </c>
      <c r="C735" s="8">
        <v>45491</v>
      </c>
      <c r="D735" s="2">
        <v>2009</v>
      </c>
      <c r="E735" s="2">
        <v>5</v>
      </c>
      <c r="F735" s="2">
        <v>5</v>
      </c>
      <c r="G735" s="2" t="s">
        <v>31</v>
      </c>
      <c r="H735" s="2" t="s">
        <v>21</v>
      </c>
      <c r="I735" s="2">
        <v>45</v>
      </c>
      <c r="J735" s="2" t="s">
        <v>32</v>
      </c>
      <c r="K735" s="8">
        <v>45188</v>
      </c>
      <c r="L735" s="2" t="s">
        <v>41</v>
      </c>
      <c r="M735" s="2" t="s">
        <v>65</v>
      </c>
      <c r="N735" s="2" t="s">
        <v>59</v>
      </c>
      <c r="O735" s="2">
        <v>120</v>
      </c>
      <c r="P735" s="2">
        <v>570</v>
      </c>
      <c r="Q735" s="2">
        <v>570</v>
      </c>
      <c r="R735" s="9" t="s">
        <v>30</v>
      </c>
      <c r="S735" s="9">
        <f t="shared" si="22"/>
        <v>600</v>
      </c>
      <c r="T735" s="10" t="str">
        <f t="shared" si="23"/>
        <v>Low</v>
      </c>
    </row>
    <row r="736" spans="1:20">
      <c r="A736" s="2">
        <v>500744</v>
      </c>
      <c r="B736" s="2">
        <v>106701</v>
      </c>
      <c r="C736" s="8">
        <v>45374</v>
      </c>
      <c r="D736" s="2">
        <v>2008</v>
      </c>
      <c r="E736" s="2">
        <v>2</v>
      </c>
      <c r="F736" s="2">
        <v>5</v>
      </c>
      <c r="G736" s="2" t="s">
        <v>20</v>
      </c>
      <c r="H736" s="2" t="s">
        <v>21</v>
      </c>
      <c r="I736" s="2">
        <v>60</v>
      </c>
      <c r="J736" s="2" t="s">
        <v>45</v>
      </c>
      <c r="K736" s="8">
        <v>44975</v>
      </c>
      <c r="L736" s="2" t="s">
        <v>41</v>
      </c>
      <c r="M736" s="2" t="s">
        <v>39</v>
      </c>
      <c r="N736" s="2" t="s">
        <v>25</v>
      </c>
      <c r="O736" s="2">
        <v>14</v>
      </c>
      <c r="P736" s="2">
        <v>27</v>
      </c>
      <c r="Q736" s="2">
        <v>27</v>
      </c>
      <c r="R736" s="9" t="s">
        <v>30</v>
      </c>
      <c r="S736" s="9">
        <f t="shared" si="22"/>
        <v>28</v>
      </c>
      <c r="T736" s="10" t="str">
        <f t="shared" si="23"/>
        <v>Low</v>
      </c>
    </row>
    <row r="737" spans="1:20">
      <c r="A737" s="2">
        <v>500745</v>
      </c>
      <c r="B737" s="2">
        <v>109573</v>
      </c>
      <c r="C737" s="8">
        <v>45301</v>
      </c>
      <c r="D737" s="2">
        <v>2003</v>
      </c>
      <c r="E737" s="2">
        <v>2</v>
      </c>
      <c r="F737" s="2">
        <v>15</v>
      </c>
      <c r="G737" s="2" t="s">
        <v>27</v>
      </c>
      <c r="H737" s="2" t="s">
        <v>21</v>
      </c>
      <c r="I737" s="2">
        <v>25</v>
      </c>
      <c r="J737" s="2" t="s">
        <v>32</v>
      </c>
      <c r="K737" s="8">
        <v>45869</v>
      </c>
      <c r="L737" s="2" t="s">
        <v>41</v>
      </c>
      <c r="M737" s="2" t="s">
        <v>24</v>
      </c>
      <c r="N737" s="2" t="s">
        <v>25</v>
      </c>
      <c r="O737" s="2">
        <v>9</v>
      </c>
      <c r="P737" s="2">
        <v>15</v>
      </c>
      <c r="Q737" s="2">
        <v>15</v>
      </c>
      <c r="R737" s="9" t="s">
        <v>30</v>
      </c>
      <c r="S737" s="9">
        <f t="shared" si="22"/>
        <v>18</v>
      </c>
      <c r="T737" s="10" t="str">
        <f t="shared" si="23"/>
        <v>High</v>
      </c>
    </row>
    <row r="738" spans="1:20">
      <c r="A738" s="2">
        <v>500746</v>
      </c>
      <c r="B738" s="2">
        <v>106778</v>
      </c>
      <c r="C738" s="8">
        <v>45308</v>
      </c>
      <c r="D738" s="2">
        <v>2017</v>
      </c>
      <c r="E738" s="2">
        <v>1</v>
      </c>
      <c r="F738" s="2">
        <v>10</v>
      </c>
      <c r="G738" s="2" t="s">
        <v>27</v>
      </c>
      <c r="H738" s="2" t="s">
        <v>21</v>
      </c>
      <c r="I738" s="2">
        <v>39</v>
      </c>
      <c r="J738" s="2" t="s">
        <v>45</v>
      </c>
      <c r="K738" s="8">
        <v>45807</v>
      </c>
      <c r="L738" s="2" t="s">
        <v>41</v>
      </c>
      <c r="M738" s="2" t="s">
        <v>44</v>
      </c>
      <c r="N738" s="2" t="s">
        <v>25</v>
      </c>
      <c r="O738" s="2">
        <v>11</v>
      </c>
      <c r="P738" s="2">
        <v>10</v>
      </c>
      <c r="Q738" s="2">
        <v>10</v>
      </c>
      <c r="R738" s="9" t="s">
        <v>30</v>
      </c>
      <c r="S738" s="9">
        <f t="shared" si="22"/>
        <v>11</v>
      </c>
      <c r="T738" s="10" t="str">
        <f t="shared" si="23"/>
        <v>Average</v>
      </c>
    </row>
    <row r="739" spans="1:20">
      <c r="A739" s="2">
        <v>500747</v>
      </c>
      <c r="B739" s="2">
        <v>103277</v>
      </c>
      <c r="C739" s="8">
        <v>45636</v>
      </c>
      <c r="D739" s="2">
        <v>2003</v>
      </c>
      <c r="E739" s="2">
        <v>4</v>
      </c>
      <c r="F739" s="2">
        <v>0</v>
      </c>
      <c r="G739" s="2" t="s">
        <v>31</v>
      </c>
      <c r="H739" s="2" t="s">
        <v>21</v>
      </c>
      <c r="I739" s="2">
        <v>21</v>
      </c>
      <c r="J739" s="2" t="s">
        <v>43</v>
      </c>
      <c r="K739" s="8">
        <v>45336</v>
      </c>
      <c r="L739" s="2" t="s">
        <v>23</v>
      </c>
      <c r="M739" s="2" t="s">
        <v>24</v>
      </c>
      <c r="N739" s="2" t="s">
        <v>25</v>
      </c>
      <c r="O739" s="2">
        <v>9</v>
      </c>
      <c r="P739" s="2">
        <v>36</v>
      </c>
      <c r="Q739" s="2">
        <v>36</v>
      </c>
      <c r="R739" s="9" t="s">
        <v>30</v>
      </c>
      <c r="S739" s="9">
        <f t="shared" si="22"/>
        <v>36</v>
      </c>
      <c r="T739" s="10" t="str">
        <f t="shared" si="23"/>
        <v>Low</v>
      </c>
    </row>
    <row r="740" spans="1:20">
      <c r="A740" s="2">
        <v>500748</v>
      </c>
      <c r="B740" s="2">
        <v>108431</v>
      </c>
      <c r="C740" s="8">
        <v>45339</v>
      </c>
      <c r="D740" s="2">
        <v>2001</v>
      </c>
      <c r="E740" s="2">
        <v>1</v>
      </c>
      <c r="F740" s="2">
        <v>10</v>
      </c>
      <c r="G740" s="2" t="s">
        <v>31</v>
      </c>
      <c r="H740" s="2" t="s">
        <v>21</v>
      </c>
      <c r="I740" s="2">
        <v>22</v>
      </c>
      <c r="J740" s="2" t="s">
        <v>28</v>
      </c>
      <c r="K740" s="8">
        <v>44984</v>
      </c>
      <c r="L740" s="2" t="s">
        <v>41</v>
      </c>
      <c r="M740" s="2" t="s">
        <v>50</v>
      </c>
      <c r="N740" s="2" t="s">
        <v>34</v>
      </c>
      <c r="O740" s="2">
        <v>18</v>
      </c>
      <c r="P740" s="2">
        <v>16</v>
      </c>
      <c r="Q740" s="2">
        <v>16</v>
      </c>
      <c r="R740" s="9" t="s">
        <v>30</v>
      </c>
      <c r="S740" s="9">
        <f t="shared" si="22"/>
        <v>18</v>
      </c>
      <c r="T740" s="10" t="str">
        <f t="shared" si="23"/>
        <v>Average</v>
      </c>
    </row>
    <row r="741" spans="1:20">
      <c r="A741" s="2">
        <v>500749</v>
      </c>
      <c r="B741" s="2">
        <v>105894</v>
      </c>
      <c r="C741" s="8">
        <v>45633</v>
      </c>
      <c r="D741" s="2">
        <v>2004</v>
      </c>
      <c r="E741" s="2">
        <v>2</v>
      </c>
      <c r="F741" s="2">
        <v>5</v>
      </c>
      <c r="G741" s="2" t="s">
        <v>31</v>
      </c>
      <c r="H741" s="2" t="s">
        <v>21</v>
      </c>
      <c r="I741" s="2">
        <v>33</v>
      </c>
      <c r="J741" s="2" t="s">
        <v>43</v>
      </c>
      <c r="K741" s="8">
        <v>45300</v>
      </c>
      <c r="L741" s="2" t="s">
        <v>23</v>
      </c>
      <c r="M741" s="2" t="s">
        <v>46</v>
      </c>
      <c r="N741" s="2" t="s">
        <v>34</v>
      </c>
      <c r="O741" s="2">
        <v>35</v>
      </c>
      <c r="P741" s="2">
        <v>66</v>
      </c>
      <c r="Q741" s="2">
        <v>66</v>
      </c>
      <c r="R741" s="9" t="s">
        <v>30</v>
      </c>
      <c r="S741" s="9">
        <f t="shared" si="22"/>
        <v>70</v>
      </c>
      <c r="T741" s="10" t="str">
        <f t="shared" si="23"/>
        <v>Low</v>
      </c>
    </row>
    <row r="742" spans="1:20">
      <c r="A742" s="2">
        <v>500750</v>
      </c>
      <c r="B742" s="2">
        <v>100049</v>
      </c>
      <c r="C742" s="8">
        <v>45669</v>
      </c>
      <c r="D742" s="2">
        <v>2014</v>
      </c>
      <c r="E742" s="2">
        <v>1</v>
      </c>
      <c r="F742" s="2">
        <v>15</v>
      </c>
      <c r="G742" s="2" t="s">
        <v>27</v>
      </c>
      <c r="H742" s="2" t="s">
        <v>21</v>
      </c>
      <c r="I742" s="2">
        <v>50</v>
      </c>
      <c r="J742" s="2" t="s">
        <v>32</v>
      </c>
      <c r="K742" s="8">
        <v>45877</v>
      </c>
      <c r="L742" s="2" t="s">
        <v>41</v>
      </c>
      <c r="M742" s="2" t="s">
        <v>29</v>
      </c>
      <c r="N742" s="2" t="s">
        <v>25</v>
      </c>
      <c r="O742" s="2">
        <v>42</v>
      </c>
      <c r="P742" s="2">
        <v>36</v>
      </c>
      <c r="Q742" s="2">
        <v>36</v>
      </c>
      <c r="R742" s="9" t="s">
        <v>26</v>
      </c>
      <c r="S742" s="9">
        <f t="shared" si="22"/>
        <v>42</v>
      </c>
      <c r="T742" s="10" t="str">
        <f t="shared" si="23"/>
        <v>High</v>
      </c>
    </row>
    <row r="743" spans="1:20">
      <c r="A743" s="2">
        <v>500751</v>
      </c>
      <c r="B743" s="2">
        <v>101910</v>
      </c>
      <c r="C743" s="8">
        <v>45676</v>
      </c>
      <c r="D743" s="2">
        <v>2014</v>
      </c>
      <c r="E743" s="2">
        <v>3</v>
      </c>
      <c r="F743" s="2">
        <v>15</v>
      </c>
      <c r="G743" s="2" t="s">
        <v>27</v>
      </c>
      <c r="H743" s="2" t="s">
        <v>21</v>
      </c>
      <c r="I743" s="2">
        <v>63</v>
      </c>
      <c r="J743" s="2" t="s">
        <v>45</v>
      </c>
      <c r="K743" s="8">
        <v>45392</v>
      </c>
      <c r="L743" s="2" t="s">
        <v>41</v>
      </c>
      <c r="M743" s="2" t="s">
        <v>29</v>
      </c>
      <c r="N743" s="2" t="s">
        <v>25</v>
      </c>
      <c r="O743" s="2">
        <v>42</v>
      </c>
      <c r="P743" s="2">
        <v>107</v>
      </c>
      <c r="Q743" s="2">
        <v>107</v>
      </c>
      <c r="R743" s="9" t="s">
        <v>26</v>
      </c>
      <c r="S743" s="9">
        <f t="shared" si="22"/>
        <v>126</v>
      </c>
      <c r="T743" s="10" t="str">
        <f t="shared" si="23"/>
        <v>High</v>
      </c>
    </row>
    <row r="744" spans="1:20">
      <c r="A744" s="2">
        <v>500752</v>
      </c>
      <c r="B744" s="2">
        <v>106784</v>
      </c>
      <c r="C744" s="8">
        <v>45457</v>
      </c>
      <c r="D744" s="2">
        <v>2001</v>
      </c>
      <c r="E744" s="2">
        <v>2</v>
      </c>
      <c r="F744" s="2">
        <v>0</v>
      </c>
      <c r="G744" s="2" t="s">
        <v>20</v>
      </c>
      <c r="H744" s="2" t="s">
        <v>21</v>
      </c>
      <c r="I744" s="2">
        <v>51</v>
      </c>
      <c r="J744" s="2" t="s">
        <v>38</v>
      </c>
      <c r="K744" s="8">
        <v>45181</v>
      </c>
      <c r="L744" s="2" t="s">
        <v>23</v>
      </c>
      <c r="M744" s="2" t="s">
        <v>50</v>
      </c>
      <c r="N744" s="2" t="s">
        <v>34</v>
      </c>
      <c r="O744" s="2">
        <v>18</v>
      </c>
      <c r="P744" s="2">
        <v>36</v>
      </c>
      <c r="Q744" s="2">
        <v>36</v>
      </c>
      <c r="R744" s="9" t="s">
        <v>30</v>
      </c>
      <c r="S744" s="9">
        <f t="shared" si="22"/>
        <v>36</v>
      </c>
      <c r="T744" s="10" t="str">
        <f t="shared" si="23"/>
        <v>Low</v>
      </c>
    </row>
    <row r="745" spans="1:20">
      <c r="A745" s="2">
        <v>500753</v>
      </c>
      <c r="B745" s="2">
        <v>100631</v>
      </c>
      <c r="C745" s="8">
        <v>45723</v>
      </c>
      <c r="D745" s="2">
        <v>2001</v>
      </c>
      <c r="E745" s="2">
        <v>1</v>
      </c>
      <c r="F745" s="2">
        <v>0</v>
      </c>
      <c r="G745" s="2" t="s">
        <v>20</v>
      </c>
      <c r="H745" s="2" t="s">
        <v>21</v>
      </c>
      <c r="I745" s="2">
        <v>53</v>
      </c>
      <c r="J745" s="2" t="s">
        <v>43</v>
      </c>
      <c r="K745" s="8">
        <v>45787</v>
      </c>
      <c r="L745" s="2" t="s">
        <v>41</v>
      </c>
      <c r="M745" s="2" t="s">
        <v>50</v>
      </c>
      <c r="N745" s="2" t="s">
        <v>34</v>
      </c>
      <c r="O745" s="2">
        <v>18</v>
      </c>
      <c r="P745" s="2">
        <v>18</v>
      </c>
      <c r="Q745" s="2">
        <v>18</v>
      </c>
      <c r="R745" s="9" t="s">
        <v>26</v>
      </c>
      <c r="S745" s="9">
        <f t="shared" si="22"/>
        <v>18</v>
      </c>
      <c r="T745" s="10" t="str">
        <f t="shared" si="23"/>
        <v>Low</v>
      </c>
    </row>
    <row r="746" spans="1:20">
      <c r="A746" s="2">
        <v>500754</v>
      </c>
      <c r="B746" s="2">
        <v>105615</v>
      </c>
      <c r="C746" s="8">
        <v>45631</v>
      </c>
      <c r="D746" s="2">
        <v>2017</v>
      </c>
      <c r="E746" s="2">
        <v>1</v>
      </c>
      <c r="F746" s="2">
        <v>10</v>
      </c>
      <c r="G746" s="2" t="s">
        <v>31</v>
      </c>
      <c r="H746" s="2" t="s">
        <v>21</v>
      </c>
      <c r="I746" s="2">
        <v>45</v>
      </c>
      <c r="J746" s="2" t="s">
        <v>35</v>
      </c>
      <c r="K746" s="8">
        <v>46016</v>
      </c>
      <c r="L746" s="2" t="s">
        <v>49</v>
      </c>
      <c r="M746" s="2" t="s">
        <v>44</v>
      </c>
      <c r="N746" s="2" t="s">
        <v>25</v>
      </c>
      <c r="O746" s="2">
        <v>11</v>
      </c>
      <c r="P746" s="2">
        <v>10</v>
      </c>
      <c r="Q746" s="2">
        <v>10</v>
      </c>
      <c r="R746" s="9" t="s">
        <v>30</v>
      </c>
      <c r="S746" s="9">
        <f t="shared" si="22"/>
        <v>11</v>
      </c>
      <c r="T746" s="10" t="str">
        <f t="shared" si="23"/>
        <v>Average</v>
      </c>
    </row>
    <row r="747" spans="1:20">
      <c r="A747" s="2">
        <v>500755</v>
      </c>
      <c r="B747" s="2">
        <v>103022</v>
      </c>
      <c r="C747" s="8">
        <v>46190</v>
      </c>
      <c r="D747" s="2">
        <v>2013</v>
      </c>
      <c r="E747" s="2">
        <v>1</v>
      </c>
      <c r="F747" s="2">
        <v>0</v>
      </c>
      <c r="G747" s="2" t="s">
        <v>31</v>
      </c>
      <c r="H747" s="2" t="s">
        <v>21</v>
      </c>
      <c r="I747" s="2">
        <v>24</v>
      </c>
      <c r="J747" s="2" t="s">
        <v>32</v>
      </c>
      <c r="K747" s="8">
        <v>45232</v>
      </c>
      <c r="L747" s="2" t="s">
        <v>23</v>
      </c>
      <c r="M747" s="2" t="s">
        <v>53</v>
      </c>
      <c r="N747" s="2" t="s">
        <v>54</v>
      </c>
      <c r="O747" s="2">
        <v>7</v>
      </c>
      <c r="P747" s="2">
        <v>7</v>
      </c>
      <c r="Q747" s="2">
        <v>7</v>
      </c>
      <c r="R747" s="9" t="s">
        <v>26</v>
      </c>
      <c r="S747" s="9">
        <f t="shared" si="22"/>
        <v>7</v>
      </c>
      <c r="T747" s="10" t="str">
        <f t="shared" si="23"/>
        <v>Low</v>
      </c>
    </row>
    <row r="748" spans="1:20">
      <c r="A748" s="2">
        <v>500756</v>
      </c>
      <c r="B748" s="2">
        <v>102567</v>
      </c>
      <c r="C748" s="8">
        <v>45331</v>
      </c>
      <c r="D748" s="2">
        <v>2009</v>
      </c>
      <c r="E748" s="2">
        <v>1</v>
      </c>
      <c r="F748" s="2">
        <v>0</v>
      </c>
      <c r="G748" s="2" t="s">
        <v>31</v>
      </c>
      <c r="H748" s="2" t="s">
        <v>21</v>
      </c>
      <c r="I748" s="2">
        <v>56</v>
      </c>
      <c r="J748" s="2" t="s">
        <v>32</v>
      </c>
      <c r="K748" s="8">
        <v>45816</v>
      </c>
      <c r="L748" s="2" t="s">
        <v>23</v>
      </c>
      <c r="M748" s="2" t="s">
        <v>65</v>
      </c>
      <c r="N748" s="2" t="s">
        <v>59</v>
      </c>
      <c r="O748" s="2">
        <v>120</v>
      </c>
      <c r="P748" s="2">
        <v>120</v>
      </c>
      <c r="Q748" s="2">
        <v>120</v>
      </c>
      <c r="R748" s="9" t="s">
        <v>30</v>
      </c>
      <c r="S748" s="9">
        <f t="shared" si="22"/>
        <v>120</v>
      </c>
      <c r="T748" s="10" t="str">
        <f t="shared" si="23"/>
        <v>Low</v>
      </c>
    </row>
    <row r="749" spans="1:20">
      <c r="A749" s="2">
        <v>500757</v>
      </c>
      <c r="B749" s="2">
        <v>105201</v>
      </c>
      <c r="C749" s="8">
        <v>45338</v>
      </c>
      <c r="D749" s="2">
        <v>2006</v>
      </c>
      <c r="E749" s="2">
        <v>1</v>
      </c>
      <c r="F749" s="2">
        <v>5</v>
      </c>
      <c r="G749" s="2" t="s">
        <v>20</v>
      </c>
      <c r="H749" s="2" t="s">
        <v>21</v>
      </c>
      <c r="I749" s="2">
        <v>38</v>
      </c>
      <c r="J749" s="2" t="s">
        <v>48</v>
      </c>
      <c r="K749" s="8">
        <v>46008</v>
      </c>
      <c r="L749" s="2" t="s">
        <v>41</v>
      </c>
      <c r="M749" s="2" t="s">
        <v>57</v>
      </c>
      <c r="N749" s="2" t="s">
        <v>34</v>
      </c>
      <c r="O749" s="2">
        <v>48</v>
      </c>
      <c r="P749" s="2">
        <v>46</v>
      </c>
      <c r="Q749" s="2">
        <v>46</v>
      </c>
      <c r="R749" s="9" t="s">
        <v>30</v>
      </c>
      <c r="S749" s="9">
        <f t="shared" si="22"/>
        <v>48</v>
      </c>
      <c r="T749" s="10" t="str">
        <f t="shared" si="23"/>
        <v>Low</v>
      </c>
    </row>
    <row r="750" spans="1:20">
      <c r="A750" s="2">
        <v>500758</v>
      </c>
      <c r="B750" s="2">
        <v>105988</v>
      </c>
      <c r="C750" s="8">
        <v>46004</v>
      </c>
      <c r="D750" s="2">
        <v>2004</v>
      </c>
      <c r="E750" s="2">
        <v>3</v>
      </c>
      <c r="F750" s="2">
        <v>0</v>
      </c>
      <c r="G750" s="2" t="s">
        <v>20</v>
      </c>
      <c r="H750" s="2" t="s">
        <v>21</v>
      </c>
      <c r="I750" s="2">
        <v>44</v>
      </c>
      <c r="J750" s="2" t="s">
        <v>28</v>
      </c>
      <c r="K750" s="8">
        <v>45237</v>
      </c>
      <c r="L750" s="2" t="s">
        <v>49</v>
      </c>
      <c r="M750" s="2" t="s">
        <v>46</v>
      </c>
      <c r="N750" s="2" t="s">
        <v>34</v>
      </c>
      <c r="O750" s="2">
        <v>35</v>
      </c>
      <c r="P750" s="2">
        <v>105</v>
      </c>
      <c r="Q750" s="2">
        <v>105</v>
      </c>
      <c r="R750" s="9" t="s">
        <v>26</v>
      </c>
      <c r="S750" s="9">
        <f t="shared" si="22"/>
        <v>105</v>
      </c>
      <c r="T750" s="10" t="str">
        <f t="shared" si="23"/>
        <v>Low</v>
      </c>
    </row>
    <row r="751" spans="1:20">
      <c r="A751" s="2">
        <v>500759</v>
      </c>
      <c r="B751" s="2">
        <v>105651</v>
      </c>
      <c r="C751" s="8">
        <v>45521</v>
      </c>
      <c r="D751" s="2">
        <v>2001</v>
      </c>
      <c r="E751" s="2">
        <v>3</v>
      </c>
      <c r="F751" s="2">
        <v>0</v>
      </c>
      <c r="G751" s="2" t="s">
        <v>20</v>
      </c>
      <c r="H751" s="2" t="s">
        <v>21</v>
      </c>
      <c r="I751" s="2">
        <v>62</v>
      </c>
      <c r="J751" s="2" t="s">
        <v>38</v>
      </c>
      <c r="K751" s="8">
        <v>45351</v>
      </c>
      <c r="L751" s="2" t="s">
        <v>23</v>
      </c>
      <c r="M751" s="2" t="s">
        <v>50</v>
      </c>
      <c r="N751" s="2" t="s">
        <v>34</v>
      </c>
      <c r="O751" s="2">
        <v>18</v>
      </c>
      <c r="P751" s="2">
        <v>54</v>
      </c>
      <c r="Q751" s="2">
        <v>54</v>
      </c>
      <c r="R751" s="9" t="s">
        <v>30</v>
      </c>
      <c r="S751" s="9">
        <f t="shared" si="22"/>
        <v>54</v>
      </c>
      <c r="T751" s="10" t="str">
        <f t="shared" si="23"/>
        <v>Low</v>
      </c>
    </row>
    <row r="752" spans="1:20">
      <c r="A752" s="2">
        <v>500760</v>
      </c>
      <c r="B752" s="2">
        <v>101466</v>
      </c>
      <c r="C752" s="8">
        <v>45450</v>
      </c>
      <c r="D752" s="2">
        <v>2017</v>
      </c>
      <c r="E752" s="2">
        <v>1</v>
      </c>
      <c r="F752" s="2">
        <v>0</v>
      </c>
      <c r="G752" s="2" t="s">
        <v>31</v>
      </c>
      <c r="H752" s="2" t="s">
        <v>21</v>
      </c>
      <c r="I752" s="2">
        <v>23</v>
      </c>
      <c r="J752" s="2" t="s">
        <v>55</v>
      </c>
      <c r="K752" s="8">
        <v>45113</v>
      </c>
      <c r="L752" s="2" t="s">
        <v>41</v>
      </c>
      <c r="M752" s="2" t="s">
        <v>44</v>
      </c>
      <c r="N752" s="2" t="s">
        <v>25</v>
      </c>
      <c r="O752" s="2">
        <v>11</v>
      </c>
      <c r="P752" s="2">
        <v>11</v>
      </c>
      <c r="Q752" s="2">
        <v>11</v>
      </c>
      <c r="R752" s="9" t="s">
        <v>30</v>
      </c>
      <c r="S752" s="9">
        <f t="shared" si="22"/>
        <v>11</v>
      </c>
      <c r="T752" s="10" t="str">
        <f t="shared" si="23"/>
        <v>Low</v>
      </c>
    </row>
    <row r="753" spans="1:20">
      <c r="A753" s="2">
        <v>500761</v>
      </c>
      <c r="B753" s="2">
        <v>106860</v>
      </c>
      <c r="C753" s="8">
        <v>46047</v>
      </c>
      <c r="D753" s="2">
        <v>2013</v>
      </c>
      <c r="E753" s="2">
        <v>3</v>
      </c>
      <c r="F753" s="2">
        <v>0</v>
      </c>
      <c r="G753" s="2" t="s">
        <v>27</v>
      </c>
      <c r="H753" s="2" t="s">
        <v>21</v>
      </c>
      <c r="I753" s="2">
        <v>57</v>
      </c>
      <c r="J753" s="2" t="s">
        <v>35</v>
      </c>
      <c r="K753" s="8">
        <v>45484</v>
      </c>
      <c r="L753" s="2" t="s">
        <v>23</v>
      </c>
      <c r="M753" s="2" t="s">
        <v>53</v>
      </c>
      <c r="N753" s="2" t="s">
        <v>54</v>
      </c>
      <c r="O753" s="2">
        <v>7</v>
      </c>
      <c r="P753" s="2">
        <v>21</v>
      </c>
      <c r="Q753" s="2">
        <v>21</v>
      </c>
      <c r="R753" s="9" t="s">
        <v>26</v>
      </c>
      <c r="S753" s="9">
        <f t="shared" si="22"/>
        <v>21</v>
      </c>
      <c r="T753" s="10" t="str">
        <f t="shared" si="23"/>
        <v>Low</v>
      </c>
    </row>
    <row r="754" spans="1:20">
      <c r="A754" s="2">
        <v>500762</v>
      </c>
      <c r="B754" s="2">
        <v>100206</v>
      </c>
      <c r="C754" s="8">
        <v>45752</v>
      </c>
      <c r="D754" s="2">
        <v>2003</v>
      </c>
      <c r="E754" s="2">
        <v>1</v>
      </c>
      <c r="F754" s="2">
        <v>5</v>
      </c>
      <c r="G754" s="2" t="s">
        <v>27</v>
      </c>
      <c r="H754" s="2" t="s">
        <v>21</v>
      </c>
      <c r="I754" s="2">
        <v>30</v>
      </c>
      <c r="J754" s="2" t="s">
        <v>32</v>
      </c>
      <c r="K754" s="8">
        <v>45741</v>
      </c>
      <c r="L754" s="2" t="s">
        <v>23</v>
      </c>
      <c r="M754" s="2" t="s">
        <v>24</v>
      </c>
      <c r="N754" s="2" t="s">
        <v>25</v>
      </c>
      <c r="O754" s="2">
        <v>9</v>
      </c>
      <c r="P754" s="2">
        <v>9</v>
      </c>
      <c r="Q754" s="2">
        <v>9</v>
      </c>
      <c r="R754" s="9" t="s">
        <v>26</v>
      </c>
      <c r="S754" s="9">
        <f t="shared" si="22"/>
        <v>9</v>
      </c>
      <c r="T754" s="10" t="str">
        <f t="shared" si="23"/>
        <v>Low</v>
      </c>
    </row>
    <row r="755" spans="1:20">
      <c r="A755" s="2">
        <v>500763</v>
      </c>
      <c r="B755" s="2">
        <v>104231</v>
      </c>
      <c r="C755" s="8">
        <v>45823</v>
      </c>
      <c r="D755" s="2">
        <v>2012</v>
      </c>
      <c r="E755" s="2">
        <v>2</v>
      </c>
      <c r="F755" s="2">
        <v>0</v>
      </c>
      <c r="G755" s="2" t="s">
        <v>31</v>
      </c>
      <c r="H755" s="2" t="s">
        <v>21</v>
      </c>
      <c r="I755" s="2">
        <v>21</v>
      </c>
      <c r="J755" s="2" t="s">
        <v>32</v>
      </c>
      <c r="K755" s="8">
        <v>45499</v>
      </c>
      <c r="L755" s="2" t="s">
        <v>41</v>
      </c>
      <c r="M755" s="2" t="s">
        <v>36</v>
      </c>
      <c r="N755" s="2" t="s">
        <v>37</v>
      </c>
      <c r="O755" s="2">
        <v>180</v>
      </c>
      <c r="P755" s="2">
        <v>360</v>
      </c>
      <c r="Q755" s="2">
        <v>360</v>
      </c>
      <c r="R755" s="9" t="s">
        <v>26</v>
      </c>
      <c r="S755" s="9">
        <f t="shared" si="22"/>
        <v>360</v>
      </c>
      <c r="T755" s="10" t="str">
        <f t="shared" si="23"/>
        <v>Low</v>
      </c>
    </row>
    <row r="756" spans="1:20">
      <c r="A756" s="2">
        <v>500764</v>
      </c>
      <c r="B756" s="2">
        <v>104735</v>
      </c>
      <c r="C756" s="8">
        <v>45298</v>
      </c>
      <c r="D756" s="2">
        <v>2002</v>
      </c>
      <c r="E756" s="2">
        <v>3</v>
      </c>
      <c r="F756" s="2">
        <v>20</v>
      </c>
      <c r="G756" s="2" t="s">
        <v>20</v>
      </c>
      <c r="H756" s="2" t="s">
        <v>21</v>
      </c>
      <c r="I756" s="2">
        <v>41</v>
      </c>
      <c r="J756" s="2" t="s">
        <v>32</v>
      </c>
      <c r="K756" s="8">
        <v>44944</v>
      </c>
      <c r="L756" s="2" t="s">
        <v>41</v>
      </c>
      <c r="M756" s="2" t="s">
        <v>33</v>
      </c>
      <c r="N756" s="2" t="s">
        <v>34</v>
      </c>
      <c r="O756" s="2">
        <v>62</v>
      </c>
      <c r="P756" s="2">
        <v>149</v>
      </c>
      <c r="Q756" s="2">
        <v>149</v>
      </c>
      <c r="R756" s="9" t="s">
        <v>30</v>
      </c>
      <c r="S756" s="9">
        <f t="shared" si="22"/>
        <v>186</v>
      </c>
      <c r="T756" s="10" t="str">
        <f t="shared" si="23"/>
        <v>High</v>
      </c>
    </row>
    <row r="757" spans="1:20">
      <c r="A757" s="2">
        <v>500765</v>
      </c>
      <c r="B757" s="2">
        <v>105474</v>
      </c>
      <c r="C757" s="8">
        <v>45517</v>
      </c>
      <c r="D757" s="2">
        <v>2004</v>
      </c>
      <c r="E757" s="2">
        <v>4</v>
      </c>
      <c r="F757" s="2">
        <v>5</v>
      </c>
      <c r="G757" s="2" t="s">
        <v>31</v>
      </c>
      <c r="H757" s="2" t="s">
        <v>21</v>
      </c>
      <c r="I757" s="2">
        <v>26</v>
      </c>
      <c r="J757" s="2" t="s">
        <v>55</v>
      </c>
      <c r="K757" s="8">
        <v>45061</v>
      </c>
      <c r="L757" s="2" t="s">
        <v>41</v>
      </c>
      <c r="M757" s="2" t="s">
        <v>46</v>
      </c>
      <c r="N757" s="2" t="s">
        <v>34</v>
      </c>
      <c r="O757" s="2">
        <v>35</v>
      </c>
      <c r="P757" s="2">
        <v>133</v>
      </c>
      <c r="Q757" s="2">
        <v>133</v>
      </c>
      <c r="R757" s="9" t="s">
        <v>30</v>
      </c>
      <c r="S757" s="9">
        <f t="shared" si="22"/>
        <v>140</v>
      </c>
      <c r="T757" s="10" t="str">
        <f t="shared" si="23"/>
        <v>Low</v>
      </c>
    </row>
    <row r="758" spans="1:20">
      <c r="A758" s="2">
        <v>500766</v>
      </c>
      <c r="B758" s="2">
        <v>106376</v>
      </c>
      <c r="C758" s="8">
        <v>45515</v>
      </c>
      <c r="D758" s="2">
        <v>2017</v>
      </c>
      <c r="E758" s="2">
        <v>3</v>
      </c>
      <c r="F758" s="2">
        <v>0</v>
      </c>
      <c r="G758" s="2" t="s">
        <v>31</v>
      </c>
      <c r="H758" s="2" t="s">
        <v>21</v>
      </c>
      <c r="I758" s="2">
        <v>59</v>
      </c>
      <c r="J758" s="2" t="s">
        <v>45</v>
      </c>
      <c r="K758" s="8">
        <v>45535</v>
      </c>
      <c r="L758" s="2" t="s">
        <v>41</v>
      </c>
      <c r="M758" s="2" t="s">
        <v>44</v>
      </c>
      <c r="N758" s="2" t="s">
        <v>25</v>
      </c>
      <c r="O758" s="2">
        <v>11</v>
      </c>
      <c r="P758" s="2">
        <v>33</v>
      </c>
      <c r="Q758" s="2">
        <v>33</v>
      </c>
      <c r="R758" s="9" t="s">
        <v>30</v>
      </c>
      <c r="S758" s="9">
        <f t="shared" si="22"/>
        <v>33</v>
      </c>
      <c r="T758" s="10" t="str">
        <f t="shared" si="23"/>
        <v>Low</v>
      </c>
    </row>
    <row r="759" spans="1:20">
      <c r="A759" s="2">
        <v>500767</v>
      </c>
      <c r="B759" s="2">
        <v>108424</v>
      </c>
      <c r="C759" s="8">
        <v>45949</v>
      </c>
      <c r="D759" s="2">
        <v>2013</v>
      </c>
      <c r="E759" s="2">
        <v>1</v>
      </c>
      <c r="F759" s="2">
        <v>0</v>
      </c>
      <c r="G759" s="2" t="s">
        <v>20</v>
      </c>
      <c r="H759" s="2" t="s">
        <v>21</v>
      </c>
      <c r="I759" s="2">
        <v>35</v>
      </c>
      <c r="J759" s="2" t="s">
        <v>35</v>
      </c>
      <c r="K759" s="8">
        <v>45190</v>
      </c>
      <c r="L759" s="2" t="s">
        <v>23</v>
      </c>
      <c r="M759" s="2" t="s">
        <v>53</v>
      </c>
      <c r="N759" s="2" t="s">
        <v>54</v>
      </c>
      <c r="O759" s="2">
        <v>7</v>
      </c>
      <c r="P759" s="2">
        <v>7</v>
      </c>
      <c r="Q759" s="2">
        <v>7</v>
      </c>
      <c r="R759" s="9" t="s">
        <v>26</v>
      </c>
      <c r="S759" s="9">
        <f t="shared" si="22"/>
        <v>7</v>
      </c>
      <c r="T759" s="10" t="str">
        <f t="shared" si="23"/>
        <v>Low</v>
      </c>
    </row>
    <row r="760" spans="1:20">
      <c r="A760" s="2">
        <v>500768</v>
      </c>
      <c r="B760" s="2">
        <v>105512</v>
      </c>
      <c r="C760" s="8">
        <v>45625</v>
      </c>
      <c r="D760" s="2">
        <v>2003</v>
      </c>
      <c r="E760" s="2">
        <v>2</v>
      </c>
      <c r="F760" s="2">
        <v>20</v>
      </c>
      <c r="G760" s="2" t="s">
        <v>20</v>
      </c>
      <c r="H760" s="2" t="s">
        <v>21</v>
      </c>
      <c r="I760" s="2">
        <v>56</v>
      </c>
      <c r="J760" s="2" t="s">
        <v>22</v>
      </c>
      <c r="K760" s="8">
        <v>45779</v>
      </c>
      <c r="L760" s="2" t="s">
        <v>23</v>
      </c>
      <c r="M760" s="2" t="s">
        <v>24</v>
      </c>
      <c r="N760" s="2" t="s">
        <v>25</v>
      </c>
      <c r="O760" s="2">
        <v>9</v>
      </c>
      <c r="P760" s="2">
        <v>14</v>
      </c>
      <c r="Q760" s="2">
        <v>14</v>
      </c>
      <c r="R760" s="9" t="s">
        <v>30</v>
      </c>
      <c r="S760" s="9">
        <f t="shared" si="22"/>
        <v>18</v>
      </c>
      <c r="T760" s="10" t="str">
        <f t="shared" si="23"/>
        <v>High</v>
      </c>
    </row>
    <row r="761" spans="1:20">
      <c r="A761" s="2">
        <v>500769</v>
      </c>
      <c r="B761" s="2">
        <v>107390</v>
      </c>
      <c r="C761" s="8">
        <v>45790</v>
      </c>
      <c r="D761" s="2">
        <v>2007</v>
      </c>
      <c r="E761" s="2">
        <v>3</v>
      </c>
      <c r="F761" s="2">
        <v>15</v>
      </c>
      <c r="G761" s="2" t="s">
        <v>31</v>
      </c>
      <c r="H761" s="2" t="s">
        <v>21</v>
      </c>
      <c r="I761" s="2">
        <v>54</v>
      </c>
      <c r="J761" s="2" t="s">
        <v>38</v>
      </c>
      <c r="K761" s="8">
        <v>45460</v>
      </c>
      <c r="L761" s="2" t="s">
        <v>41</v>
      </c>
      <c r="M761" s="2" t="s">
        <v>61</v>
      </c>
      <c r="N761" s="2" t="s">
        <v>34</v>
      </c>
      <c r="O761" s="2">
        <v>75</v>
      </c>
      <c r="P761" s="2">
        <v>191</v>
      </c>
      <c r="Q761" s="2">
        <v>191</v>
      </c>
      <c r="R761" s="9" t="s">
        <v>26</v>
      </c>
      <c r="S761" s="9">
        <f t="shared" si="22"/>
        <v>225</v>
      </c>
      <c r="T761" s="10" t="str">
        <f t="shared" si="23"/>
        <v>High</v>
      </c>
    </row>
    <row r="762" spans="1:20">
      <c r="A762" s="2">
        <v>500770</v>
      </c>
      <c r="B762" s="2">
        <v>107897</v>
      </c>
      <c r="C762" s="8">
        <v>46117</v>
      </c>
      <c r="D762" s="2">
        <v>2015</v>
      </c>
      <c r="E762" s="2">
        <v>2</v>
      </c>
      <c r="F762" s="2">
        <v>0</v>
      </c>
      <c r="G762" s="2" t="s">
        <v>27</v>
      </c>
      <c r="H762" s="2" t="s">
        <v>47</v>
      </c>
      <c r="I762" s="2">
        <v>59</v>
      </c>
      <c r="J762" s="2" t="s">
        <v>32</v>
      </c>
      <c r="K762" s="8">
        <v>45100</v>
      </c>
      <c r="L762" s="2" t="s">
        <v>23</v>
      </c>
      <c r="M762" s="2" t="s">
        <v>66</v>
      </c>
      <c r="N762" s="2" t="s">
        <v>34</v>
      </c>
      <c r="O762" s="2">
        <v>58</v>
      </c>
      <c r="P762" s="2">
        <v>116</v>
      </c>
      <c r="Q762" s="2">
        <v>116</v>
      </c>
      <c r="R762" s="9" t="s">
        <v>26</v>
      </c>
      <c r="S762" s="9">
        <f t="shared" si="22"/>
        <v>116</v>
      </c>
      <c r="T762" s="10" t="str">
        <f t="shared" si="23"/>
        <v>Low</v>
      </c>
    </row>
    <row r="763" spans="1:20">
      <c r="A763" s="2">
        <v>500771</v>
      </c>
      <c r="B763" s="2">
        <v>104286</v>
      </c>
      <c r="C763" s="8">
        <v>46184</v>
      </c>
      <c r="D763" s="2">
        <v>2010</v>
      </c>
      <c r="E763" s="2">
        <v>1</v>
      </c>
      <c r="F763" s="2">
        <v>30</v>
      </c>
      <c r="G763" s="2" t="s">
        <v>20</v>
      </c>
      <c r="H763" s="2" t="s">
        <v>21</v>
      </c>
      <c r="I763" s="2">
        <v>54</v>
      </c>
      <c r="J763" s="2" t="s">
        <v>32</v>
      </c>
      <c r="K763" s="8">
        <v>45507</v>
      </c>
      <c r="L763" s="2" t="s">
        <v>23</v>
      </c>
      <c r="M763" s="2" t="s">
        <v>58</v>
      </c>
      <c r="N763" s="2" t="s">
        <v>59</v>
      </c>
      <c r="O763" s="2">
        <v>55</v>
      </c>
      <c r="P763" s="2">
        <v>38</v>
      </c>
      <c r="Q763" s="2">
        <v>38</v>
      </c>
      <c r="R763" s="9" t="s">
        <v>26</v>
      </c>
      <c r="S763" s="9">
        <f t="shared" si="22"/>
        <v>55</v>
      </c>
      <c r="T763" s="10" t="str">
        <f t="shared" si="23"/>
        <v>High</v>
      </c>
    </row>
    <row r="764" spans="1:20">
      <c r="A764" s="2">
        <v>500772</v>
      </c>
      <c r="B764" s="2">
        <v>102356</v>
      </c>
      <c r="C764" s="8">
        <v>45402</v>
      </c>
      <c r="D764" s="2">
        <v>2003</v>
      </c>
      <c r="E764" s="2">
        <v>1</v>
      </c>
      <c r="F764" s="2">
        <v>5</v>
      </c>
      <c r="G764" s="2" t="s">
        <v>27</v>
      </c>
      <c r="H764" s="2" t="s">
        <v>21</v>
      </c>
      <c r="I764" s="2">
        <v>35</v>
      </c>
      <c r="J764" s="2" t="s">
        <v>45</v>
      </c>
      <c r="K764" s="8">
        <v>45674</v>
      </c>
      <c r="L764" s="2" t="s">
        <v>41</v>
      </c>
      <c r="M764" s="2" t="s">
        <v>24</v>
      </c>
      <c r="N764" s="2" t="s">
        <v>25</v>
      </c>
      <c r="O764" s="2">
        <v>9</v>
      </c>
      <c r="P764" s="2">
        <v>9</v>
      </c>
      <c r="Q764" s="2">
        <v>9</v>
      </c>
      <c r="R764" s="9" t="s">
        <v>30</v>
      </c>
      <c r="S764" s="9">
        <f t="shared" si="22"/>
        <v>9</v>
      </c>
      <c r="T764" s="10" t="str">
        <f t="shared" si="23"/>
        <v>Low</v>
      </c>
    </row>
    <row r="765" spans="1:20">
      <c r="A765" s="2">
        <v>500773</v>
      </c>
      <c r="B765" s="2">
        <v>106840</v>
      </c>
      <c r="C765" s="8">
        <v>45772</v>
      </c>
      <c r="D765" s="2">
        <v>2007</v>
      </c>
      <c r="E765" s="2">
        <v>1</v>
      </c>
      <c r="F765" s="2">
        <v>0</v>
      </c>
      <c r="G765" s="2" t="s">
        <v>31</v>
      </c>
      <c r="H765" s="2" t="s">
        <v>21</v>
      </c>
      <c r="I765" s="2">
        <v>58</v>
      </c>
      <c r="J765" s="2" t="s">
        <v>32</v>
      </c>
      <c r="K765" s="8">
        <v>45039</v>
      </c>
      <c r="L765" s="2" t="s">
        <v>23</v>
      </c>
      <c r="M765" s="2" t="s">
        <v>61</v>
      </c>
      <c r="N765" s="2" t="s">
        <v>34</v>
      </c>
      <c r="O765" s="2">
        <v>75</v>
      </c>
      <c r="P765" s="2">
        <v>75</v>
      </c>
      <c r="Q765" s="2">
        <v>75</v>
      </c>
      <c r="R765" s="9" t="s">
        <v>26</v>
      </c>
      <c r="S765" s="9">
        <f t="shared" si="22"/>
        <v>75</v>
      </c>
      <c r="T765" s="10" t="str">
        <f t="shared" si="23"/>
        <v>Low</v>
      </c>
    </row>
    <row r="766" spans="1:20">
      <c r="A766" s="2">
        <v>500774</v>
      </c>
      <c r="B766" s="2">
        <v>103422</v>
      </c>
      <c r="C766" s="8">
        <v>45896</v>
      </c>
      <c r="D766" s="2">
        <v>2018</v>
      </c>
      <c r="E766" s="2">
        <v>1</v>
      </c>
      <c r="F766" s="2">
        <v>0</v>
      </c>
      <c r="G766" s="2" t="s">
        <v>20</v>
      </c>
      <c r="H766" s="2" t="s">
        <v>21</v>
      </c>
      <c r="I766" s="2">
        <v>55</v>
      </c>
      <c r="J766" s="2" t="s">
        <v>55</v>
      </c>
      <c r="K766" s="8">
        <v>45106</v>
      </c>
      <c r="L766" s="2" t="s">
        <v>41</v>
      </c>
      <c r="M766" s="2" t="s">
        <v>64</v>
      </c>
      <c r="N766" s="2" t="s">
        <v>34</v>
      </c>
      <c r="O766" s="2">
        <v>85</v>
      </c>
      <c r="P766" s="2">
        <v>85</v>
      </c>
      <c r="Q766" s="2">
        <v>85</v>
      </c>
      <c r="R766" s="9" t="s">
        <v>26</v>
      </c>
      <c r="S766" s="9">
        <f t="shared" si="22"/>
        <v>85</v>
      </c>
      <c r="T766" s="10" t="str">
        <f t="shared" si="23"/>
        <v>Low</v>
      </c>
    </row>
    <row r="767" spans="1:20">
      <c r="A767" s="2">
        <v>500775</v>
      </c>
      <c r="B767" s="2">
        <v>101427</v>
      </c>
      <c r="C767" s="8">
        <v>45967</v>
      </c>
      <c r="D767" s="2">
        <v>2003</v>
      </c>
      <c r="E767" s="2">
        <v>2</v>
      </c>
      <c r="F767" s="2">
        <v>15</v>
      </c>
      <c r="G767" s="2" t="s">
        <v>20</v>
      </c>
      <c r="H767" s="2" t="s">
        <v>21</v>
      </c>
      <c r="I767" s="2">
        <v>50</v>
      </c>
      <c r="J767" s="2" t="s">
        <v>32</v>
      </c>
      <c r="K767" s="8">
        <v>45639</v>
      </c>
      <c r="L767" s="2" t="s">
        <v>41</v>
      </c>
      <c r="M767" s="2" t="s">
        <v>24</v>
      </c>
      <c r="N767" s="2" t="s">
        <v>25</v>
      </c>
      <c r="O767" s="2">
        <v>9</v>
      </c>
      <c r="P767" s="2">
        <v>15</v>
      </c>
      <c r="Q767" s="2">
        <v>15</v>
      </c>
      <c r="R767" s="9" t="s">
        <v>26</v>
      </c>
      <c r="S767" s="9">
        <f t="shared" si="22"/>
        <v>18</v>
      </c>
      <c r="T767" s="10" t="str">
        <f t="shared" si="23"/>
        <v>High</v>
      </c>
    </row>
    <row r="768" spans="1:20">
      <c r="A768" s="2">
        <v>500776</v>
      </c>
      <c r="B768" s="2">
        <v>105887</v>
      </c>
      <c r="C768" s="8">
        <v>46102</v>
      </c>
      <c r="D768" s="2">
        <v>2008</v>
      </c>
      <c r="E768" s="2">
        <v>2</v>
      </c>
      <c r="F768" s="2">
        <v>5</v>
      </c>
      <c r="G768" s="2" t="s">
        <v>20</v>
      </c>
      <c r="H768" s="2" t="s">
        <v>21</v>
      </c>
      <c r="I768" s="2">
        <v>65</v>
      </c>
      <c r="J768" s="2" t="s">
        <v>35</v>
      </c>
      <c r="K768" s="8">
        <v>45538</v>
      </c>
      <c r="L768" s="2" t="s">
        <v>41</v>
      </c>
      <c r="M768" s="2" t="s">
        <v>39</v>
      </c>
      <c r="N768" s="2" t="s">
        <v>25</v>
      </c>
      <c r="O768" s="2">
        <v>14</v>
      </c>
      <c r="P768" s="2">
        <v>27</v>
      </c>
      <c r="Q768" s="2">
        <v>27</v>
      </c>
      <c r="R768" s="9" t="s">
        <v>26</v>
      </c>
      <c r="S768" s="9">
        <f t="shared" si="22"/>
        <v>28</v>
      </c>
      <c r="T768" s="10" t="str">
        <f t="shared" si="23"/>
        <v>Low</v>
      </c>
    </row>
    <row r="769" spans="1:20">
      <c r="A769" s="2">
        <v>500777</v>
      </c>
      <c r="B769" s="2">
        <v>102660</v>
      </c>
      <c r="C769" s="8">
        <v>45921</v>
      </c>
      <c r="D769" s="2">
        <v>2005</v>
      </c>
      <c r="E769" s="2">
        <v>2</v>
      </c>
      <c r="F769" s="2">
        <v>0</v>
      </c>
      <c r="G769" s="2" t="s">
        <v>20</v>
      </c>
      <c r="H769" s="2" t="s">
        <v>21</v>
      </c>
      <c r="I769" s="2">
        <v>25</v>
      </c>
      <c r="J769" s="2" t="s">
        <v>35</v>
      </c>
      <c r="K769" s="8">
        <v>45031</v>
      </c>
      <c r="L769" s="2" t="s">
        <v>23</v>
      </c>
      <c r="M769" s="2" t="s">
        <v>51</v>
      </c>
      <c r="N769" s="2" t="s">
        <v>25</v>
      </c>
      <c r="O769" s="2">
        <v>28</v>
      </c>
      <c r="P769" s="2">
        <v>56</v>
      </c>
      <c r="Q769" s="2">
        <v>56</v>
      </c>
      <c r="R769" s="9" t="s">
        <v>26</v>
      </c>
      <c r="S769" s="9">
        <f t="shared" si="22"/>
        <v>56</v>
      </c>
      <c r="T769" s="10" t="str">
        <f t="shared" si="23"/>
        <v>Low</v>
      </c>
    </row>
    <row r="770" spans="1:20">
      <c r="A770" s="2">
        <v>500778</v>
      </c>
      <c r="B770" s="2">
        <v>103878</v>
      </c>
      <c r="C770" s="8">
        <v>45888</v>
      </c>
      <c r="D770" s="2">
        <v>2015</v>
      </c>
      <c r="E770" s="2">
        <v>1</v>
      </c>
      <c r="F770" s="2">
        <v>10</v>
      </c>
      <c r="G770" s="2" t="s">
        <v>20</v>
      </c>
      <c r="H770" s="2" t="s">
        <v>21</v>
      </c>
      <c r="I770" s="2">
        <v>29</v>
      </c>
      <c r="J770" s="2" t="s">
        <v>38</v>
      </c>
      <c r="K770" s="8">
        <v>45858</v>
      </c>
      <c r="L770" s="2" t="s">
        <v>23</v>
      </c>
      <c r="M770" s="2" t="s">
        <v>66</v>
      </c>
      <c r="N770" s="2" t="s">
        <v>34</v>
      </c>
      <c r="O770" s="2">
        <v>58</v>
      </c>
      <c r="P770" s="2">
        <v>52</v>
      </c>
      <c r="Q770" s="2">
        <v>52</v>
      </c>
      <c r="R770" s="9" t="s">
        <v>26</v>
      </c>
      <c r="S770" s="9">
        <f t="shared" ref="S770:S833" si="24">SUM(E770*O770)</f>
        <v>58</v>
      </c>
      <c r="T770" s="10" t="str">
        <f t="shared" ref="T770:T833" si="25">IF(F770&lt;=5,"Low",IF(F770&lt;=10,"Average",IF(F770&gt;10,"High")))</f>
        <v>Average</v>
      </c>
    </row>
    <row r="771" spans="1:20">
      <c r="A771" s="2">
        <v>500779</v>
      </c>
      <c r="B771" s="2">
        <v>104760</v>
      </c>
      <c r="C771" s="8">
        <v>45338</v>
      </c>
      <c r="D771" s="2">
        <v>2014</v>
      </c>
      <c r="E771" s="2">
        <v>2</v>
      </c>
      <c r="F771" s="2">
        <v>30</v>
      </c>
      <c r="G771" s="2" t="s">
        <v>56</v>
      </c>
      <c r="H771" s="2" t="s">
        <v>21</v>
      </c>
      <c r="I771" s="2">
        <v>51</v>
      </c>
      <c r="J771" s="2" t="s">
        <v>32</v>
      </c>
      <c r="K771" s="8">
        <v>45461</v>
      </c>
      <c r="L771" s="2" t="s">
        <v>23</v>
      </c>
      <c r="M771" s="2" t="s">
        <v>29</v>
      </c>
      <c r="N771" s="2" t="s">
        <v>25</v>
      </c>
      <c r="O771" s="2">
        <v>42</v>
      </c>
      <c r="P771" s="2">
        <v>59</v>
      </c>
      <c r="Q771" s="2">
        <v>59</v>
      </c>
      <c r="R771" s="9" t="s">
        <v>30</v>
      </c>
      <c r="S771" s="9">
        <f t="shared" si="24"/>
        <v>84</v>
      </c>
      <c r="T771" s="10" t="str">
        <f t="shared" si="25"/>
        <v>High</v>
      </c>
    </row>
    <row r="772" spans="1:20">
      <c r="A772" s="2">
        <v>500780</v>
      </c>
      <c r="B772" s="2">
        <v>107763</v>
      </c>
      <c r="C772" s="8">
        <v>45762</v>
      </c>
      <c r="D772" s="2">
        <v>2010</v>
      </c>
      <c r="E772" s="2">
        <v>2</v>
      </c>
      <c r="F772" s="2">
        <v>10</v>
      </c>
      <c r="G772" s="2" t="s">
        <v>20</v>
      </c>
      <c r="H772" s="2" t="s">
        <v>21</v>
      </c>
      <c r="I772" s="2">
        <v>43</v>
      </c>
      <c r="J772" s="2" t="s">
        <v>43</v>
      </c>
      <c r="K772" s="8">
        <v>44965</v>
      </c>
      <c r="L772" s="2" t="s">
        <v>23</v>
      </c>
      <c r="M772" s="2" t="s">
        <v>58</v>
      </c>
      <c r="N772" s="2" t="s">
        <v>59</v>
      </c>
      <c r="O772" s="2">
        <v>55</v>
      </c>
      <c r="P772" s="2">
        <v>99</v>
      </c>
      <c r="Q772" s="2">
        <v>99</v>
      </c>
      <c r="R772" s="9" t="s">
        <v>26</v>
      </c>
      <c r="S772" s="9">
        <f t="shared" si="24"/>
        <v>110</v>
      </c>
      <c r="T772" s="10" t="str">
        <f t="shared" si="25"/>
        <v>Average</v>
      </c>
    </row>
    <row r="773" spans="1:20">
      <c r="A773" s="2">
        <v>500781</v>
      </c>
      <c r="B773" s="2">
        <v>106411</v>
      </c>
      <c r="C773" s="8">
        <v>45809</v>
      </c>
      <c r="D773" s="2">
        <v>2001</v>
      </c>
      <c r="E773" s="2">
        <v>1</v>
      </c>
      <c r="F773" s="2">
        <v>30</v>
      </c>
      <c r="G773" s="2" t="s">
        <v>20</v>
      </c>
      <c r="H773" s="2" t="s">
        <v>21</v>
      </c>
      <c r="I773" s="2">
        <v>58</v>
      </c>
      <c r="J773" s="2" t="s">
        <v>32</v>
      </c>
      <c r="K773" s="8">
        <v>45928</v>
      </c>
      <c r="L773" s="2" t="s">
        <v>41</v>
      </c>
      <c r="M773" s="2" t="s">
        <v>50</v>
      </c>
      <c r="N773" s="2" t="s">
        <v>34</v>
      </c>
      <c r="O773" s="2">
        <v>18</v>
      </c>
      <c r="P773" s="2">
        <v>13</v>
      </c>
      <c r="Q773" s="2">
        <v>13</v>
      </c>
      <c r="R773" s="9" t="s">
        <v>26</v>
      </c>
      <c r="S773" s="9">
        <f t="shared" si="24"/>
        <v>18</v>
      </c>
      <c r="T773" s="10" t="str">
        <f t="shared" si="25"/>
        <v>High</v>
      </c>
    </row>
    <row r="774" spans="1:20">
      <c r="A774" s="2">
        <v>500782</v>
      </c>
      <c r="B774" s="2">
        <v>100124</v>
      </c>
      <c r="C774" s="8">
        <v>45893</v>
      </c>
      <c r="D774" s="2">
        <v>2013</v>
      </c>
      <c r="E774" s="2">
        <v>2</v>
      </c>
      <c r="F774" s="2">
        <v>0</v>
      </c>
      <c r="G774" s="2" t="s">
        <v>20</v>
      </c>
      <c r="H774" s="2" t="s">
        <v>21</v>
      </c>
      <c r="I774" s="2">
        <v>40</v>
      </c>
      <c r="J774" s="2" t="s">
        <v>35</v>
      </c>
      <c r="K774" s="8">
        <v>45995</v>
      </c>
      <c r="L774" s="2" t="s">
        <v>23</v>
      </c>
      <c r="M774" s="2" t="s">
        <v>53</v>
      </c>
      <c r="N774" s="2" t="s">
        <v>54</v>
      </c>
      <c r="O774" s="2">
        <v>7</v>
      </c>
      <c r="P774" s="2">
        <v>14</v>
      </c>
      <c r="Q774" s="2">
        <v>14</v>
      </c>
      <c r="R774" s="9" t="s">
        <v>26</v>
      </c>
      <c r="S774" s="9">
        <f t="shared" si="24"/>
        <v>14</v>
      </c>
      <c r="T774" s="10" t="str">
        <f t="shared" si="25"/>
        <v>Low</v>
      </c>
    </row>
    <row r="775" spans="1:20">
      <c r="A775" s="2">
        <v>500783</v>
      </c>
      <c r="B775" s="2">
        <v>101086</v>
      </c>
      <c r="C775" s="8">
        <v>45795</v>
      </c>
      <c r="D775" s="2">
        <v>2010</v>
      </c>
      <c r="E775" s="2">
        <v>3</v>
      </c>
      <c r="F775" s="2">
        <v>10</v>
      </c>
      <c r="G775" s="2" t="s">
        <v>20</v>
      </c>
      <c r="H775" s="2" t="s">
        <v>21</v>
      </c>
      <c r="I775" s="2">
        <v>58</v>
      </c>
      <c r="J775" s="2" t="s">
        <v>22</v>
      </c>
      <c r="K775" s="8">
        <v>45176</v>
      </c>
      <c r="L775" s="2" t="s">
        <v>41</v>
      </c>
      <c r="M775" s="2" t="s">
        <v>58</v>
      </c>
      <c r="N775" s="2" t="s">
        <v>59</v>
      </c>
      <c r="O775" s="2">
        <v>55</v>
      </c>
      <c r="P775" s="2">
        <v>148</v>
      </c>
      <c r="Q775" s="2">
        <v>148</v>
      </c>
      <c r="R775" s="9" t="s">
        <v>26</v>
      </c>
      <c r="S775" s="9">
        <f t="shared" si="24"/>
        <v>165</v>
      </c>
      <c r="T775" s="10" t="str">
        <f t="shared" si="25"/>
        <v>Average</v>
      </c>
    </row>
    <row r="776" spans="1:20">
      <c r="A776" s="2">
        <v>500784</v>
      </c>
      <c r="B776" s="2">
        <v>107701</v>
      </c>
      <c r="C776" s="8">
        <v>45645</v>
      </c>
      <c r="D776" s="2">
        <v>2009</v>
      </c>
      <c r="E776" s="2">
        <v>2</v>
      </c>
      <c r="F776" s="2">
        <v>5</v>
      </c>
      <c r="G776" s="2" t="s">
        <v>20</v>
      </c>
      <c r="H776" s="2" t="s">
        <v>21</v>
      </c>
      <c r="I776" s="2">
        <v>43</v>
      </c>
      <c r="J776" s="2" t="s">
        <v>35</v>
      </c>
      <c r="K776" s="8">
        <v>45060</v>
      </c>
      <c r="L776" s="2" t="s">
        <v>23</v>
      </c>
      <c r="M776" s="2" t="s">
        <v>65</v>
      </c>
      <c r="N776" s="2" t="s">
        <v>59</v>
      </c>
      <c r="O776" s="2">
        <v>120</v>
      </c>
      <c r="P776" s="2">
        <v>228</v>
      </c>
      <c r="Q776" s="2">
        <v>228</v>
      </c>
      <c r="R776" s="9" t="s">
        <v>30</v>
      </c>
      <c r="S776" s="9">
        <f t="shared" si="24"/>
        <v>240</v>
      </c>
      <c r="T776" s="10" t="str">
        <f t="shared" si="25"/>
        <v>Low</v>
      </c>
    </row>
    <row r="777" spans="1:20">
      <c r="A777" s="2">
        <v>500785</v>
      </c>
      <c r="B777" s="2">
        <v>109229</v>
      </c>
      <c r="C777" s="8">
        <v>45713</v>
      </c>
      <c r="D777" s="2">
        <v>2007</v>
      </c>
      <c r="E777" s="2">
        <v>5</v>
      </c>
      <c r="F777" s="2">
        <v>10</v>
      </c>
      <c r="G777" s="2" t="s">
        <v>20</v>
      </c>
      <c r="H777" s="2" t="s">
        <v>21</v>
      </c>
      <c r="I777" s="2">
        <v>56</v>
      </c>
      <c r="J777" s="2" t="s">
        <v>38</v>
      </c>
      <c r="K777" s="8">
        <v>45663</v>
      </c>
      <c r="L777" s="2" t="s">
        <v>23</v>
      </c>
      <c r="M777" s="2" t="s">
        <v>61</v>
      </c>
      <c r="N777" s="2" t="s">
        <v>34</v>
      </c>
      <c r="O777" s="2">
        <v>75</v>
      </c>
      <c r="P777" s="2">
        <v>338</v>
      </c>
      <c r="Q777" s="2">
        <v>338</v>
      </c>
      <c r="R777" s="9" t="s">
        <v>26</v>
      </c>
      <c r="S777" s="9">
        <f t="shared" si="24"/>
        <v>375</v>
      </c>
      <c r="T777" s="10" t="str">
        <f t="shared" si="25"/>
        <v>Average</v>
      </c>
    </row>
    <row r="778" spans="1:20">
      <c r="A778" s="2">
        <v>500786</v>
      </c>
      <c r="B778" s="2">
        <v>108134</v>
      </c>
      <c r="C778" s="8">
        <v>46162</v>
      </c>
      <c r="D778" s="2">
        <v>2003</v>
      </c>
      <c r="E778" s="2">
        <v>5</v>
      </c>
      <c r="F778" s="2">
        <v>15</v>
      </c>
      <c r="G778" s="2" t="s">
        <v>31</v>
      </c>
      <c r="H778" s="2" t="s">
        <v>21</v>
      </c>
      <c r="I778" s="2">
        <v>31</v>
      </c>
      <c r="J778" s="2" t="s">
        <v>35</v>
      </c>
      <c r="K778" s="8">
        <v>45528</v>
      </c>
      <c r="L778" s="2" t="s">
        <v>41</v>
      </c>
      <c r="M778" s="2" t="s">
        <v>24</v>
      </c>
      <c r="N778" s="2" t="s">
        <v>25</v>
      </c>
      <c r="O778" s="2">
        <v>9</v>
      </c>
      <c r="P778" s="2">
        <v>38</v>
      </c>
      <c r="Q778" s="2">
        <v>38</v>
      </c>
      <c r="R778" s="9" t="s">
        <v>26</v>
      </c>
      <c r="S778" s="9">
        <f t="shared" si="24"/>
        <v>45</v>
      </c>
      <c r="T778" s="10" t="str">
        <f t="shared" si="25"/>
        <v>High</v>
      </c>
    </row>
    <row r="779" spans="1:20">
      <c r="A779" s="2">
        <v>500787</v>
      </c>
      <c r="B779" s="2">
        <v>101782</v>
      </c>
      <c r="C779" s="8">
        <v>45576</v>
      </c>
      <c r="D779" s="2">
        <v>2001</v>
      </c>
      <c r="E779" s="2">
        <v>2</v>
      </c>
      <c r="F779" s="2">
        <v>0</v>
      </c>
      <c r="G779" s="2" t="s">
        <v>31</v>
      </c>
      <c r="H779" s="2" t="s">
        <v>21</v>
      </c>
      <c r="I779" s="2">
        <v>34</v>
      </c>
      <c r="J779" s="2" t="s">
        <v>45</v>
      </c>
      <c r="K779" s="8">
        <v>45306</v>
      </c>
      <c r="L779" s="2" t="s">
        <v>23</v>
      </c>
      <c r="M779" s="2" t="s">
        <v>50</v>
      </c>
      <c r="N779" s="2" t="s">
        <v>34</v>
      </c>
      <c r="O779" s="2">
        <v>18</v>
      </c>
      <c r="P779" s="2">
        <v>36</v>
      </c>
      <c r="Q779" s="2">
        <v>36</v>
      </c>
      <c r="R779" s="9" t="s">
        <v>30</v>
      </c>
      <c r="S779" s="9">
        <f t="shared" si="24"/>
        <v>36</v>
      </c>
      <c r="T779" s="10" t="str">
        <f t="shared" si="25"/>
        <v>Low</v>
      </c>
    </row>
    <row r="780" spans="1:20">
      <c r="A780" s="2">
        <v>500788</v>
      </c>
      <c r="B780" s="2">
        <v>107008</v>
      </c>
      <c r="C780" s="8">
        <v>45969</v>
      </c>
      <c r="D780" s="2">
        <v>2010</v>
      </c>
      <c r="E780" s="2">
        <v>1</v>
      </c>
      <c r="F780" s="2">
        <v>10</v>
      </c>
      <c r="G780" s="2" t="s">
        <v>20</v>
      </c>
      <c r="H780" s="2" t="s">
        <v>21</v>
      </c>
      <c r="I780" s="2">
        <v>48</v>
      </c>
      <c r="J780" s="2" t="s">
        <v>52</v>
      </c>
      <c r="K780" s="8">
        <v>45055</v>
      </c>
      <c r="L780" s="2" t="s">
        <v>23</v>
      </c>
      <c r="M780" s="2" t="s">
        <v>58</v>
      </c>
      <c r="N780" s="2" t="s">
        <v>59</v>
      </c>
      <c r="O780" s="2">
        <v>55</v>
      </c>
      <c r="P780" s="2">
        <v>50</v>
      </c>
      <c r="Q780" s="2">
        <v>50</v>
      </c>
      <c r="R780" s="9" t="s">
        <v>26</v>
      </c>
      <c r="S780" s="9">
        <f t="shared" si="24"/>
        <v>55</v>
      </c>
      <c r="T780" s="10" t="str">
        <f t="shared" si="25"/>
        <v>Average</v>
      </c>
    </row>
    <row r="781" spans="1:20">
      <c r="A781" s="2">
        <v>500789</v>
      </c>
      <c r="B781" s="2">
        <v>100989</v>
      </c>
      <c r="C781" s="8">
        <v>45816</v>
      </c>
      <c r="D781" s="2">
        <v>2001</v>
      </c>
      <c r="E781" s="2">
        <v>1</v>
      </c>
      <c r="F781" s="2">
        <v>10</v>
      </c>
      <c r="G781" s="2" t="s">
        <v>20</v>
      </c>
      <c r="H781" s="2" t="s">
        <v>21</v>
      </c>
      <c r="I781" s="2">
        <v>29</v>
      </c>
      <c r="J781" s="2" t="s">
        <v>28</v>
      </c>
      <c r="K781" s="8">
        <v>45098</v>
      </c>
      <c r="L781" s="2" t="s">
        <v>23</v>
      </c>
      <c r="M781" s="2" t="s">
        <v>50</v>
      </c>
      <c r="N781" s="2" t="s">
        <v>34</v>
      </c>
      <c r="O781" s="2">
        <v>18</v>
      </c>
      <c r="P781" s="2">
        <v>16</v>
      </c>
      <c r="Q781" s="2">
        <v>16</v>
      </c>
      <c r="R781" s="9" t="s">
        <v>26</v>
      </c>
      <c r="S781" s="9">
        <f t="shared" si="24"/>
        <v>18</v>
      </c>
      <c r="T781" s="10" t="str">
        <f t="shared" si="25"/>
        <v>Average</v>
      </c>
    </row>
    <row r="782" spans="1:20">
      <c r="A782" s="2">
        <v>500790</v>
      </c>
      <c r="B782" s="2">
        <v>105497</v>
      </c>
      <c r="C782" s="8">
        <v>45675</v>
      </c>
      <c r="D782" s="2">
        <v>2013</v>
      </c>
      <c r="E782" s="2">
        <v>4</v>
      </c>
      <c r="F782" s="2">
        <v>0</v>
      </c>
      <c r="G782" s="2" t="s">
        <v>20</v>
      </c>
      <c r="H782" s="2" t="s">
        <v>21</v>
      </c>
      <c r="I782" s="2">
        <v>54</v>
      </c>
      <c r="J782" s="2" t="s">
        <v>45</v>
      </c>
      <c r="K782" s="8">
        <v>45505</v>
      </c>
      <c r="L782" s="2" t="s">
        <v>41</v>
      </c>
      <c r="M782" s="2" t="s">
        <v>53</v>
      </c>
      <c r="N782" s="2" t="s">
        <v>54</v>
      </c>
      <c r="O782" s="2">
        <v>7</v>
      </c>
      <c r="P782" s="2">
        <v>28</v>
      </c>
      <c r="Q782" s="2">
        <v>28</v>
      </c>
      <c r="R782" s="9" t="s">
        <v>26</v>
      </c>
      <c r="S782" s="9">
        <f t="shared" si="24"/>
        <v>28</v>
      </c>
      <c r="T782" s="10" t="str">
        <f t="shared" si="25"/>
        <v>Low</v>
      </c>
    </row>
    <row r="783" spans="1:20">
      <c r="A783" s="2">
        <v>500791</v>
      </c>
      <c r="B783" s="2">
        <v>103017</v>
      </c>
      <c r="C783" s="8">
        <v>45649</v>
      </c>
      <c r="D783" s="2">
        <v>2003</v>
      </c>
      <c r="E783" s="2">
        <v>1</v>
      </c>
      <c r="F783" s="2">
        <v>15</v>
      </c>
      <c r="G783" s="2" t="s">
        <v>31</v>
      </c>
      <c r="H783" s="2" t="s">
        <v>21</v>
      </c>
      <c r="I783" s="2">
        <v>43</v>
      </c>
      <c r="J783" s="2" t="s">
        <v>38</v>
      </c>
      <c r="K783" s="8">
        <v>45809</v>
      </c>
      <c r="L783" s="2" t="s">
        <v>41</v>
      </c>
      <c r="M783" s="2" t="s">
        <v>24</v>
      </c>
      <c r="N783" s="2" t="s">
        <v>25</v>
      </c>
      <c r="O783" s="2">
        <v>9</v>
      </c>
      <c r="P783" s="2">
        <v>8</v>
      </c>
      <c r="Q783" s="2">
        <v>8</v>
      </c>
      <c r="R783" s="9" t="s">
        <v>30</v>
      </c>
      <c r="S783" s="9">
        <f t="shared" si="24"/>
        <v>9</v>
      </c>
      <c r="T783" s="10" t="str">
        <f t="shared" si="25"/>
        <v>High</v>
      </c>
    </row>
    <row r="784" spans="1:20">
      <c r="A784" s="2">
        <v>500792</v>
      </c>
      <c r="B784" s="2">
        <v>102445</v>
      </c>
      <c r="C784" s="8">
        <v>45756</v>
      </c>
      <c r="D784" s="2">
        <v>2017</v>
      </c>
      <c r="E784" s="2">
        <v>1</v>
      </c>
      <c r="F784" s="2">
        <v>0</v>
      </c>
      <c r="G784" s="2" t="s">
        <v>31</v>
      </c>
      <c r="H784" s="2" t="s">
        <v>21</v>
      </c>
      <c r="I784" s="2">
        <v>46</v>
      </c>
      <c r="J784" s="2" t="s">
        <v>32</v>
      </c>
      <c r="K784" s="8">
        <v>45633</v>
      </c>
      <c r="L784" s="2" t="s">
        <v>23</v>
      </c>
      <c r="M784" s="2" t="s">
        <v>44</v>
      </c>
      <c r="N784" s="2" t="s">
        <v>25</v>
      </c>
      <c r="O784" s="2">
        <v>11</v>
      </c>
      <c r="P784" s="2">
        <v>11</v>
      </c>
      <c r="Q784" s="2">
        <v>11</v>
      </c>
      <c r="R784" s="9" t="s">
        <v>26</v>
      </c>
      <c r="S784" s="9">
        <f t="shared" si="24"/>
        <v>11</v>
      </c>
      <c r="T784" s="10" t="str">
        <f t="shared" si="25"/>
        <v>Low</v>
      </c>
    </row>
    <row r="785" spans="1:20">
      <c r="A785" s="2">
        <v>500793</v>
      </c>
      <c r="B785" s="2">
        <v>103437</v>
      </c>
      <c r="C785" s="8">
        <v>45983</v>
      </c>
      <c r="D785" s="2">
        <v>2005</v>
      </c>
      <c r="E785" s="2">
        <v>1</v>
      </c>
      <c r="F785" s="2">
        <v>10</v>
      </c>
      <c r="G785" s="2" t="s">
        <v>56</v>
      </c>
      <c r="H785" s="2" t="s">
        <v>40</v>
      </c>
      <c r="I785" s="2">
        <v>32</v>
      </c>
      <c r="J785" s="2" t="s">
        <v>43</v>
      </c>
      <c r="K785" s="8">
        <v>45105</v>
      </c>
      <c r="L785" s="2" t="s">
        <v>41</v>
      </c>
      <c r="M785" s="2" t="s">
        <v>51</v>
      </c>
      <c r="N785" s="2" t="s">
        <v>25</v>
      </c>
      <c r="O785" s="2">
        <v>28</v>
      </c>
      <c r="P785" s="2">
        <v>25</v>
      </c>
      <c r="Q785" s="2">
        <v>25</v>
      </c>
      <c r="R785" s="9" t="s">
        <v>26</v>
      </c>
      <c r="S785" s="9">
        <f t="shared" si="24"/>
        <v>28</v>
      </c>
      <c r="T785" s="10" t="str">
        <f t="shared" si="25"/>
        <v>Average</v>
      </c>
    </row>
    <row r="786" spans="1:20">
      <c r="A786" s="2">
        <v>500794</v>
      </c>
      <c r="B786" s="2">
        <v>101461</v>
      </c>
      <c r="C786" s="8">
        <v>45397</v>
      </c>
      <c r="D786" s="2">
        <v>2002</v>
      </c>
      <c r="E786" s="2">
        <v>4</v>
      </c>
      <c r="F786" s="2">
        <v>10</v>
      </c>
      <c r="G786" s="2" t="s">
        <v>20</v>
      </c>
      <c r="H786" s="2" t="s">
        <v>21</v>
      </c>
      <c r="I786" s="2">
        <v>55</v>
      </c>
      <c r="J786" s="2" t="s">
        <v>32</v>
      </c>
      <c r="K786" s="8">
        <v>45230</v>
      </c>
      <c r="L786" s="2" t="s">
        <v>41</v>
      </c>
      <c r="M786" s="2" t="s">
        <v>33</v>
      </c>
      <c r="N786" s="2" t="s">
        <v>34</v>
      </c>
      <c r="O786" s="2">
        <v>62</v>
      </c>
      <c r="P786" s="2">
        <v>223</v>
      </c>
      <c r="Q786" s="2">
        <v>223</v>
      </c>
      <c r="R786" s="9" t="s">
        <v>30</v>
      </c>
      <c r="S786" s="9">
        <f t="shared" si="24"/>
        <v>248</v>
      </c>
      <c r="T786" s="10" t="str">
        <f t="shared" si="25"/>
        <v>Average</v>
      </c>
    </row>
    <row r="787" spans="1:20">
      <c r="A787" s="2">
        <v>500795</v>
      </c>
      <c r="B787" s="2">
        <v>109365</v>
      </c>
      <c r="C787" s="8">
        <v>46090</v>
      </c>
      <c r="D787" s="2">
        <v>2012</v>
      </c>
      <c r="E787" s="2">
        <v>2</v>
      </c>
      <c r="F787" s="2">
        <v>10</v>
      </c>
      <c r="G787" s="2" t="s">
        <v>20</v>
      </c>
      <c r="H787" s="2" t="s">
        <v>21</v>
      </c>
      <c r="I787" s="2">
        <v>34</v>
      </c>
      <c r="J787" s="2" t="s">
        <v>32</v>
      </c>
      <c r="K787" s="8">
        <v>45446</v>
      </c>
      <c r="L787" s="2" t="s">
        <v>23</v>
      </c>
      <c r="M787" s="2" t="s">
        <v>36</v>
      </c>
      <c r="N787" s="2" t="s">
        <v>37</v>
      </c>
      <c r="O787" s="2">
        <v>180</v>
      </c>
      <c r="P787" s="2">
        <v>324</v>
      </c>
      <c r="Q787" s="2">
        <v>324</v>
      </c>
      <c r="R787" s="9" t="s">
        <v>26</v>
      </c>
      <c r="S787" s="9">
        <f t="shared" si="24"/>
        <v>360</v>
      </c>
      <c r="T787" s="10" t="str">
        <f t="shared" si="25"/>
        <v>Average</v>
      </c>
    </row>
    <row r="788" spans="1:20">
      <c r="A788" s="2">
        <v>500796</v>
      </c>
      <c r="B788" s="2">
        <v>108923</v>
      </c>
      <c r="C788" s="8">
        <v>45961</v>
      </c>
      <c r="D788" s="2">
        <v>2013</v>
      </c>
      <c r="E788" s="2">
        <v>3</v>
      </c>
      <c r="F788" s="2">
        <v>30</v>
      </c>
      <c r="G788" s="2" t="s">
        <v>31</v>
      </c>
      <c r="H788" s="2" t="s">
        <v>21</v>
      </c>
      <c r="I788" s="2">
        <v>49</v>
      </c>
      <c r="J788" s="2" t="s">
        <v>43</v>
      </c>
      <c r="K788" s="8">
        <v>45837</v>
      </c>
      <c r="L788" s="2" t="s">
        <v>23</v>
      </c>
      <c r="M788" s="2" t="s">
        <v>53</v>
      </c>
      <c r="N788" s="2" t="s">
        <v>54</v>
      </c>
      <c r="O788" s="2">
        <v>7</v>
      </c>
      <c r="P788" s="2">
        <v>15</v>
      </c>
      <c r="Q788" s="2">
        <v>15</v>
      </c>
      <c r="R788" s="9" t="s">
        <v>26</v>
      </c>
      <c r="S788" s="9">
        <f t="shared" si="24"/>
        <v>21</v>
      </c>
      <c r="T788" s="10" t="str">
        <f t="shared" si="25"/>
        <v>High</v>
      </c>
    </row>
    <row r="789" spans="1:20">
      <c r="A789" s="2">
        <v>500797</v>
      </c>
      <c r="B789" s="2">
        <v>109005</v>
      </c>
      <c r="C789" s="8">
        <v>45593</v>
      </c>
      <c r="D789" s="2">
        <v>2002</v>
      </c>
      <c r="E789" s="2">
        <v>2</v>
      </c>
      <c r="F789" s="2">
        <v>0</v>
      </c>
      <c r="G789" s="2" t="s">
        <v>20</v>
      </c>
      <c r="H789" s="2" t="s">
        <v>21</v>
      </c>
      <c r="I789" s="2">
        <v>55</v>
      </c>
      <c r="J789" s="2" t="s">
        <v>32</v>
      </c>
      <c r="K789" s="8">
        <v>45656</v>
      </c>
      <c r="L789" s="2" t="s">
        <v>23</v>
      </c>
      <c r="M789" s="2" t="s">
        <v>33</v>
      </c>
      <c r="N789" s="2" t="s">
        <v>34</v>
      </c>
      <c r="O789" s="2">
        <v>62</v>
      </c>
      <c r="P789" s="2">
        <v>124</v>
      </c>
      <c r="Q789" s="2">
        <v>124</v>
      </c>
      <c r="R789" s="9" t="s">
        <v>30</v>
      </c>
      <c r="S789" s="9">
        <f t="shared" si="24"/>
        <v>124</v>
      </c>
      <c r="T789" s="10" t="str">
        <f t="shared" si="25"/>
        <v>Low</v>
      </c>
    </row>
    <row r="790" spans="1:20">
      <c r="A790" s="2">
        <v>500798</v>
      </c>
      <c r="B790" s="2">
        <v>109997</v>
      </c>
      <c r="C790" s="8">
        <v>45300</v>
      </c>
      <c r="D790" s="2">
        <v>2004</v>
      </c>
      <c r="E790" s="2">
        <v>3</v>
      </c>
      <c r="F790" s="2">
        <v>20</v>
      </c>
      <c r="G790" s="2" t="s">
        <v>20</v>
      </c>
      <c r="H790" s="2" t="s">
        <v>21</v>
      </c>
      <c r="I790" s="2">
        <v>65</v>
      </c>
      <c r="J790" s="2" t="s">
        <v>35</v>
      </c>
      <c r="K790" s="8">
        <v>45189</v>
      </c>
      <c r="L790" s="2" t="s">
        <v>23</v>
      </c>
      <c r="M790" s="2" t="s">
        <v>46</v>
      </c>
      <c r="N790" s="2" t="s">
        <v>34</v>
      </c>
      <c r="O790" s="2">
        <v>35</v>
      </c>
      <c r="P790" s="2">
        <v>84</v>
      </c>
      <c r="Q790" s="2">
        <v>84</v>
      </c>
      <c r="R790" s="9" t="s">
        <v>30</v>
      </c>
      <c r="S790" s="9">
        <f t="shared" si="24"/>
        <v>105</v>
      </c>
      <c r="T790" s="10" t="str">
        <f t="shared" si="25"/>
        <v>High</v>
      </c>
    </row>
    <row r="791" spans="1:20">
      <c r="A791" s="2">
        <v>500799</v>
      </c>
      <c r="B791" s="2">
        <v>108633</v>
      </c>
      <c r="C791" s="8">
        <v>45382</v>
      </c>
      <c r="D791" s="2">
        <v>2005</v>
      </c>
      <c r="E791" s="2">
        <v>2</v>
      </c>
      <c r="F791" s="2">
        <v>0</v>
      </c>
      <c r="G791" s="2" t="s">
        <v>31</v>
      </c>
      <c r="H791" s="2" t="s">
        <v>21</v>
      </c>
      <c r="I791" s="2">
        <v>39</v>
      </c>
      <c r="J791" s="2" t="s">
        <v>52</v>
      </c>
      <c r="K791" s="8">
        <v>45762</v>
      </c>
      <c r="L791" s="2" t="s">
        <v>41</v>
      </c>
      <c r="M791" s="2" t="s">
        <v>51</v>
      </c>
      <c r="N791" s="2" t="s">
        <v>25</v>
      </c>
      <c r="O791" s="2">
        <v>28</v>
      </c>
      <c r="P791" s="2">
        <v>56</v>
      </c>
      <c r="Q791" s="2">
        <v>56</v>
      </c>
      <c r="R791" s="9" t="s">
        <v>30</v>
      </c>
      <c r="S791" s="9">
        <f t="shared" si="24"/>
        <v>56</v>
      </c>
      <c r="T791" s="10" t="str">
        <f t="shared" si="25"/>
        <v>Low</v>
      </c>
    </row>
    <row r="792" spans="1:20">
      <c r="A792" s="2">
        <v>500800</v>
      </c>
      <c r="B792" s="2">
        <v>101650</v>
      </c>
      <c r="C792" s="8">
        <v>45416</v>
      </c>
      <c r="D792" s="2">
        <v>2013</v>
      </c>
      <c r="E792" s="2">
        <v>1</v>
      </c>
      <c r="F792" s="2">
        <v>5</v>
      </c>
      <c r="G792" s="2" t="s">
        <v>31</v>
      </c>
      <c r="H792" s="2" t="s">
        <v>21</v>
      </c>
      <c r="I792" s="2">
        <v>58</v>
      </c>
      <c r="J792" s="2" t="s">
        <v>45</v>
      </c>
      <c r="K792" s="8">
        <v>45329</v>
      </c>
      <c r="L792" s="2" t="s">
        <v>23</v>
      </c>
      <c r="M792" s="2" t="s">
        <v>53</v>
      </c>
      <c r="N792" s="2" t="s">
        <v>54</v>
      </c>
      <c r="O792" s="2">
        <v>7</v>
      </c>
      <c r="P792" s="2">
        <v>7</v>
      </c>
      <c r="Q792" s="2">
        <v>7</v>
      </c>
      <c r="R792" s="9" t="s">
        <v>30</v>
      </c>
      <c r="S792" s="9">
        <f t="shared" si="24"/>
        <v>7</v>
      </c>
      <c r="T792" s="10" t="str">
        <f t="shared" si="25"/>
        <v>Low</v>
      </c>
    </row>
    <row r="793" spans="1:20">
      <c r="A793" s="2">
        <v>500801</v>
      </c>
      <c r="B793" s="2">
        <v>104690</v>
      </c>
      <c r="C793" s="8">
        <v>45381</v>
      </c>
      <c r="D793" s="2">
        <v>2005</v>
      </c>
      <c r="E793" s="2">
        <v>1</v>
      </c>
      <c r="F793" s="2">
        <v>0</v>
      </c>
      <c r="G793" s="2" t="s">
        <v>31</v>
      </c>
      <c r="H793" s="2" t="s">
        <v>21</v>
      </c>
      <c r="I793" s="2">
        <v>52</v>
      </c>
      <c r="J793" s="2" t="s">
        <v>32</v>
      </c>
      <c r="K793" s="8">
        <v>44928</v>
      </c>
      <c r="L793" s="2" t="s">
        <v>23</v>
      </c>
      <c r="M793" s="2" t="s">
        <v>51</v>
      </c>
      <c r="N793" s="2" t="s">
        <v>25</v>
      </c>
      <c r="O793" s="2">
        <v>28</v>
      </c>
      <c r="P793" s="2">
        <v>28</v>
      </c>
      <c r="Q793" s="2">
        <v>28</v>
      </c>
      <c r="R793" s="9" t="s">
        <v>30</v>
      </c>
      <c r="S793" s="9">
        <f t="shared" si="24"/>
        <v>28</v>
      </c>
      <c r="T793" s="10" t="str">
        <f t="shared" si="25"/>
        <v>Low</v>
      </c>
    </row>
    <row r="794" spans="1:20">
      <c r="A794" s="2">
        <v>500802</v>
      </c>
      <c r="B794" s="2">
        <v>103822</v>
      </c>
      <c r="C794" s="8">
        <v>45380</v>
      </c>
      <c r="D794" s="2">
        <v>2003</v>
      </c>
      <c r="E794" s="2">
        <v>1</v>
      </c>
      <c r="F794" s="2">
        <v>0</v>
      </c>
      <c r="G794" s="2" t="s">
        <v>20</v>
      </c>
      <c r="H794" s="2" t="s">
        <v>21</v>
      </c>
      <c r="I794" s="2">
        <v>18</v>
      </c>
      <c r="J794" s="2" t="s">
        <v>45</v>
      </c>
      <c r="K794" s="8">
        <v>45433</v>
      </c>
      <c r="L794" s="2" t="s">
        <v>23</v>
      </c>
      <c r="M794" s="2" t="s">
        <v>24</v>
      </c>
      <c r="N794" s="2" t="s">
        <v>25</v>
      </c>
      <c r="O794" s="2">
        <v>9</v>
      </c>
      <c r="P794" s="2">
        <v>9</v>
      </c>
      <c r="Q794" s="2">
        <v>9</v>
      </c>
      <c r="R794" s="9" t="s">
        <v>30</v>
      </c>
      <c r="S794" s="9">
        <f t="shared" si="24"/>
        <v>9</v>
      </c>
      <c r="T794" s="10" t="str">
        <f t="shared" si="25"/>
        <v>Low</v>
      </c>
    </row>
    <row r="795" spans="1:20">
      <c r="A795" s="2">
        <v>500803</v>
      </c>
      <c r="B795" s="2">
        <v>100095</v>
      </c>
      <c r="C795" s="8">
        <v>46153</v>
      </c>
      <c r="D795" s="2">
        <v>2020</v>
      </c>
      <c r="E795" s="2">
        <v>1</v>
      </c>
      <c r="F795" s="2">
        <v>10</v>
      </c>
      <c r="G795" s="2" t="s">
        <v>20</v>
      </c>
      <c r="H795" s="2" t="s">
        <v>21</v>
      </c>
      <c r="I795" s="2">
        <v>61</v>
      </c>
      <c r="J795" s="2" t="s">
        <v>32</v>
      </c>
      <c r="K795" s="8">
        <v>45686</v>
      </c>
      <c r="L795" s="2" t="s">
        <v>41</v>
      </c>
      <c r="M795" s="2" t="s">
        <v>62</v>
      </c>
      <c r="N795" s="2" t="s">
        <v>63</v>
      </c>
      <c r="O795" s="2">
        <v>68</v>
      </c>
      <c r="P795" s="2">
        <v>61</v>
      </c>
      <c r="Q795" s="2">
        <v>61</v>
      </c>
      <c r="R795" s="9" t="s">
        <v>26</v>
      </c>
      <c r="S795" s="9">
        <f t="shared" si="24"/>
        <v>68</v>
      </c>
      <c r="T795" s="10" t="str">
        <f t="shared" si="25"/>
        <v>Average</v>
      </c>
    </row>
    <row r="796" spans="1:20">
      <c r="A796" s="2">
        <v>500804</v>
      </c>
      <c r="B796" s="2">
        <v>102289</v>
      </c>
      <c r="C796" s="8">
        <v>45860</v>
      </c>
      <c r="D796" s="2">
        <v>2006</v>
      </c>
      <c r="E796" s="2">
        <v>2</v>
      </c>
      <c r="F796" s="2">
        <v>10</v>
      </c>
      <c r="G796" s="2" t="s">
        <v>56</v>
      </c>
      <c r="H796" s="2" t="s">
        <v>21</v>
      </c>
      <c r="I796" s="2">
        <v>62</v>
      </c>
      <c r="J796" s="2" t="s">
        <v>35</v>
      </c>
      <c r="K796" s="8">
        <v>45863</v>
      </c>
      <c r="L796" s="2" t="s">
        <v>41</v>
      </c>
      <c r="M796" s="2" t="s">
        <v>57</v>
      </c>
      <c r="N796" s="2" t="s">
        <v>34</v>
      </c>
      <c r="O796" s="2">
        <v>48</v>
      </c>
      <c r="P796" s="2">
        <v>86</v>
      </c>
      <c r="Q796" s="2">
        <v>86</v>
      </c>
      <c r="R796" s="9" t="s">
        <v>26</v>
      </c>
      <c r="S796" s="9">
        <f t="shared" si="24"/>
        <v>96</v>
      </c>
      <c r="T796" s="10" t="str">
        <f t="shared" si="25"/>
        <v>Average</v>
      </c>
    </row>
    <row r="797" spans="1:20">
      <c r="A797" s="2">
        <v>500805</v>
      </c>
      <c r="B797" s="2">
        <v>107030</v>
      </c>
      <c r="C797" s="8">
        <v>46001</v>
      </c>
      <c r="D797" s="2">
        <v>2001</v>
      </c>
      <c r="E797" s="2">
        <v>1</v>
      </c>
      <c r="F797" s="2">
        <v>0</v>
      </c>
      <c r="G797" s="2" t="s">
        <v>27</v>
      </c>
      <c r="H797" s="2" t="s">
        <v>21</v>
      </c>
      <c r="I797" s="2">
        <v>62</v>
      </c>
      <c r="J797" s="2" t="s">
        <v>35</v>
      </c>
      <c r="K797" s="8">
        <v>45362</v>
      </c>
      <c r="L797" s="2" t="s">
        <v>23</v>
      </c>
      <c r="M797" s="2" t="s">
        <v>50</v>
      </c>
      <c r="N797" s="2" t="s">
        <v>34</v>
      </c>
      <c r="O797" s="2">
        <v>18</v>
      </c>
      <c r="P797" s="2">
        <v>18</v>
      </c>
      <c r="Q797" s="2">
        <v>18</v>
      </c>
      <c r="R797" s="9" t="s">
        <v>26</v>
      </c>
      <c r="S797" s="9">
        <f t="shared" si="24"/>
        <v>18</v>
      </c>
      <c r="T797" s="10" t="str">
        <f t="shared" si="25"/>
        <v>Low</v>
      </c>
    </row>
    <row r="798" spans="1:20">
      <c r="A798" s="2">
        <v>500806</v>
      </c>
      <c r="B798" s="2">
        <v>102051</v>
      </c>
      <c r="C798" s="8">
        <v>45778</v>
      </c>
      <c r="D798" s="2">
        <v>2012</v>
      </c>
      <c r="E798" s="2">
        <v>2</v>
      </c>
      <c r="F798" s="2">
        <v>5</v>
      </c>
      <c r="G798" s="2" t="s">
        <v>20</v>
      </c>
      <c r="H798" s="2" t="s">
        <v>21</v>
      </c>
      <c r="I798" s="2">
        <v>26</v>
      </c>
      <c r="J798" s="2" t="s">
        <v>28</v>
      </c>
      <c r="K798" s="8">
        <v>45551</v>
      </c>
      <c r="L798" s="2" t="s">
        <v>23</v>
      </c>
      <c r="M798" s="2" t="s">
        <v>36</v>
      </c>
      <c r="N798" s="2" t="s">
        <v>37</v>
      </c>
      <c r="O798" s="2">
        <v>180</v>
      </c>
      <c r="P798" s="2">
        <v>342</v>
      </c>
      <c r="Q798" s="2">
        <v>342</v>
      </c>
      <c r="R798" s="9" t="s">
        <v>26</v>
      </c>
      <c r="S798" s="9">
        <f t="shared" si="24"/>
        <v>360</v>
      </c>
      <c r="T798" s="10" t="str">
        <f t="shared" si="25"/>
        <v>Low</v>
      </c>
    </row>
    <row r="799" spans="1:20">
      <c r="A799" s="2">
        <v>500807</v>
      </c>
      <c r="B799" s="2">
        <v>105984</v>
      </c>
      <c r="C799" s="8">
        <v>45827</v>
      </c>
      <c r="D799" s="2">
        <v>2004</v>
      </c>
      <c r="E799" s="2">
        <v>1</v>
      </c>
      <c r="F799" s="2">
        <v>15</v>
      </c>
      <c r="G799" s="2" t="s">
        <v>31</v>
      </c>
      <c r="H799" s="2" t="s">
        <v>21</v>
      </c>
      <c r="I799" s="2">
        <v>57</v>
      </c>
      <c r="J799" s="2" t="s">
        <v>32</v>
      </c>
      <c r="K799" s="8">
        <v>45154</v>
      </c>
      <c r="L799" s="2" t="s">
        <v>23</v>
      </c>
      <c r="M799" s="2" t="s">
        <v>46</v>
      </c>
      <c r="N799" s="2" t="s">
        <v>34</v>
      </c>
      <c r="O799" s="2">
        <v>35</v>
      </c>
      <c r="P799" s="2">
        <v>30</v>
      </c>
      <c r="Q799" s="2">
        <v>30</v>
      </c>
      <c r="R799" s="9" t="s">
        <v>26</v>
      </c>
      <c r="S799" s="9">
        <f t="shared" si="24"/>
        <v>35</v>
      </c>
      <c r="T799" s="10" t="str">
        <f t="shared" si="25"/>
        <v>High</v>
      </c>
    </row>
    <row r="800" spans="1:20">
      <c r="A800" s="2">
        <v>500808</v>
      </c>
      <c r="B800" s="2">
        <v>107032</v>
      </c>
      <c r="C800" s="8">
        <v>46053</v>
      </c>
      <c r="D800" s="2">
        <v>2005</v>
      </c>
      <c r="E800" s="2">
        <v>2</v>
      </c>
      <c r="F800" s="2">
        <v>5</v>
      </c>
      <c r="G800" s="2" t="s">
        <v>31</v>
      </c>
      <c r="H800" s="2" t="s">
        <v>21</v>
      </c>
      <c r="I800" s="2">
        <v>54</v>
      </c>
      <c r="J800" s="2" t="s">
        <v>48</v>
      </c>
      <c r="K800" s="8">
        <v>45759</v>
      </c>
      <c r="L800" s="2" t="s">
        <v>23</v>
      </c>
      <c r="M800" s="2" t="s">
        <v>51</v>
      </c>
      <c r="N800" s="2" t="s">
        <v>25</v>
      </c>
      <c r="O800" s="2">
        <v>28</v>
      </c>
      <c r="P800" s="2">
        <v>53</v>
      </c>
      <c r="Q800" s="2">
        <v>53</v>
      </c>
      <c r="R800" s="9" t="s">
        <v>26</v>
      </c>
      <c r="S800" s="9">
        <f t="shared" si="24"/>
        <v>56</v>
      </c>
      <c r="T800" s="10" t="str">
        <f t="shared" si="25"/>
        <v>Low</v>
      </c>
    </row>
    <row r="801" spans="1:20">
      <c r="A801" s="2">
        <v>500809</v>
      </c>
      <c r="B801" s="2">
        <v>100028</v>
      </c>
      <c r="C801" s="8">
        <v>45518</v>
      </c>
      <c r="D801" s="2">
        <v>2010</v>
      </c>
      <c r="E801" s="2">
        <v>1</v>
      </c>
      <c r="F801" s="2">
        <v>0</v>
      </c>
      <c r="G801" s="2" t="s">
        <v>20</v>
      </c>
      <c r="H801" s="2" t="s">
        <v>21</v>
      </c>
      <c r="I801" s="2">
        <v>57</v>
      </c>
      <c r="J801" s="2" t="s">
        <v>45</v>
      </c>
      <c r="K801" s="8">
        <v>45787</v>
      </c>
      <c r="L801" s="2" t="s">
        <v>41</v>
      </c>
      <c r="M801" s="2" t="s">
        <v>58</v>
      </c>
      <c r="N801" s="2" t="s">
        <v>59</v>
      </c>
      <c r="O801" s="2">
        <v>55</v>
      </c>
      <c r="P801" s="2">
        <v>55</v>
      </c>
      <c r="Q801" s="2">
        <v>55</v>
      </c>
      <c r="R801" s="9" t="s">
        <v>30</v>
      </c>
      <c r="S801" s="9">
        <f t="shared" si="24"/>
        <v>55</v>
      </c>
      <c r="T801" s="10" t="str">
        <f t="shared" si="25"/>
        <v>Low</v>
      </c>
    </row>
    <row r="802" spans="1:20">
      <c r="A802" s="2">
        <v>500810</v>
      </c>
      <c r="B802" s="2">
        <v>109359</v>
      </c>
      <c r="C802" s="8">
        <v>45892</v>
      </c>
      <c r="D802" s="2">
        <v>2001</v>
      </c>
      <c r="E802" s="2">
        <v>1</v>
      </c>
      <c r="F802" s="2">
        <v>10</v>
      </c>
      <c r="G802" s="2" t="s">
        <v>56</v>
      </c>
      <c r="H802" s="2" t="s">
        <v>21</v>
      </c>
      <c r="I802" s="2">
        <v>55</v>
      </c>
      <c r="J802" s="2" t="s">
        <v>32</v>
      </c>
      <c r="K802" s="8">
        <v>45094</v>
      </c>
      <c r="L802" s="2" t="s">
        <v>23</v>
      </c>
      <c r="M802" s="2" t="s">
        <v>50</v>
      </c>
      <c r="N802" s="2" t="s">
        <v>34</v>
      </c>
      <c r="O802" s="2">
        <v>18</v>
      </c>
      <c r="P802" s="2">
        <v>16</v>
      </c>
      <c r="Q802" s="2">
        <v>16</v>
      </c>
      <c r="R802" s="9" t="s">
        <v>26</v>
      </c>
      <c r="S802" s="9">
        <f t="shared" si="24"/>
        <v>18</v>
      </c>
      <c r="T802" s="10" t="str">
        <f t="shared" si="25"/>
        <v>Average</v>
      </c>
    </row>
    <row r="803" spans="1:20">
      <c r="A803" s="2">
        <v>500811</v>
      </c>
      <c r="B803" s="2">
        <v>104706</v>
      </c>
      <c r="C803" s="8">
        <v>46075</v>
      </c>
      <c r="D803" s="2">
        <v>2008</v>
      </c>
      <c r="E803" s="2">
        <v>1</v>
      </c>
      <c r="F803" s="2">
        <v>10</v>
      </c>
      <c r="G803" s="2" t="s">
        <v>27</v>
      </c>
      <c r="H803" s="2" t="s">
        <v>21</v>
      </c>
      <c r="I803" s="2">
        <v>29</v>
      </c>
      <c r="J803" s="2" t="s">
        <v>32</v>
      </c>
      <c r="K803" s="8">
        <v>45512</v>
      </c>
      <c r="L803" s="2" t="s">
        <v>41</v>
      </c>
      <c r="M803" s="2" t="s">
        <v>39</v>
      </c>
      <c r="N803" s="2" t="s">
        <v>25</v>
      </c>
      <c r="O803" s="2">
        <v>14</v>
      </c>
      <c r="P803" s="2">
        <v>13</v>
      </c>
      <c r="Q803" s="2">
        <v>13</v>
      </c>
      <c r="R803" s="9" t="s">
        <v>26</v>
      </c>
      <c r="S803" s="9">
        <f t="shared" si="24"/>
        <v>14</v>
      </c>
      <c r="T803" s="10" t="str">
        <f t="shared" si="25"/>
        <v>Average</v>
      </c>
    </row>
    <row r="804" spans="1:20">
      <c r="A804" s="2">
        <v>500812</v>
      </c>
      <c r="B804" s="2">
        <v>103984</v>
      </c>
      <c r="C804" s="8">
        <v>46123</v>
      </c>
      <c r="D804" s="2">
        <v>2013</v>
      </c>
      <c r="E804" s="2">
        <v>2</v>
      </c>
      <c r="F804" s="2">
        <v>15</v>
      </c>
      <c r="G804" s="2" t="s">
        <v>20</v>
      </c>
      <c r="H804" s="2" t="s">
        <v>21</v>
      </c>
      <c r="I804" s="2">
        <v>50</v>
      </c>
      <c r="J804" s="2" t="s">
        <v>22</v>
      </c>
      <c r="K804" s="8">
        <v>45275</v>
      </c>
      <c r="L804" s="2" t="s">
        <v>49</v>
      </c>
      <c r="M804" s="2" t="s">
        <v>53</v>
      </c>
      <c r="N804" s="2" t="s">
        <v>54</v>
      </c>
      <c r="O804" s="2">
        <v>7</v>
      </c>
      <c r="P804" s="2">
        <v>12</v>
      </c>
      <c r="Q804" s="2">
        <v>12</v>
      </c>
      <c r="R804" s="9" t="s">
        <v>26</v>
      </c>
      <c r="S804" s="9">
        <f t="shared" si="24"/>
        <v>14</v>
      </c>
      <c r="T804" s="10" t="str">
        <f t="shared" si="25"/>
        <v>High</v>
      </c>
    </row>
    <row r="805" spans="1:20">
      <c r="A805" s="2">
        <v>500813</v>
      </c>
      <c r="B805" s="2">
        <v>100138</v>
      </c>
      <c r="C805" s="8">
        <v>45675</v>
      </c>
      <c r="D805" s="2">
        <v>2013</v>
      </c>
      <c r="E805" s="2">
        <v>2</v>
      </c>
      <c r="F805" s="2">
        <v>15</v>
      </c>
      <c r="G805" s="2" t="s">
        <v>56</v>
      </c>
      <c r="H805" s="2" t="s">
        <v>47</v>
      </c>
      <c r="I805" s="2">
        <v>19</v>
      </c>
      <c r="J805" s="2" t="s">
        <v>32</v>
      </c>
      <c r="K805" s="8">
        <v>44980</v>
      </c>
      <c r="L805" s="2" t="s">
        <v>41</v>
      </c>
      <c r="M805" s="2" t="s">
        <v>53</v>
      </c>
      <c r="N805" s="2" t="s">
        <v>54</v>
      </c>
      <c r="O805" s="2">
        <v>7</v>
      </c>
      <c r="P805" s="2">
        <v>12</v>
      </c>
      <c r="Q805" s="2">
        <v>12</v>
      </c>
      <c r="R805" s="9" t="s">
        <v>26</v>
      </c>
      <c r="S805" s="9">
        <f t="shared" si="24"/>
        <v>14</v>
      </c>
      <c r="T805" s="10" t="str">
        <f t="shared" si="25"/>
        <v>High</v>
      </c>
    </row>
    <row r="806" spans="1:20">
      <c r="A806" s="2">
        <v>500814</v>
      </c>
      <c r="B806" s="2">
        <v>108408</v>
      </c>
      <c r="C806" s="8">
        <v>46032</v>
      </c>
      <c r="D806" s="2">
        <v>2016</v>
      </c>
      <c r="E806" s="2">
        <v>1</v>
      </c>
      <c r="F806" s="2">
        <v>0</v>
      </c>
      <c r="G806" s="2" t="s">
        <v>31</v>
      </c>
      <c r="H806" s="2" t="s">
        <v>21</v>
      </c>
      <c r="I806" s="2">
        <v>47</v>
      </c>
      <c r="J806" s="2" t="s">
        <v>48</v>
      </c>
      <c r="K806" s="8">
        <v>45616</v>
      </c>
      <c r="L806" s="2" t="s">
        <v>49</v>
      </c>
      <c r="M806" s="2" t="s">
        <v>67</v>
      </c>
      <c r="N806" s="2" t="s">
        <v>34</v>
      </c>
      <c r="O806" s="2">
        <v>21</v>
      </c>
      <c r="P806" s="2">
        <v>21</v>
      </c>
      <c r="Q806" s="2">
        <v>21</v>
      </c>
      <c r="R806" s="9" t="s">
        <v>26</v>
      </c>
      <c r="S806" s="9">
        <f t="shared" si="24"/>
        <v>21</v>
      </c>
      <c r="T806" s="10" t="str">
        <f t="shared" si="25"/>
        <v>Low</v>
      </c>
    </row>
    <row r="807" spans="1:20">
      <c r="A807" s="2">
        <v>500815</v>
      </c>
      <c r="B807" s="2">
        <v>108933</v>
      </c>
      <c r="C807" s="8">
        <v>45727</v>
      </c>
      <c r="D807" s="2">
        <v>2001</v>
      </c>
      <c r="E807" s="2">
        <v>2</v>
      </c>
      <c r="F807" s="2">
        <v>5</v>
      </c>
      <c r="G807" s="2" t="s">
        <v>27</v>
      </c>
      <c r="H807" s="2" t="s">
        <v>21</v>
      </c>
      <c r="I807" s="2">
        <v>46</v>
      </c>
      <c r="J807" s="2" t="s">
        <v>35</v>
      </c>
      <c r="K807" s="8">
        <v>45389</v>
      </c>
      <c r="L807" s="2" t="s">
        <v>23</v>
      </c>
      <c r="M807" s="2" t="s">
        <v>50</v>
      </c>
      <c r="N807" s="2" t="s">
        <v>34</v>
      </c>
      <c r="O807" s="2">
        <v>18</v>
      </c>
      <c r="P807" s="2">
        <v>34</v>
      </c>
      <c r="Q807" s="2">
        <v>34</v>
      </c>
      <c r="R807" s="9" t="s">
        <v>26</v>
      </c>
      <c r="S807" s="9">
        <f t="shared" si="24"/>
        <v>36</v>
      </c>
      <c r="T807" s="10" t="str">
        <f t="shared" si="25"/>
        <v>Low</v>
      </c>
    </row>
    <row r="808" spans="1:20">
      <c r="A808" s="2">
        <v>500816</v>
      </c>
      <c r="B808" s="2">
        <v>108745</v>
      </c>
      <c r="C808" s="8">
        <v>45514</v>
      </c>
      <c r="D808" s="2">
        <v>2008</v>
      </c>
      <c r="E808" s="2">
        <v>1</v>
      </c>
      <c r="F808" s="2">
        <v>0</v>
      </c>
      <c r="G808" s="2" t="s">
        <v>27</v>
      </c>
      <c r="H808" s="2" t="s">
        <v>21</v>
      </c>
      <c r="I808" s="2">
        <v>37</v>
      </c>
      <c r="J808" s="2" t="s">
        <v>35</v>
      </c>
      <c r="K808" s="8">
        <v>45418</v>
      </c>
      <c r="L808" s="2" t="s">
        <v>23</v>
      </c>
      <c r="M808" s="2" t="s">
        <v>39</v>
      </c>
      <c r="N808" s="2" t="s">
        <v>25</v>
      </c>
      <c r="O808" s="2">
        <v>14</v>
      </c>
      <c r="P808" s="2">
        <v>14</v>
      </c>
      <c r="Q808" s="2">
        <v>14</v>
      </c>
      <c r="R808" s="9" t="s">
        <v>30</v>
      </c>
      <c r="S808" s="9">
        <f t="shared" si="24"/>
        <v>14</v>
      </c>
      <c r="T808" s="10" t="str">
        <f t="shared" si="25"/>
        <v>Low</v>
      </c>
    </row>
    <row r="809" spans="1:20">
      <c r="A809" s="2">
        <v>500817</v>
      </c>
      <c r="B809" s="2">
        <v>105827</v>
      </c>
      <c r="C809" s="8">
        <v>45508</v>
      </c>
      <c r="D809" s="2">
        <v>2014</v>
      </c>
      <c r="E809" s="2">
        <v>2</v>
      </c>
      <c r="F809" s="2">
        <v>0</v>
      </c>
      <c r="G809" s="2" t="s">
        <v>20</v>
      </c>
      <c r="H809" s="2" t="s">
        <v>21</v>
      </c>
      <c r="I809" s="2">
        <v>25</v>
      </c>
      <c r="J809" s="2" t="s">
        <v>38</v>
      </c>
      <c r="K809" s="8">
        <v>44994</v>
      </c>
      <c r="L809" s="2" t="s">
        <v>41</v>
      </c>
      <c r="M809" s="2" t="s">
        <v>29</v>
      </c>
      <c r="N809" s="2" t="s">
        <v>25</v>
      </c>
      <c r="O809" s="2">
        <v>42</v>
      </c>
      <c r="P809" s="2">
        <v>84</v>
      </c>
      <c r="Q809" s="2">
        <v>84</v>
      </c>
      <c r="R809" s="9" t="s">
        <v>30</v>
      </c>
      <c r="S809" s="9">
        <f t="shared" si="24"/>
        <v>84</v>
      </c>
      <c r="T809" s="10" t="str">
        <f t="shared" si="25"/>
        <v>Low</v>
      </c>
    </row>
    <row r="810" spans="1:20">
      <c r="A810" s="2">
        <v>500818</v>
      </c>
      <c r="B810" s="2">
        <v>106881</v>
      </c>
      <c r="C810" s="8">
        <v>45682</v>
      </c>
      <c r="D810" s="2">
        <v>2008</v>
      </c>
      <c r="E810" s="2">
        <v>2</v>
      </c>
      <c r="F810" s="2">
        <v>10</v>
      </c>
      <c r="G810" s="2" t="s">
        <v>31</v>
      </c>
      <c r="H810" s="2" t="s">
        <v>21</v>
      </c>
      <c r="I810" s="2">
        <v>33</v>
      </c>
      <c r="J810" s="2" t="s">
        <v>35</v>
      </c>
      <c r="K810" s="8">
        <v>44981</v>
      </c>
      <c r="L810" s="2" t="s">
        <v>41</v>
      </c>
      <c r="M810" s="2" t="s">
        <v>39</v>
      </c>
      <c r="N810" s="2" t="s">
        <v>25</v>
      </c>
      <c r="O810" s="2">
        <v>14</v>
      </c>
      <c r="P810" s="2">
        <v>25</v>
      </c>
      <c r="Q810" s="2">
        <v>25</v>
      </c>
      <c r="R810" s="9" t="s">
        <v>26</v>
      </c>
      <c r="S810" s="9">
        <f t="shared" si="24"/>
        <v>28</v>
      </c>
      <c r="T810" s="10" t="str">
        <f t="shared" si="25"/>
        <v>Average</v>
      </c>
    </row>
    <row r="811" spans="1:20">
      <c r="A811" s="2">
        <v>500819</v>
      </c>
      <c r="B811" s="2">
        <v>108306</v>
      </c>
      <c r="C811" s="8">
        <v>45514</v>
      </c>
      <c r="D811" s="2">
        <v>2004</v>
      </c>
      <c r="E811" s="2">
        <v>2</v>
      </c>
      <c r="F811" s="2">
        <v>10</v>
      </c>
      <c r="G811" s="2" t="s">
        <v>20</v>
      </c>
      <c r="H811" s="2" t="s">
        <v>21</v>
      </c>
      <c r="I811" s="2">
        <v>39</v>
      </c>
      <c r="J811" s="2" t="s">
        <v>32</v>
      </c>
      <c r="K811" s="8">
        <v>45071</v>
      </c>
      <c r="L811" s="2" t="s">
        <v>23</v>
      </c>
      <c r="M811" s="2" t="s">
        <v>46</v>
      </c>
      <c r="N811" s="2" t="s">
        <v>34</v>
      </c>
      <c r="O811" s="2">
        <v>35</v>
      </c>
      <c r="P811" s="2">
        <v>63</v>
      </c>
      <c r="Q811" s="2">
        <v>63</v>
      </c>
      <c r="R811" s="9" t="s">
        <v>30</v>
      </c>
      <c r="S811" s="9">
        <f t="shared" si="24"/>
        <v>70</v>
      </c>
      <c r="T811" s="10" t="str">
        <f t="shared" si="25"/>
        <v>Average</v>
      </c>
    </row>
    <row r="812" spans="1:20">
      <c r="A812" s="2">
        <v>500820</v>
      </c>
      <c r="B812" s="2">
        <v>107791</v>
      </c>
      <c r="C812" s="8">
        <v>45318</v>
      </c>
      <c r="D812" s="2">
        <v>2001</v>
      </c>
      <c r="E812" s="2">
        <v>3</v>
      </c>
      <c r="F812" s="2">
        <v>0</v>
      </c>
      <c r="G812" s="2" t="s">
        <v>20</v>
      </c>
      <c r="H812" s="2" t="s">
        <v>21</v>
      </c>
      <c r="I812" s="2">
        <v>63</v>
      </c>
      <c r="J812" s="2" t="s">
        <v>48</v>
      </c>
      <c r="K812" s="8">
        <v>45338</v>
      </c>
      <c r="L812" s="2" t="s">
        <v>49</v>
      </c>
      <c r="M812" s="2" t="s">
        <v>50</v>
      </c>
      <c r="N812" s="2" t="s">
        <v>34</v>
      </c>
      <c r="O812" s="2">
        <v>18</v>
      </c>
      <c r="P812" s="2">
        <v>54</v>
      </c>
      <c r="Q812" s="2">
        <v>54</v>
      </c>
      <c r="R812" s="9" t="s">
        <v>30</v>
      </c>
      <c r="S812" s="9">
        <f t="shared" si="24"/>
        <v>54</v>
      </c>
      <c r="T812" s="10" t="str">
        <f t="shared" si="25"/>
        <v>Low</v>
      </c>
    </row>
    <row r="813" spans="1:20">
      <c r="A813" s="2">
        <v>500821</v>
      </c>
      <c r="B813" s="2">
        <v>104933</v>
      </c>
      <c r="C813" s="8">
        <v>45383</v>
      </c>
      <c r="D813" s="2">
        <v>2001</v>
      </c>
      <c r="E813" s="2">
        <v>3</v>
      </c>
      <c r="F813" s="2">
        <v>5</v>
      </c>
      <c r="G813" s="2" t="s">
        <v>27</v>
      </c>
      <c r="H813" s="2" t="s">
        <v>21</v>
      </c>
      <c r="I813" s="2">
        <v>61</v>
      </c>
      <c r="J813" s="2" t="s">
        <v>43</v>
      </c>
      <c r="K813" s="8">
        <v>45531</v>
      </c>
      <c r="L813" s="2" t="s">
        <v>41</v>
      </c>
      <c r="M813" s="2" t="s">
        <v>50</v>
      </c>
      <c r="N813" s="2" t="s">
        <v>34</v>
      </c>
      <c r="O813" s="2">
        <v>18</v>
      </c>
      <c r="P813" s="2">
        <v>51</v>
      </c>
      <c r="Q813" s="2">
        <v>51</v>
      </c>
      <c r="R813" s="9" t="s">
        <v>30</v>
      </c>
      <c r="S813" s="9">
        <f t="shared" si="24"/>
        <v>54</v>
      </c>
      <c r="T813" s="10" t="str">
        <f t="shared" si="25"/>
        <v>Low</v>
      </c>
    </row>
    <row r="814" spans="1:20">
      <c r="A814" s="2">
        <v>500822</v>
      </c>
      <c r="B814" s="2">
        <v>100897</v>
      </c>
      <c r="C814" s="8">
        <v>46025</v>
      </c>
      <c r="D814" s="2">
        <v>2003</v>
      </c>
      <c r="E814" s="2">
        <v>1</v>
      </c>
      <c r="F814" s="2">
        <v>0</v>
      </c>
      <c r="G814" s="2" t="s">
        <v>20</v>
      </c>
      <c r="H814" s="2" t="s">
        <v>21</v>
      </c>
      <c r="I814" s="2">
        <v>42</v>
      </c>
      <c r="J814" s="2" t="s">
        <v>32</v>
      </c>
      <c r="K814" s="8">
        <v>45360</v>
      </c>
      <c r="L814" s="2" t="s">
        <v>23</v>
      </c>
      <c r="M814" s="2" t="s">
        <v>24</v>
      </c>
      <c r="N814" s="2" t="s">
        <v>25</v>
      </c>
      <c r="O814" s="2">
        <v>9</v>
      </c>
      <c r="P814" s="2">
        <v>9</v>
      </c>
      <c r="Q814" s="2">
        <v>9</v>
      </c>
      <c r="R814" s="9" t="s">
        <v>26</v>
      </c>
      <c r="S814" s="9">
        <f t="shared" si="24"/>
        <v>9</v>
      </c>
      <c r="T814" s="10" t="str">
        <f t="shared" si="25"/>
        <v>Low</v>
      </c>
    </row>
    <row r="815" spans="1:20">
      <c r="A815" s="2">
        <v>500823</v>
      </c>
      <c r="B815" s="2">
        <v>104036</v>
      </c>
      <c r="C815" s="8">
        <v>46054</v>
      </c>
      <c r="D815" s="2">
        <v>2017</v>
      </c>
      <c r="E815" s="2">
        <v>1</v>
      </c>
      <c r="F815" s="2">
        <v>10</v>
      </c>
      <c r="G815" s="2" t="s">
        <v>27</v>
      </c>
      <c r="H815" s="2" t="s">
        <v>21</v>
      </c>
      <c r="I815" s="2">
        <v>19</v>
      </c>
      <c r="J815" s="2" t="s">
        <v>45</v>
      </c>
      <c r="K815" s="8">
        <v>45458</v>
      </c>
      <c r="L815" s="2" t="s">
        <v>41</v>
      </c>
      <c r="M815" s="2" t="s">
        <v>44</v>
      </c>
      <c r="N815" s="2" t="s">
        <v>25</v>
      </c>
      <c r="O815" s="2">
        <v>11</v>
      </c>
      <c r="P815" s="2">
        <v>10</v>
      </c>
      <c r="Q815" s="2">
        <v>10</v>
      </c>
      <c r="R815" s="9" t="s">
        <v>26</v>
      </c>
      <c r="S815" s="9">
        <f t="shared" si="24"/>
        <v>11</v>
      </c>
      <c r="T815" s="10" t="str">
        <f t="shared" si="25"/>
        <v>Average</v>
      </c>
    </row>
    <row r="816" spans="1:20">
      <c r="A816" s="2">
        <v>500824</v>
      </c>
      <c r="B816" s="2">
        <v>107912</v>
      </c>
      <c r="C816" s="8">
        <v>46046</v>
      </c>
      <c r="D816" s="2">
        <v>2011</v>
      </c>
      <c r="E816" s="2">
        <v>2</v>
      </c>
      <c r="F816" s="2">
        <v>20</v>
      </c>
      <c r="G816" s="2" t="s">
        <v>56</v>
      </c>
      <c r="H816" s="2" t="s">
        <v>47</v>
      </c>
      <c r="I816" s="2">
        <v>46</v>
      </c>
      <c r="J816" s="2" t="s">
        <v>45</v>
      </c>
      <c r="K816" s="8">
        <v>45783</v>
      </c>
      <c r="L816" s="2" t="s">
        <v>23</v>
      </c>
      <c r="M816" s="2" t="s">
        <v>42</v>
      </c>
      <c r="N816" s="2" t="s">
        <v>37</v>
      </c>
      <c r="O816" s="2">
        <v>32</v>
      </c>
      <c r="P816" s="2">
        <v>51</v>
      </c>
      <c r="Q816" s="2">
        <v>51</v>
      </c>
      <c r="R816" s="9" t="s">
        <v>26</v>
      </c>
      <c r="S816" s="9">
        <f t="shared" si="24"/>
        <v>64</v>
      </c>
      <c r="T816" s="10" t="str">
        <f t="shared" si="25"/>
        <v>High</v>
      </c>
    </row>
    <row r="817" spans="1:20">
      <c r="A817" s="2">
        <v>500825</v>
      </c>
      <c r="B817" s="2">
        <v>109685</v>
      </c>
      <c r="C817" s="8">
        <v>45770</v>
      </c>
      <c r="D817" s="2">
        <v>2005</v>
      </c>
      <c r="E817" s="2">
        <v>2</v>
      </c>
      <c r="F817" s="2">
        <v>10</v>
      </c>
      <c r="G817" s="2" t="s">
        <v>20</v>
      </c>
      <c r="H817" s="2" t="s">
        <v>21</v>
      </c>
      <c r="I817" s="2">
        <v>49</v>
      </c>
      <c r="J817" s="2" t="s">
        <v>45</v>
      </c>
      <c r="K817" s="8">
        <v>45039</v>
      </c>
      <c r="L817" s="2" t="s">
        <v>23</v>
      </c>
      <c r="M817" s="2" t="s">
        <v>51</v>
      </c>
      <c r="N817" s="2" t="s">
        <v>25</v>
      </c>
      <c r="O817" s="2">
        <v>28</v>
      </c>
      <c r="P817" s="2">
        <v>50</v>
      </c>
      <c r="Q817" s="2">
        <v>50</v>
      </c>
      <c r="R817" s="9" t="s">
        <v>26</v>
      </c>
      <c r="S817" s="9">
        <f t="shared" si="24"/>
        <v>56</v>
      </c>
      <c r="T817" s="10" t="str">
        <f t="shared" si="25"/>
        <v>Average</v>
      </c>
    </row>
    <row r="818" spans="1:20">
      <c r="A818" s="2">
        <v>500826</v>
      </c>
      <c r="B818" s="2">
        <v>101498</v>
      </c>
      <c r="C818" s="8">
        <v>46121</v>
      </c>
      <c r="D818" s="2">
        <v>2013</v>
      </c>
      <c r="E818" s="2">
        <v>1</v>
      </c>
      <c r="F818" s="2">
        <v>0</v>
      </c>
      <c r="G818" s="2" t="s">
        <v>31</v>
      </c>
      <c r="H818" s="2" t="s">
        <v>21</v>
      </c>
      <c r="I818" s="2">
        <v>55</v>
      </c>
      <c r="J818" s="2" t="s">
        <v>43</v>
      </c>
      <c r="K818" s="8">
        <v>45490</v>
      </c>
      <c r="L818" s="2" t="s">
        <v>41</v>
      </c>
      <c r="M818" s="2" t="s">
        <v>53</v>
      </c>
      <c r="N818" s="2" t="s">
        <v>54</v>
      </c>
      <c r="O818" s="2">
        <v>7</v>
      </c>
      <c r="P818" s="2">
        <v>7</v>
      </c>
      <c r="Q818" s="2">
        <v>7</v>
      </c>
      <c r="R818" s="9" t="s">
        <v>26</v>
      </c>
      <c r="S818" s="9">
        <f t="shared" si="24"/>
        <v>7</v>
      </c>
      <c r="T818" s="10" t="str">
        <f t="shared" si="25"/>
        <v>Low</v>
      </c>
    </row>
    <row r="819" spans="1:20">
      <c r="A819" s="2">
        <v>500827</v>
      </c>
      <c r="B819" s="2">
        <v>108542</v>
      </c>
      <c r="C819" s="8">
        <v>45723</v>
      </c>
      <c r="D819" s="2">
        <v>2009</v>
      </c>
      <c r="E819" s="2">
        <v>3</v>
      </c>
      <c r="F819" s="2">
        <v>15</v>
      </c>
      <c r="G819" s="2" t="s">
        <v>27</v>
      </c>
      <c r="H819" s="2" t="s">
        <v>21</v>
      </c>
      <c r="I819" s="2">
        <v>65</v>
      </c>
      <c r="J819" s="2" t="s">
        <v>28</v>
      </c>
      <c r="K819" s="8">
        <v>44978</v>
      </c>
      <c r="L819" s="2" t="s">
        <v>41</v>
      </c>
      <c r="M819" s="2" t="s">
        <v>65</v>
      </c>
      <c r="N819" s="2" t="s">
        <v>59</v>
      </c>
      <c r="O819" s="2">
        <v>120</v>
      </c>
      <c r="P819" s="2">
        <v>306</v>
      </c>
      <c r="Q819" s="2">
        <v>306</v>
      </c>
      <c r="R819" s="9" t="s">
        <v>26</v>
      </c>
      <c r="S819" s="9">
        <f t="shared" si="24"/>
        <v>360</v>
      </c>
      <c r="T819" s="10" t="str">
        <f t="shared" si="25"/>
        <v>High</v>
      </c>
    </row>
    <row r="820" spans="1:20">
      <c r="A820" s="2">
        <v>500828</v>
      </c>
      <c r="B820" s="2">
        <v>107244</v>
      </c>
      <c r="C820" s="8">
        <v>45691</v>
      </c>
      <c r="D820" s="2">
        <v>2013</v>
      </c>
      <c r="E820" s="2">
        <v>4</v>
      </c>
      <c r="F820" s="2">
        <v>10</v>
      </c>
      <c r="G820" s="2" t="s">
        <v>20</v>
      </c>
      <c r="H820" s="2" t="s">
        <v>21</v>
      </c>
      <c r="I820" s="2">
        <v>31</v>
      </c>
      <c r="J820" s="2" t="s">
        <v>22</v>
      </c>
      <c r="K820" s="8">
        <v>45819</v>
      </c>
      <c r="L820" s="2" t="s">
        <v>41</v>
      </c>
      <c r="M820" s="2" t="s">
        <v>53</v>
      </c>
      <c r="N820" s="2" t="s">
        <v>54</v>
      </c>
      <c r="O820" s="2">
        <v>7</v>
      </c>
      <c r="P820" s="2">
        <v>25</v>
      </c>
      <c r="Q820" s="2">
        <v>25</v>
      </c>
      <c r="R820" s="9" t="s">
        <v>26</v>
      </c>
      <c r="S820" s="9">
        <f t="shared" si="24"/>
        <v>28</v>
      </c>
      <c r="T820" s="10" t="str">
        <f t="shared" si="25"/>
        <v>Average</v>
      </c>
    </row>
    <row r="821" spans="1:20">
      <c r="A821" s="2">
        <v>500829</v>
      </c>
      <c r="B821" s="2">
        <v>103658</v>
      </c>
      <c r="C821" s="8">
        <v>45702</v>
      </c>
      <c r="D821" s="2">
        <v>2005</v>
      </c>
      <c r="E821" s="2">
        <v>1</v>
      </c>
      <c r="F821" s="2">
        <v>5</v>
      </c>
      <c r="G821" s="2" t="s">
        <v>56</v>
      </c>
      <c r="H821" s="2" t="s">
        <v>21</v>
      </c>
      <c r="I821" s="2">
        <v>62</v>
      </c>
      <c r="J821" s="2" t="s">
        <v>43</v>
      </c>
      <c r="K821" s="8">
        <v>45762</v>
      </c>
      <c r="L821" s="2" t="s">
        <v>23</v>
      </c>
      <c r="M821" s="2" t="s">
        <v>51</v>
      </c>
      <c r="N821" s="2" t="s">
        <v>25</v>
      </c>
      <c r="O821" s="2">
        <v>28</v>
      </c>
      <c r="P821" s="2">
        <v>27</v>
      </c>
      <c r="Q821" s="2">
        <v>27</v>
      </c>
      <c r="R821" s="9" t="s">
        <v>26</v>
      </c>
      <c r="S821" s="9">
        <f t="shared" si="24"/>
        <v>28</v>
      </c>
      <c r="T821" s="10" t="str">
        <f t="shared" si="25"/>
        <v>Low</v>
      </c>
    </row>
    <row r="822" spans="1:20">
      <c r="A822" s="2">
        <v>500830</v>
      </c>
      <c r="B822" s="2">
        <v>109559</v>
      </c>
      <c r="C822" s="8">
        <v>45511</v>
      </c>
      <c r="D822" s="2">
        <v>2013</v>
      </c>
      <c r="E822" s="2">
        <v>3</v>
      </c>
      <c r="F822" s="2">
        <v>5</v>
      </c>
      <c r="G822" s="2" t="s">
        <v>20</v>
      </c>
      <c r="H822" s="2" t="s">
        <v>21</v>
      </c>
      <c r="I822" s="2">
        <v>55</v>
      </c>
      <c r="J822" s="2" t="s">
        <v>32</v>
      </c>
      <c r="K822" s="8">
        <v>45949</v>
      </c>
      <c r="L822" s="2" t="s">
        <v>23</v>
      </c>
      <c r="M822" s="2" t="s">
        <v>53</v>
      </c>
      <c r="N822" s="2" t="s">
        <v>54</v>
      </c>
      <c r="O822" s="2">
        <v>7</v>
      </c>
      <c r="P822" s="2">
        <v>20</v>
      </c>
      <c r="Q822" s="2">
        <v>20</v>
      </c>
      <c r="R822" s="9" t="s">
        <v>30</v>
      </c>
      <c r="S822" s="9">
        <f t="shared" si="24"/>
        <v>21</v>
      </c>
      <c r="T822" s="10" t="str">
        <f t="shared" si="25"/>
        <v>Low</v>
      </c>
    </row>
    <row r="823" spans="1:20">
      <c r="A823" s="2">
        <v>500831</v>
      </c>
      <c r="B823" s="2">
        <v>100489</v>
      </c>
      <c r="C823" s="8">
        <v>45822</v>
      </c>
      <c r="D823" s="2">
        <v>2018</v>
      </c>
      <c r="E823" s="2">
        <v>2</v>
      </c>
      <c r="F823" s="2">
        <v>0</v>
      </c>
      <c r="G823" s="2" t="s">
        <v>27</v>
      </c>
      <c r="H823" s="2" t="s">
        <v>21</v>
      </c>
      <c r="I823" s="2">
        <v>54</v>
      </c>
      <c r="J823" s="2" t="s">
        <v>43</v>
      </c>
      <c r="K823" s="8">
        <v>45449</v>
      </c>
      <c r="L823" s="2" t="s">
        <v>23</v>
      </c>
      <c r="M823" s="2" t="s">
        <v>64</v>
      </c>
      <c r="N823" s="2" t="s">
        <v>34</v>
      </c>
      <c r="O823" s="2">
        <v>85</v>
      </c>
      <c r="P823" s="2">
        <v>170</v>
      </c>
      <c r="Q823" s="2">
        <v>170</v>
      </c>
      <c r="R823" s="9" t="s">
        <v>26</v>
      </c>
      <c r="S823" s="9">
        <f t="shared" si="24"/>
        <v>170</v>
      </c>
      <c r="T823" s="10" t="str">
        <f t="shared" si="25"/>
        <v>Low</v>
      </c>
    </row>
    <row r="824" spans="1:20">
      <c r="A824" s="2">
        <v>500832</v>
      </c>
      <c r="B824" s="2">
        <v>102846</v>
      </c>
      <c r="C824" s="8">
        <v>45680</v>
      </c>
      <c r="D824" s="2">
        <v>2014</v>
      </c>
      <c r="E824" s="2">
        <v>2</v>
      </c>
      <c r="F824" s="2">
        <v>0</v>
      </c>
      <c r="G824" s="2" t="s">
        <v>27</v>
      </c>
      <c r="H824" s="2" t="s">
        <v>21</v>
      </c>
      <c r="I824" s="2">
        <v>39</v>
      </c>
      <c r="J824" s="2" t="s">
        <v>32</v>
      </c>
      <c r="K824" s="8">
        <v>45593</v>
      </c>
      <c r="L824" s="2" t="s">
        <v>23</v>
      </c>
      <c r="M824" s="2" t="s">
        <v>29</v>
      </c>
      <c r="N824" s="2" t="s">
        <v>25</v>
      </c>
      <c r="O824" s="2">
        <v>42</v>
      </c>
      <c r="P824" s="2">
        <v>84</v>
      </c>
      <c r="Q824" s="2">
        <v>84</v>
      </c>
      <c r="R824" s="9" t="s">
        <v>26</v>
      </c>
      <c r="S824" s="9">
        <f t="shared" si="24"/>
        <v>84</v>
      </c>
      <c r="T824" s="10" t="str">
        <f t="shared" si="25"/>
        <v>Low</v>
      </c>
    </row>
    <row r="825" spans="1:20">
      <c r="A825" s="2">
        <v>500833</v>
      </c>
      <c r="B825" s="2">
        <v>100806</v>
      </c>
      <c r="C825" s="8">
        <v>46171</v>
      </c>
      <c r="D825" s="2">
        <v>2004</v>
      </c>
      <c r="E825" s="2">
        <v>1</v>
      </c>
      <c r="F825" s="2">
        <v>10</v>
      </c>
      <c r="G825" s="2" t="s">
        <v>56</v>
      </c>
      <c r="H825" s="2" t="s">
        <v>21</v>
      </c>
      <c r="I825" s="2">
        <v>55</v>
      </c>
      <c r="J825" s="2" t="s">
        <v>38</v>
      </c>
      <c r="K825" s="8">
        <v>45107</v>
      </c>
      <c r="L825" s="2" t="s">
        <v>49</v>
      </c>
      <c r="M825" s="2" t="s">
        <v>46</v>
      </c>
      <c r="N825" s="2" t="s">
        <v>34</v>
      </c>
      <c r="O825" s="2">
        <v>35</v>
      </c>
      <c r="P825" s="2">
        <v>32</v>
      </c>
      <c r="Q825" s="2">
        <v>32</v>
      </c>
      <c r="R825" s="9" t="s">
        <v>26</v>
      </c>
      <c r="S825" s="9">
        <f t="shared" si="24"/>
        <v>35</v>
      </c>
      <c r="T825" s="10" t="str">
        <f t="shared" si="25"/>
        <v>Average</v>
      </c>
    </row>
    <row r="826" spans="1:20">
      <c r="A826" s="2">
        <v>500834</v>
      </c>
      <c r="B826" s="2">
        <v>104801</v>
      </c>
      <c r="C826" s="8">
        <v>45440</v>
      </c>
      <c r="D826" s="2">
        <v>2015</v>
      </c>
      <c r="E826" s="2">
        <v>2</v>
      </c>
      <c r="F826" s="2">
        <v>0</v>
      </c>
      <c r="G826" s="2" t="s">
        <v>20</v>
      </c>
      <c r="H826" s="2" t="s">
        <v>21</v>
      </c>
      <c r="I826" s="2">
        <v>47</v>
      </c>
      <c r="J826" s="2" t="s">
        <v>32</v>
      </c>
      <c r="K826" s="8">
        <v>45160</v>
      </c>
      <c r="L826" s="2" t="s">
        <v>41</v>
      </c>
      <c r="M826" s="2" t="s">
        <v>66</v>
      </c>
      <c r="N826" s="2" t="s">
        <v>34</v>
      </c>
      <c r="O826" s="2">
        <v>58</v>
      </c>
      <c r="P826" s="2">
        <v>116</v>
      </c>
      <c r="Q826" s="2">
        <v>116</v>
      </c>
      <c r="R826" s="9" t="s">
        <v>30</v>
      </c>
      <c r="S826" s="9">
        <f t="shared" si="24"/>
        <v>116</v>
      </c>
      <c r="T826" s="10" t="str">
        <f t="shared" si="25"/>
        <v>Low</v>
      </c>
    </row>
    <row r="827" spans="1:20">
      <c r="A827" s="2">
        <v>500835</v>
      </c>
      <c r="B827" s="2">
        <v>107575</v>
      </c>
      <c r="C827" s="8">
        <v>45358</v>
      </c>
      <c r="D827" s="2">
        <v>2003</v>
      </c>
      <c r="E827" s="2">
        <v>5</v>
      </c>
      <c r="F827" s="2">
        <v>15</v>
      </c>
      <c r="G827" s="2" t="s">
        <v>27</v>
      </c>
      <c r="H827" s="2" t="s">
        <v>21</v>
      </c>
      <c r="I827" s="2">
        <v>43</v>
      </c>
      <c r="J827" s="2" t="s">
        <v>48</v>
      </c>
      <c r="K827" s="8">
        <v>45607</v>
      </c>
      <c r="L827" s="2" t="s">
        <v>23</v>
      </c>
      <c r="M827" s="2" t="s">
        <v>24</v>
      </c>
      <c r="N827" s="2" t="s">
        <v>25</v>
      </c>
      <c r="O827" s="2">
        <v>9</v>
      </c>
      <c r="P827" s="2">
        <v>38</v>
      </c>
      <c r="Q827" s="2">
        <v>38</v>
      </c>
      <c r="R827" s="9" t="s">
        <v>30</v>
      </c>
      <c r="S827" s="9">
        <f t="shared" si="24"/>
        <v>45</v>
      </c>
      <c r="T827" s="10" t="str">
        <f t="shared" si="25"/>
        <v>High</v>
      </c>
    </row>
    <row r="828" spans="1:20">
      <c r="A828" s="2">
        <v>500836</v>
      </c>
      <c r="B828" s="2">
        <v>104715</v>
      </c>
      <c r="C828" s="8">
        <v>45595</v>
      </c>
      <c r="D828" s="2">
        <v>2006</v>
      </c>
      <c r="E828" s="2">
        <v>1</v>
      </c>
      <c r="F828" s="2">
        <v>5</v>
      </c>
      <c r="G828" s="2" t="s">
        <v>20</v>
      </c>
      <c r="H828" s="2" t="s">
        <v>21</v>
      </c>
      <c r="I828" s="2">
        <v>19</v>
      </c>
      <c r="J828" s="2" t="s">
        <v>32</v>
      </c>
      <c r="K828" s="8">
        <v>45794</v>
      </c>
      <c r="L828" s="2" t="s">
        <v>23</v>
      </c>
      <c r="M828" s="2" t="s">
        <v>57</v>
      </c>
      <c r="N828" s="2" t="s">
        <v>34</v>
      </c>
      <c r="O828" s="2">
        <v>48</v>
      </c>
      <c r="P828" s="2">
        <v>46</v>
      </c>
      <c r="Q828" s="2">
        <v>46</v>
      </c>
      <c r="R828" s="9" t="s">
        <v>30</v>
      </c>
      <c r="S828" s="9">
        <f t="shared" si="24"/>
        <v>48</v>
      </c>
      <c r="T828" s="10" t="str">
        <f t="shared" si="25"/>
        <v>Low</v>
      </c>
    </row>
    <row r="829" spans="1:20">
      <c r="A829" s="2">
        <v>500837</v>
      </c>
      <c r="B829" s="2">
        <v>103925</v>
      </c>
      <c r="C829" s="8">
        <v>45478</v>
      </c>
      <c r="D829" s="2">
        <v>2004</v>
      </c>
      <c r="E829" s="2">
        <v>4</v>
      </c>
      <c r="F829" s="2">
        <v>20</v>
      </c>
      <c r="G829" s="2" t="s">
        <v>27</v>
      </c>
      <c r="H829" s="2" t="s">
        <v>21</v>
      </c>
      <c r="I829" s="2">
        <v>48</v>
      </c>
      <c r="J829" s="2" t="s">
        <v>43</v>
      </c>
      <c r="K829" s="8">
        <v>45705</v>
      </c>
      <c r="L829" s="2" t="s">
        <v>23</v>
      </c>
      <c r="M829" s="2" t="s">
        <v>46</v>
      </c>
      <c r="N829" s="2" t="s">
        <v>34</v>
      </c>
      <c r="O829" s="2">
        <v>35</v>
      </c>
      <c r="P829" s="2">
        <v>112</v>
      </c>
      <c r="Q829" s="2">
        <v>112</v>
      </c>
      <c r="R829" s="9" t="s">
        <v>30</v>
      </c>
      <c r="S829" s="9">
        <f t="shared" si="24"/>
        <v>140</v>
      </c>
      <c r="T829" s="10" t="str">
        <f t="shared" si="25"/>
        <v>High</v>
      </c>
    </row>
    <row r="830" spans="1:20">
      <c r="A830" s="2">
        <v>500838</v>
      </c>
      <c r="B830" s="2">
        <v>101896</v>
      </c>
      <c r="C830" s="8">
        <v>46193</v>
      </c>
      <c r="D830" s="2">
        <v>2019</v>
      </c>
      <c r="E830" s="2">
        <v>2</v>
      </c>
      <c r="F830" s="2">
        <v>10</v>
      </c>
      <c r="G830" s="2" t="s">
        <v>31</v>
      </c>
      <c r="H830" s="2" t="s">
        <v>47</v>
      </c>
      <c r="I830" s="2">
        <v>58</v>
      </c>
      <c r="J830" s="2" t="s">
        <v>32</v>
      </c>
      <c r="K830" s="8">
        <v>45235</v>
      </c>
      <c r="L830" s="2" t="s">
        <v>23</v>
      </c>
      <c r="M830" s="2" t="s">
        <v>60</v>
      </c>
      <c r="N830" s="2" t="s">
        <v>34</v>
      </c>
      <c r="O830" s="2">
        <v>260</v>
      </c>
      <c r="P830" s="2">
        <v>468</v>
      </c>
      <c r="Q830" s="2">
        <v>468</v>
      </c>
      <c r="R830" s="9" t="s">
        <v>26</v>
      </c>
      <c r="S830" s="9">
        <f t="shared" si="24"/>
        <v>520</v>
      </c>
      <c r="T830" s="10" t="str">
        <f t="shared" si="25"/>
        <v>Average</v>
      </c>
    </row>
    <row r="831" spans="1:20">
      <c r="A831" s="2">
        <v>500839</v>
      </c>
      <c r="B831" s="2">
        <v>103382</v>
      </c>
      <c r="C831" s="8">
        <v>45774</v>
      </c>
      <c r="D831" s="2">
        <v>2004</v>
      </c>
      <c r="E831" s="2">
        <v>2</v>
      </c>
      <c r="F831" s="2">
        <v>0</v>
      </c>
      <c r="G831" s="2" t="s">
        <v>20</v>
      </c>
      <c r="H831" s="2" t="s">
        <v>21</v>
      </c>
      <c r="I831" s="2">
        <v>55</v>
      </c>
      <c r="J831" s="2" t="s">
        <v>35</v>
      </c>
      <c r="K831" s="8">
        <v>45100</v>
      </c>
      <c r="L831" s="2" t="s">
        <v>23</v>
      </c>
      <c r="M831" s="2" t="s">
        <v>46</v>
      </c>
      <c r="N831" s="2" t="s">
        <v>34</v>
      </c>
      <c r="O831" s="2">
        <v>35</v>
      </c>
      <c r="P831" s="2">
        <v>70</v>
      </c>
      <c r="Q831" s="2">
        <v>70</v>
      </c>
      <c r="R831" s="9" t="s">
        <v>26</v>
      </c>
      <c r="S831" s="9">
        <f t="shared" si="24"/>
        <v>70</v>
      </c>
      <c r="T831" s="10" t="str">
        <f t="shared" si="25"/>
        <v>Low</v>
      </c>
    </row>
    <row r="832" spans="1:20">
      <c r="A832" s="2">
        <v>500840</v>
      </c>
      <c r="B832" s="2">
        <v>100189</v>
      </c>
      <c r="C832" s="8">
        <v>45602</v>
      </c>
      <c r="D832" s="2">
        <v>2013</v>
      </c>
      <c r="E832" s="2">
        <v>3</v>
      </c>
      <c r="F832" s="2">
        <v>20</v>
      </c>
      <c r="G832" s="2" t="s">
        <v>20</v>
      </c>
      <c r="H832" s="2" t="s">
        <v>21</v>
      </c>
      <c r="I832" s="2">
        <v>29</v>
      </c>
      <c r="J832" s="2" t="s">
        <v>52</v>
      </c>
      <c r="K832" s="8">
        <v>45537</v>
      </c>
      <c r="L832" s="2" t="s">
        <v>23</v>
      </c>
      <c r="M832" s="2" t="s">
        <v>53</v>
      </c>
      <c r="N832" s="2" t="s">
        <v>54</v>
      </c>
      <c r="O832" s="2">
        <v>7</v>
      </c>
      <c r="P832" s="2">
        <v>17</v>
      </c>
      <c r="Q832" s="2">
        <v>17</v>
      </c>
      <c r="R832" s="9" t="s">
        <v>30</v>
      </c>
      <c r="S832" s="9">
        <f t="shared" si="24"/>
        <v>21</v>
      </c>
      <c r="T832" s="10" t="str">
        <f t="shared" si="25"/>
        <v>High</v>
      </c>
    </row>
    <row r="833" spans="1:20">
      <c r="A833" s="2">
        <v>500841</v>
      </c>
      <c r="B833" s="2">
        <v>105929</v>
      </c>
      <c r="C833" s="8">
        <v>45847</v>
      </c>
      <c r="D833" s="2">
        <v>2013</v>
      </c>
      <c r="E833" s="2">
        <v>2</v>
      </c>
      <c r="F833" s="2">
        <v>20</v>
      </c>
      <c r="G833" s="2" t="s">
        <v>20</v>
      </c>
      <c r="H833" s="2" t="s">
        <v>21</v>
      </c>
      <c r="I833" s="2">
        <v>23</v>
      </c>
      <c r="J833" s="2" t="s">
        <v>52</v>
      </c>
      <c r="K833" s="8">
        <v>45948</v>
      </c>
      <c r="L833" s="2" t="s">
        <v>41</v>
      </c>
      <c r="M833" s="2" t="s">
        <v>53</v>
      </c>
      <c r="N833" s="2" t="s">
        <v>54</v>
      </c>
      <c r="O833" s="2">
        <v>7</v>
      </c>
      <c r="P833" s="2">
        <v>11</v>
      </c>
      <c r="Q833" s="2">
        <v>11</v>
      </c>
      <c r="R833" s="9" t="s">
        <v>26</v>
      </c>
      <c r="S833" s="9">
        <f t="shared" si="24"/>
        <v>14</v>
      </c>
      <c r="T833" s="10" t="str">
        <f t="shared" si="25"/>
        <v>High</v>
      </c>
    </row>
    <row r="834" spans="1:20">
      <c r="A834" s="2">
        <v>500842</v>
      </c>
      <c r="B834" s="2">
        <v>107630</v>
      </c>
      <c r="C834" s="8">
        <v>45683</v>
      </c>
      <c r="D834" s="2">
        <v>2001</v>
      </c>
      <c r="E834" s="2">
        <v>2</v>
      </c>
      <c r="F834" s="2">
        <v>0</v>
      </c>
      <c r="G834" s="2" t="s">
        <v>20</v>
      </c>
      <c r="H834" s="2" t="s">
        <v>21</v>
      </c>
      <c r="I834" s="2">
        <v>38</v>
      </c>
      <c r="J834" s="2" t="s">
        <v>38</v>
      </c>
      <c r="K834" s="8">
        <v>45552</v>
      </c>
      <c r="L834" s="2" t="s">
        <v>41</v>
      </c>
      <c r="M834" s="2" t="s">
        <v>50</v>
      </c>
      <c r="N834" s="2" t="s">
        <v>34</v>
      </c>
      <c r="O834" s="2">
        <v>18</v>
      </c>
      <c r="P834" s="2">
        <v>36</v>
      </c>
      <c r="Q834" s="2">
        <v>36</v>
      </c>
      <c r="R834" s="9" t="s">
        <v>26</v>
      </c>
      <c r="S834" s="9">
        <f t="shared" ref="S834:S897" si="26">SUM(E834*O834)</f>
        <v>36</v>
      </c>
      <c r="T834" s="10" t="str">
        <f t="shared" ref="T834:T897" si="27">IF(F834&lt;=5,"Low",IF(F834&lt;=10,"Average",IF(F834&gt;10,"High")))</f>
        <v>Low</v>
      </c>
    </row>
    <row r="835" spans="1:20">
      <c r="A835" s="2">
        <v>500843</v>
      </c>
      <c r="B835" s="2">
        <v>107221</v>
      </c>
      <c r="C835" s="8">
        <v>45472</v>
      </c>
      <c r="D835" s="2">
        <v>2006</v>
      </c>
      <c r="E835" s="2">
        <v>1</v>
      </c>
      <c r="F835" s="2">
        <v>5</v>
      </c>
      <c r="G835" s="2" t="s">
        <v>31</v>
      </c>
      <c r="H835" s="2" t="s">
        <v>21</v>
      </c>
      <c r="I835" s="2">
        <v>35</v>
      </c>
      <c r="J835" s="2" t="s">
        <v>38</v>
      </c>
      <c r="K835" s="8">
        <v>45873</v>
      </c>
      <c r="L835" s="2" t="s">
        <v>41</v>
      </c>
      <c r="M835" s="2" t="s">
        <v>57</v>
      </c>
      <c r="N835" s="2" t="s">
        <v>34</v>
      </c>
      <c r="O835" s="2">
        <v>48</v>
      </c>
      <c r="P835" s="2">
        <v>46</v>
      </c>
      <c r="Q835" s="2">
        <v>46</v>
      </c>
      <c r="R835" s="9" t="s">
        <v>30</v>
      </c>
      <c r="S835" s="9">
        <f t="shared" si="26"/>
        <v>48</v>
      </c>
      <c r="T835" s="10" t="str">
        <f t="shared" si="27"/>
        <v>Low</v>
      </c>
    </row>
    <row r="836" spans="1:20">
      <c r="A836" s="2">
        <v>500844</v>
      </c>
      <c r="B836" s="2">
        <v>108910</v>
      </c>
      <c r="C836" s="8">
        <v>45632</v>
      </c>
      <c r="D836" s="2">
        <v>2006</v>
      </c>
      <c r="E836" s="2">
        <v>4</v>
      </c>
      <c r="F836" s="2">
        <v>15</v>
      </c>
      <c r="G836" s="2" t="s">
        <v>27</v>
      </c>
      <c r="H836" s="2" t="s">
        <v>21</v>
      </c>
      <c r="I836" s="2">
        <v>43</v>
      </c>
      <c r="J836" s="2" t="s">
        <v>45</v>
      </c>
      <c r="K836" s="8">
        <v>45550</v>
      </c>
      <c r="L836" s="2" t="s">
        <v>41</v>
      </c>
      <c r="M836" s="2" t="s">
        <v>57</v>
      </c>
      <c r="N836" s="2" t="s">
        <v>34</v>
      </c>
      <c r="O836" s="2">
        <v>48</v>
      </c>
      <c r="P836" s="2">
        <v>163</v>
      </c>
      <c r="Q836" s="2">
        <v>163</v>
      </c>
      <c r="R836" s="9" t="s">
        <v>30</v>
      </c>
      <c r="S836" s="9">
        <f t="shared" si="26"/>
        <v>192</v>
      </c>
      <c r="T836" s="10" t="str">
        <f t="shared" si="27"/>
        <v>High</v>
      </c>
    </row>
    <row r="837" spans="1:20">
      <c r="A837" s="2">
        <v>500845</v>
      </c>
      <c r="B837" s="2">
        <v>104620</v>
      </c>
      <c r="C837" s="8">
        <v>45539</v>
      </c>
      <c r="D837" s="2">
        <v>2009</v>
      </c>
      <c r="E837" s="2">
        <v>5</v>
      </c>
      <c r="F837" s="2">
        <v>0</v>
      </c>
      <c r="G837" s="2" t="s">
        <v>31</v>
      </c>
      <c r="H837" s="2" t="s">
        <v>21</v>
      </c>
      <c r="I837" s="2">
        <v>61</v>
      </c>
      <c r="J837" s="2" t="s">
        <v>38</v>
      </c>
      <c r="K837" s="8">
        <v>45942</v>
      </c>
      <c r="L837" s="2" t="s">
        <v>23</v>
      </c>
      <c r="M837" s="2" t="s">
        <v>65</v>
      </c>
      <c r="N837" s="2" t="s">
        <v>59</v>
      </c>
      <c r="O837" s="2">
        <v>120</v>
      </c>
      <c r="P837" s="2">
        <v>600</v>
      </c>
      <c r="Q837" s="2">
        <v>600</v>
      </c>
      <c r="R837" s="9" t="s">
        <v>30</v>
      </c>
      <c r="S837" s="9">
        <f t="shared" si="26"/>
        <v>600</v>
      </c>
      <c r="T837" s="10" t="str">
        <f t="shared" si="27"/>
        <v>Low</v>
      </c>
    </row>
    <row r="838" spans="1:20">
      <c r="A838" s="2">
        <v>500846</v>
      </c>
      <c r="B838" s="2">
        <v>102684</v>
      </c>
      <c r="C838" s="8">
        <v>45842</v>
      </c>
      <c r="D838" s="2">
        <v>2003</v>
      </c>
      <c r="E838" s="2">
        <v>1</v>
      </c>
      <c r="F838" s="2">
        <v>10</v>
      </c>
      <c r="G838" s="2" t="s">
        <v>27</v>
      </c>
      <c r="H838" s="2" t="s">
        <v>21</v>
      </c>
      <c r="I838" s="2">
        <v>56</v>
      </c>
      <c r="J838" s="2" t="s">
        <v>55</v>
      </c>
      <c r="K838" s="8">
        <v>45666</v>
      </c>
      <c r="L838" s="2" t="s">
        <v>41</v>
      </c>
      <c r="M838" s="2" t="s">
        <v>24</v>
      </c>
      <c r="N838" s="2" t="s">
        <v>25</v>
      </c>
      <c r="O838" s="2">
        <v>9</v>
      </c>
      <c r="P838" s="2">
        <v>8</v>
      </c>
      <c r="Q838" s="2">
        <v>8</v>
      </c>
      <c r="R838" s="9" t="s">
        <v>26</v>
      </c>
      <c r="S838" s="9">
        <f t="shared" si="26"/>
        <v>9</v>
      </c>
      <c r="T838" s="10" t="str">
        <f t="shared" si="27"/>
        <v>Average</v>
      </c>
    </row>
    <row r="839" spans="1:20">
      <c r="A839" s="2">
        <v>500847</v>
      </c>
      <c r="B839" s="2">
        <v>105045</v>
      </c>
      <c r="C839" s="8">
        <v>45997</v>
      </c>
      <c r="D839" s="2">
        <v>2003</v>
      </c>
      <c r="E839" s="2">
        <v>2</v>
      </c>
      <c r="F839" s="2">
        <v>10</v>
      </c>
      <c r="G839" s="2" t="s">
        <v>31</v>
      </c>
      <c r="H839" s="2" t="s">
        <v>40</v>
      </c>
      <c r="I839" s="2">
        <v>56</v>
      </c>
      <c r="J839" s="2" t="s">
        <v>45</v>
      </c>
      <c r="K839" s="8">
        <v>45793</v>
      </c>
      <c r="L839" s="2" t="s">
        <v>41</v>
      </c>
      <c r="M839" s="2" t="s">
        <v>24</v>
      </c>
      <c r="N839" s="2" t="s">
        <v>25</v>
      </c>
      <c r="O839" s="2">
        <v>9</v>
      </c>
      <c r="P839" s="2">
        <v>16</v>
      </c>
      <c r="Q839" s="2">
        <v>16</v>
      </c>
      <c r="R839" s="9" t="s">
        <v>26</v>
      </c>
      <c r="S839" s="9">
        <f t="shared" si="26"/>
        <v>18</v>
      </c>
      <c r="T839" s="10" t="str">
        <f t="shared" si="27"/>
        <v>Average</v>
      </c>
    </row>
    <row r="840" spans="1:20">
      <c r="A840" s="2">
        <v>500848</v>
      </c>
      <c r="B840" s="2">
        <v>106725</v>
      </c>
      <c r="C840" s="8">
        <v>45519</v>
      </c>
      <c r="D840" s="2">
        <v>2003</v>
      </c>
      <c r="E840" s="2">
        <v>2</v>
      </c>
      <c r="F840" s="2">
        <v>15</v>
      </c>
      <c r="G840" s="2" t="s">
        <v>20</v>
      </c>
      <c r="H840" s="2" t="s">
        <v>21</v>
      </c>
      <c r="I840" s="2">
        <v>31</v>
      </c>
      <c r="J840" s="2" t="s">
        <v>32</v>
      </c>
      <c r="K840" s="8">
        <v>45809</v>
      </c>
      <c r="L840" s="2" t="s">
        <v>23</v>
      </c>
      <c r="M840" s="2" t="s">
        <v>24</v>
      </c>
      <c r="N840" s="2" t="s">
        <v>25</v>
      </c>
      <c r="O840" s="2">
        <v>9</v>
      </c>
      <c r="P840" s="2">
        <v>15</v>
      </c>
      <c r="Q840" s="2">
        <v>15</v>
      </c>
      <c r="R840" s="9" t="s">
        <v>30</v>
      </c>
      <c r="S840" s="9">
        <f t="shared" si="26"/>
        <v>18</v>
      </c>
      <c r="T840" s="10" t="str">
        <f t="shared" si="27"/>
        <v>High</v>
      </c>
    </row>
    <row r="841" spans="1:20">
      <c r="A841" s="2">
        <v>500849</v>
      </c>
      <c r="B841" s="2">
        <v>107274</v>
      </c>
      <c r="C841" s="8">
        <v>45828</v>
      </c>
      <c r="D841" s="2">
        <v>2006</v>
      </c>
      <c r="E841" s="2">
        <v>1</v>
      </c>
      <c r="F841" s="2">
        <v>10</v>
      </c>
      <c r="G841" s="2" t="s">
        <v>20</v>
      </c>
      <c r="H841" s="2" t="s">
        <v>21</v>
      </c>
      <c r="I841" s="2">
        <v>57</v>
      </c>
      <c r="J841" s="2" t="s">
        <v>32</v>
      </c>
      <c r="K841" s="8">
        <v>45798</v>
      </c>
      <c r="L841" s="2" t="s">
        <v>41</v>
      </c>
      <c r="M841" s="2" t="s">
        <v>57</v>
      </c>
      <c r="N841" s="2" t="s">
        <v>34</v>
      </c>
      <c r="O841" s="2">
        <v>48</v>
      </c>
      <c r="P841" s="2">
        <v>43</v>
      </c>
      <c r="Q841" s="2">
        <v>43</v>
      </c>
      <c r="R841" s="9" t="s">
        <v>26</v>
      </c>
      <c r="S841" s="9">
        <f t="shared" si="26"/>
        <v>48</v>
      </c>
      <c r="T841" s="10" t="str">
        <f t="shared" si="27"/>
        <v>Average</v>
      </c>
    </row>
    <row r="842" spans="1:20">
      <c r="A842" s="2">
        <v>500850</v>
      </c>
      <c r="B842" s="2">
        <v>106121</v>
      </c>
      <c r="C842" s="8">
        <v>45904</v>
      </c>
      <c r="D842" s="2">
        <v>2003</v>
      </c>
      <c r="E842" s="2">
        <v>2</v>
      </c>
      <c r="F842" s="2">
        <v>5</v>
      </c>
      <c r="G842" s="2" t="s">
        <v>31</v>
      </c>
      <c r="H842" s="2" t="s">
        <v>21</v>
      </c>
      <c r="I842" s="2">
        <v>29</v>
      </c>
      <c r="J842" s="2" t="s">
        <v>52</v>
      </c>
      <c r="K842" s="8">
        <v>45141</v>
      </c>
      <c r="L842" s="2" t="s">
        <v>23</v>
      </c>
      <c r="M842" s="2" t="s">
        <v>24</v>
      </c>
      <c r="N842" s="2" t="s">
        <v>25</v>
      </c>
      <c r="O842" s="2">
        <v>9</v>
      </c>
      <c r="P842" s="2">
        <v>17</v>
      </c>
      <c r="Q842" s="2">
        <v>17</v>
      </c>
      <c r="R842" s="9" t="s">
        <v>26</v>
      </c>
      <c r="S842" s="9">
        <f t="shared" si="26"/>
        <v>18</v>
      </c>
      <c r="T842" s="10" t="str">
        <f t="shared" si="27"/>
        <v>Low</v>
      </c>
    </row>
    <row r="843" spans="1:20">
      <c r="A843" s="2">
        <v>500851</v>
      </c>
      <c r="B843" s="2">
        <v>101674</v>
      </c>
      <c r="C843" s="8">
        <v>45611</v>
      </c>
      <c r="D843" s="2">
        <v>2003</v>
      </c>
      <c r="E843" s="2">
        <v>1</v>
      </c>
      <c r="F843" s="2">
        <v>5</v>
      </c>
      <c r="G843" s="2" t="s">
        <v>27</v>
      </c>
      <c r="H843" s="2" t="s">
        <v>21</v>
      </c>
      <c r="I843" s="2">
        <v>54</v>
      </c>
      <c r="J843" s="2" t="s">
        <v>43</v>
      </c>
      <c r="K843" s="8">
        <v>45070</v>
      </c>
      <c r="L843" s="2" t="s">
        <v>41</v>
      </c>
      <c r="M843" s="2" t="s">
        <v>24</v>
      </c>
      <c r="N843" s="2" t="s">
        <v>25</v>
      </c>
      <c r="O843" s="2">
        <v>9</v>
      </c>
      <c r="P843" s="2">
        <v>9</v>
      </c>
      <c r="Q843" s="2">
        <v>9</v>
      </c>
      <c r="R843" s="9" t="s">
        <v>30</v>
      </c>
      <c r="S843" s="9">
        <f t="shared" si="26"/>
        <v>9</v>
      </c>
      <c r="T843" s="10" t="str">
        <f t="shared" si="27"/>
        <v>Low</v>
      </c>
    </row>
    <row r="844" spans="1:20">
      <c r="A844" s="2">
        <v>500852</v>
      </c>
      <c r="B844" s="2">
        <v>103246</v>
      </c>
      <c r="C844" s="8">
        <v>45713</v>
      </c>
      <c r="D844" s="2">
        <v>2011</v>
      </c>
      <c r="E844" s="2">
        <v>1</v>
      </c>
      <c r="F844" s="2">
        <v>10</v>
      </c>
      <c r="G844" s="2" t="s">
        <v>20</v>
      </c>
      <c r="H844" s="2" t="s">
        <v>21</v>
      </c>
      <c r="I844" s="2">
        <v>56</v>
      </c>
      <c r="J844" s="2" t="s">
        <v>32</v>
      </c>
      <c r="K844" s="8">
        <v>45681</v>
      </c>
      <c r="L844" s="2" t="s">
        <v>49</v>
      </c>
      <c r="M844" s="2" t="s">
        <v>42</v>
      </c>
      <c r="N844" s="2" t="s">
        <v>37</v>
      </c>
      <c r="O844" s="2">
        <v>32</v>
      </c>
      <c r="P844" s="2">
        <v>29</v>
      </c>
      <c r="Q844" s="2">
        <v>29</v>
      </c>
      <c r="R844" s="9" t="s">
        <v>26</v>
      </c>
      <c r="S844" s="9">
        <f t="shared" si="26"/>
        <v>32</v>
      </c>
      <c r="T844" s="10" t="str">
        <f t="shared" si="27"/>
        <v>Average</v>
      </c>
    </row>
    <row r="845" spans="1:20">
      <c r="A845" s="2">
        <v>500853</v>
      </c>
      <c r="B845" s="2">
        <v>101254</v>
      </c>
      <c r="C845" s="8">
        <v>45602</v>
      </c>
      <c r="D845" s="2">
        <v>2004</v>
      </c>
      <c r="E845" s="2">
        <v>1</v>
      </c>
      <c r="F845" s="2">
        <v>0</v>
      </c>
      <c r="G845" s="2" t="s">
        <v>31</v>
      </c>
      <c r="H845" s="2" t="s">
        <v>21</v>
      </c>
      <c r="I845" s="2">
        <v>56</v>
      </c>
      <c r="J845" s="2" t="s">
        <v>45</v>
      </c>
      <c r="K845" s="8">
        <v>45419</v>
      </c>
      <c r="L845" s="2" t="s">
        <v>23</v>
      </c>
      <c r="M845" s="2" t="s">
        <v>46</v>
      </c>
      <c r="N845" s="2" t="s">
        <v>34</v>
      </c>
      <c r="O845" s="2">
        <v>35</v>
      </c>
      <c r="P845" s="2">
        <v>35</v>
      </c>
      <c r="Q845" s="2">
        <v>35</v>
      </c>
      <c r="R845" s="9" t="s">
        <v>30</v>
      </c>
      <c r="S845" s="9">
        <f t="shared" si="26"/>
        <v>35</v>
      </c>
      <c r="T845" s="10" t="str">
        <f t="shared" si="27"/>
        <v>Low</v>
      </c>
    </row>
    <row r="846" spans="1:20">
      <c r="A846" s="2">
        <v>500854</v>
      </c>
      <c r="B846" s="2">
        <v>102732</v>
      </c>
      <c r="C846" s="8">
        <v>45614</v>
      </c>
      <c r="D846" s="2">
        <v>2001</v>
      </c>
      <c r="E846" s="2">
        <v>1</v>
      </c>
      <c r="F846" s="2">
        <v>5</v>
      </c>
      <c r="G846" s="2" t="s">
        <v>20</v>
      </c>
      <c r="H846" s="2" t="s">
        <v>21</v>
      </c>
      <c r="I846" s="2">
        <v>43</v>
      </c>
      <c r="J846" s="2" t="s">
        <v>43</v>
      </c>
      <c r="K846" s="8">
        <v>44967</v>
      </c>
      <c r="L846" s="2" t="s">
        <v>23</v>
      </c>
      <c r="M846" s="2" t="s">
        <v>50</v>
      </c>
      <c r="N846" s="2" t="s">
        <v>34</v>
      </c>
      <c r="O846" s="2">
        <v>18</v>
      </c>
      <c r="P846" s="2">
        <v>17</v>
      </c>
      <c r="Q846" s="2">
        <v>17</v>
      </c>
      <c r="R846" s="9" t="s">
        <v>30</v>
      </c>
      <c r="S846" s="9">
        <f t="shared" si="26"/>
        <v>18</v>
      </c>
      <c r="T846" s="10" t="str">
        <f t="shared" si="27"/>
        <v>Low</v>
      </c>
    </row>
    <row r="847" spans="1:20">
      <c r="A847" s="2">
        <v>500855</v>
      </c>
      <c r="B847" s="2">
        <v>103931</v>
      </c>
      <c r="C847" s="8">
        <v>45677</v>
      </c>
      <c r="D847" s="2">
        <v>2014</v>
      </c>
      <c r="E847" s="2">
        <v>1</v>
      </c>
      <c r="F847" s="2">
        <v>15</v>
      </c>
      <c r="G847" s="2" t="s">
        <v>20</v>
      </c>
      <c r="H847" s="2" t="s">
        <v>21</v>
      </c>
      <c r="I847" s="2">
        <v>52</v>
      </c>
      <c r="J847" s="2" t="s">
        <v>48</v>
      </c>
      <c r="K847" s="8">
        <v>45017</v>
      </c>
      <c r="L847" s="2" t="s">
        <v>23</v>
      </c>
      <c r="M847" s="2" t="s">
        <v>29</v>
      </c>
      <c r="N847" s="2" t="s">
        <v>25</v>
      </c>
      <c r="O847" s="2">
        <v>42</v>
      </c>
      <c r="P847" s="2">
        <v>36</v>
      </c>
      <c r="Q847" s="2">
        <v>36</v>
      </c>
      <c r="R847" s="9" t="s">
        <v>26</v>
      </c>
      <c r="S847" s="9">
        <f t="shared" si="26"/>
        <v>42</v>
      </c>
      <c r="T847" s="10" t="str">
        <f t="shared" si="27"/>
        <v>High</v>
      </c>
    </row>
    <row r="848" spans="1:20">
      <c r="A848" s="2">
        <v>500856</v>
      </c>
      <c r="B848" s="2">
        <v>108703</v>
      </c>
      <c r="C848" s="8">
        <v>45547</v>
      </c>
      <c r="D848" s="2">
        <v>2002</v>
      </c>
      <c r="E848" s="2">
        <v>2</v>
      </c>
      <c r="F848" s="2">
        <v>0</v>
      </c>
      <c r="G848" s="2" t="s">
        <v>20</v>
      </c>
      <c r="H848" s="2" t="s">
        <v>21</v>
      </c>
      <c r="I848" s="2">
        <v>65</v>
      </c>
      <c r="J848" s="2" t="s">
        <v>32</v>
      </c>
      <c r="K848" s="8">
        <v>45649</v>
      </c>
      <c r="L848" s="2" t="s">
        <v>23</v>
      </c>
      <c r="M848" s="2" t="s">
        <v>33</v>
      </c>
      <c r="N848" s="2" t="s">
        <v>34</v>
      </c>
      <c r="O848" s="2">
        <v>62</v>
      </c>
      <c r="P848" s="2">
        <v>124</v>
      </c>
      <c r="Q848" s="2">
        <v>124</v>
      </c>
      <c r="R848" s="9" t="s">
        <v>30</v>
      </c>
      <c r="S848" s="9">
        <f t="shared" si="26"/>
        <v>124</v>
      </c>
      <c r="T848" s="10" t="str">
        <f t="shared" si="27"/>
        <v>Low</v>
      </c>
    </row>
    <row r="849" spans="1:20">
      <c r="A849" s="2">
        <v>500857</v>
      </c>
      <c r="B849" s="2">
        <v>103720</v>
      </c>
      <c r="C849" s="8">
        <v>45713</v>
      </c>
      <c r="D849" s="2">
        <v>2017</v>
      </c>
      <c r="E849" s="2">
        <v>1</v>
      </c>
      <c r="F849" s="2">
        <v>30</v>
      </c>
      <c r="G849" s="2" t="s">
        <v>20</v>
      </c>
      <c r="H849" s="2" t="s">
        <v>21</v>
      </c>
      <c r="I849" s="2">
        <v>30</v>
      </c>
      <c r="J849" s="2" t="s">
        <v>32</v>
      </c>
      <c r="K849" s="8">
        <v>45820</v>
      </c>
      <c r="L849" s="2" t="s">
        <v>23</v>
      </c>
      <c r="M849" s="2" t="s">
        <v>44</v>
      </c>
      <c r="N849" s="2" t="s">
        <v>25</v>
      </c>
      <c r="O849" s="2">
        <v>11</v>
      </c>
      <c r="P849" s="2">
        <v>8</v>
      </c>
      <c r="Q849" s="2">
        <v>8</v>
      </c>
      <c r="R849" s="9" t="s">
        <v>26</v>
      </c>
      <c r="S849" s="9">
        <f t="shared" si="26"/>
        <v>11</v>
      </c>
      <c r="T849" s="10" t="str">
        <f t="shared" si="27"/>
        <v>High</v>
      </c>
    </row>
    <row r="850" spans="1:20">
      <c r="A850" s="2">
        <v>500858</v>
      </c>
      <c r="B850" s="2">
        <v>103975</v>
      </c>
      <c r="C850" s="8">
        <v>45941</v>
      </c>
      <c r="D850" s="2">
        <v>2005</v>
      </c>
      <c r="E850" s="2">
        <v>1</v>
      </c>
      <c r="F850" s="2">
        <v>0</v>
      </c>
      <c r="G850" s="2" t="s">
        <v>20</v>
      </c>
      <c r="H850" s="2" t="s">
        <v>21</v>
      </c>
      <c r="I850" s="2">
        <v>22</v>
      </c>
      <c r="J850" s="2" t="s">
        <v>45</v>
      </c>
      <c r="K850" s="8">
        <v>46009</v>
      </c>
      <c r="L850" s="2" t="s">
        <v>23</v>
      </c>
      <c r="M850" s="2" t="s">
        <v>51</v>
      </c>
      <c r="N850" s="2" t="s">
        <v>25</v>
      </c>
      <c r="O850" s="2">
        <v>28</v>
      </c>
      <c r="P850" s="2">
        <v>28</v>
      </c>
      <c r="Q850" s="2">
        <v>28</v>
      </c>
      <c r="R850" s="9" t="s">
        <v>26</v>
      </c>
      <c r="S850" s="9">
        <f t="shared" si="26"/>
        <v>28</v>
      </c>
      <c r="T850" s="10" t="str">
        <f t="shared" si="27"/>
        <v>Low</v>
      </c>
    </row>
    <row r="851" spans="1:20">
      <c r="A851" s="2">
        <v>500859</v>
      </c>
      <c r="B851" s="2">
        <v>106315</v>
      </c>
      <c r="C851" s="8">
        <v>45632</v>
      </c>
      <c r="D851" s="2">
        <v>2020</v>
      </c>
      <c r="E851" s="2">
        <v>4</v>
      </c>
      <c r="F851" s="2">
        <v>0</v>
      </c>
      <c r="G851" s="2" t="s">
        <v>27</v>
      </c>
      <c r="H851" s="2" t="s">
        <v>21</v>
      </c>
      <c r="I851" s="2">
        <v>58</v>
      </c>
      <c r="J851" s="2" t="s">
        <v>32</v>
      </c>
      <c r="K851" s="8">
        <v>45169</v>
      </c>
      <c r="L851" s="2" t="s">
        <v>23</v>
      </c>
      <c r="M851" s="2" t="s">
        <v>62</v>
      </c>
      <c r="N851" s="2" t="s">
        <v>63</v>
      </c>
      <c r="O851" s="2">
        <v>68</v>
      </c>
      <c r="P851" s="2">
        <v>272</v>
      </c>
      <c r="Q851" s="2">
        <v>272</v>
      </c>
      <c r="R851" s="9" t="s">
        <v>30</v>
      </c>
      <c r="S851" s="9">
        <f t="shared" si="26"/>
        <v>272</v>
      </c>
      <c r="T851" s="10" t="str">
        <f t="shared" si="27"/>
        <v>Low</v>
      </c>
    </row>
    <row r="852" spans="1:20">
      <c r="A852" s="2">
        <v>500860</v>
      </c>
      <c r="B852" s="2">
        <v>109971</v>
      </c>
      <c r="C852" s="8">
        <v>46134</v>
      </c>
      <c r="D852" s="2">
        <v>2008</v>
      </c>
      <c r="E852" s="2">
        <v>5</v>
      </c>
      <c r="F852" s="2">
        <v>10</v>
      </c>
      <c r="G852" s="2" t="s">
        <v>20</v>
      </c>
      <c r="H852" s="2" t="s">
        <v>21</v>
      </c>
      <c r="I852" s="2">
        <v>27</v>
      </c>
      <c r="J852" s="2" t="s">
        <v>38</v>
      </c>
      <c r="K852" s="8">
        <v>45734</v>
      </c>
      <c r="L852" s="2" t="s">
        <v>23</v>
      </c>
      <c r="M852" s="2" t="s">
        <v>39</v>
      </c>
      <c r="N852" s="2" t="s">
        <v>25</v>
      </c>
      <c r="O852" s="2">
        <v>14</v>
      </c>
      <c r="P852" s="2">
        <v>63</v>
      </c>
      <c r="Q852" s="2">
        <v>63</v>
      </c>
      <c r="R852" s="9" t="s">
        <v>26</v>
      </c>
      <c r="S852" s="9">
        <f t="shared" si="26"/>
        <v>70</v>
      </c>
      <c r="T852" s="10" t="str">
        <f t="shared" si="27"/>
        <v>Average</v>
      </c>
    </row>
    <row r="853" spans="1:20">
      <c r="A853" s="2">
        <v>500861</v>
      </c>
      <c r="B853" s="2">
        <v>102793</v>
      </c>
      <c r="C853" s="8">
        <v>45480</v>
      </c>
      <c r="D853" s="2">
        <v>2012</v>
      </c>
      <c r="E853" s="2">
        <v>1</v>
      </c>
      <c r="F853" s="2">
        <v>10</v>
      </c>
      <c r="G853" s="2" t="s">
        <v>31</v>
      </c>
      <c r="H853" s="2" t="s">
        <v>21</v>
      </c>
      <c r="I853" s="2">
        <v>52</v>
      </c>
      <c r="J853" s="2" t="s">
        <v>32</v>
      </c>
      <c r="K853" s="8">
        <v>45232</v>
      </c>
      <c r="L853" s="2" t="s">
        <v>41</v>
      </c>
      <c r="M853" s="2" t="s">
        <v>36</v>
      </c>
      <c r="N853" s="2" t="s">
        <v>37</v>
      </c>
      <c r="O853" s="2">
        <v>180</v>
      </c>
      <c r="P853" s="2">
        <v>162</v>
      </c>
      <c r="Q853" s="2">
        <v>162</v>
      </c>
      <c r="R853" s="9" t="s">
        <v>30</v>
      </c>
      <c r="S853" s="9">
        <f t="shared" si="26"/>
        <v>180</v>
      </c>
      <c r="T853" s="10" t="str">
        <f t="shared" si="27"/>
        <v>Average</v>
      </c>
    </row>
    <row r="854" spans="1:20">
      <c r="A854" s="2">
        <v>500862</v>
      </c>
      <c r="B854" s="2">
        <v>108319</v>
      </c>
      <c r="C854" s="8">
        <v>45680</v>
      </c>
      <c r="D854" s="2">
        <v>2006</v>
      </c>
      <c r="E854" s="2">
        <v>2</v>
      </c>
      <c r="F854" s="2">
        <v>10</v>
      </c>
      <c r="G854" s="2" t="s">
        <v>20</v>
      </c>
      <c r="H854" s="2" t="s">
        <v>21</v>
      </c>
      <c r="I854" s="2">
        <v>29</v>
      </c>
      <c r="J854" s="2" t="s">
        <v>38</v>
      </c>
      <c r="K854" s="8">
        <v>45076</v>
      </c>
      <c r="L854" s="2" t="s">
        <v>41</v>
      </c>
      <c r="M854" s="2" t="s">
        <v>57</v>
      </c>
      <c r="N854" s="2" t="s">
        <v>34</v>
      </c>
      <c r="O854" s="2">
        <v>48</v>
      </c>
      <c r="P854" s="2">
        <v>86</v>
      </c>
      <c r="Q854" s="2">
        <v>86</v>
      </c>
      <c r="R854" s="9" t="s">
        <v>26</v>
      </c>
      <c r="S854" s="9">
        <f t="shared" si="26"/>
        <v>96</v>
      </c>
      <c r="T854" s="10" t="str">
        <f t="shared" si="27"/>
        <v>Average</v>
      </c>
    </row>
    <row r="855" spans="1:20">
      <c r="A855" s="2">
        <v>500863</v>
      </c>
      <c r="B855" s="2">
        <v>109255</v>
      </c>
      <c r="C855" s="8">
        <v>45811</v>
      </c>
      <c r="D855" s="2">
        <v>2001</v>
      </c>
      <c r="E855" s="2">
        <v>1</v>
      </c>
      <c r="F855" s="2">
        <v>5</v>
      </c>
      <c r="G855" s="2" t="s">
        <v>56</v>
      </c>
      <c r="H855" s="2" t="s">
        <v>21</v>
      </c>
      <c r="I855" s="2">
        <v>59</v>
      </c>
      <c r="J855" s="2" t="s">
        <v>52</v>
      </c>
      <c r="K855" s="8">
        <v>45581</v>
      </c>
      <c r="L855" s="2" t="s">
        <v>41</v>
      </c>
      <c r="M855" s="2" t="s">
        <v>50</v>
      </c>
      <c r="N855" s="2" t="s">
        <v>34</v>
      </c>
      <c r="O855" s="2">
        <v>18</v>
      </c>
      <c r="P855" s="2">
        <v>17</v>
      </c>
      <c r="Q855" s="2">
        <v>17</v>
      </c>
      <c r="R855" s="9" t="s">
        <v>26</v>
      </c>
      <c r="S855" s="9">
        <f t="shared" si="26"/>
        <v>18</v>
      </c>
      <c r="T855" s="10" t="str">
        <f t="shared" si="27"/>
        <v>Low</v>
      </c>
    </row>
    <row r="856" spans="1:20">
      <c r="A856" s="2">
        <v>500864</v>
      </c>
      <c r="B856" s="2">
        <v>108344</v>
      </c>
      <c r="C856" s="8">
        <v>45761</v>
      </c>
      <c r="D856" s="2">
        <v>2016</v>
      </c>
      <c r="E856" s="2">
        <v>1</v>
      </c>
      <c r="F856" s="2">
        <v>5</v>
      </c>
      <c r="G856" s="2" t="s">
        <v>27</v>
      </c>
      <c r="H856" s="2" t="s">
        <v>21</v>
      </c>
      <c r="I856" s="2">
        <v>51</v>
      </c>
      <c r="J856" s="2" t="s">
        <v>32</v>
      </c>
      <c r="K856" s="8">
        <v>45716</v>
      </c>
      <c r="L856" s="2" t="s">
        <v>23</v>
      </c>
      <c r="M856" s="2" t="s">
        <v>67</v>
      </c>
      <c r="N856" s="2" t="s">
        <v>34</v>
      </c>
      <c r="O856" s="2">
        <v>21</v>
      </c>
      <c r="P856" s="2">
        <v>20</v>
      </c>
      <c r="Q856" s="2">
        <v>20</v>
      </c>
      <c r="R856" s="9" t="s">
        <v>26</v>
      </c>
      <c r="S856" s="9">
        <f t="shared" si="26"/>
        <v>21</v>
      </c>
      <c r="T856" s="10" t="str">
        <f t="shared" si="27"/>
        <v>Low</v>
      </c>
    </row>
    <row r="857" spans="1:20">
      <c r="A857" s="2">
        <v>500865</v>
      </c>
      <c r="B857" s="2">
        <v>101683</v>
      </c>
      <c r="C857" s="8">
        <v>46136</v>
      </c>
      <c r="D857" s="2">
        <v>2005</v>
      </c>
      <c r="E857" s="2">
        <v>2</v>
      </c>
      <c r="F857" s="2">
        <v>0</v>
      </c>
      <c r="G857" s="2" t="s">
        <v>31</v>
      </c>
      <c r="H857" s="2" t="s">
        <v>21</v>
      </c>
      <c r="I857" s="2">
        <v>19</v>
      </c>
      <c r="J857" s="2" t="s">
        <v>35</v>
      </c>
      <c r="K857" s="8">
        <v>45774</v>
      </c>
      <c r="L857" s="2" t="s">
        <v>23</v>
      </c>
      <c r="M857" s="2" t="s">
        <v>51</v>
      </c>
      <c r="N857" s="2" t="s">
        <v>25</v>
      </c>
      <c r="O857" s="2">
        <v>28</v>
      </c>
      <c r="P857" s="2">
        <v>56</v>
      </c>
      <c r="Q857" s="2">
        <v>56</v>
      </c>
      <c r="R857" s="9" t="s">
        <v>26</v>
      </c>
      <c r="S857" s="9">
        <f t="shared" si="26"/>
        <v>56</v>
      </c>
      <c r="T857" s="10" t="str">
        <f t="shared" si="27"/>
        <v>Low</v>
      </c>
    </row>
    <row r="858" spans="1:20">
      <c r="A858" s="2">
        <v>500866</v>
      </c>
      <c r="B858" s="2">
        <v>102178</v>
      </c>
      <c r="C858" s="8">
        <v>45572</v>
      </c>
      <c r="D858" s="2">
        <v>2011</v>
      </c>
      <c r="E858" s="2">
        <v>2</v>
      </c>
      <c r="F858" s="2">
        <v>0</v>
      </c>
      <c r="G858" s="2" t="s">
        <v>20</v>
      </c>
      <c r="H858" s="2" t="s">
        <v>21</v>
      </c>
      <c r="I858" s="2">
        <v>41</v>
      </c>
      <c r="J858" s="2" t="s">
        <v>28</v>
      </c>
      <c r="K858" s="8">
        <v>45635</v>
      </c>
      <c r="L858" s="2" t="s">
        <v>41</v>
      </c>
      <c r="M858" s="2" t="s">
        <v>42</v>
      </c>
      <c r="N858" s="2" t="s">
        <v>37</v>
      </c>
      <c r="O858" s="2">
        <v>32</v>
      </c>
      <c r="P858" s="2">
        <v>64</v>
      </c>
      <c r="Q858" s="2">
        <v>64</v>
      </c>
      <c r="R858" s="9" t="s">
        <v>30</v>
      </c>
      <c r="S858" s="9">
        <f t="shared" si="26"/>
        <v>64</v>
      </c>
      <c r="T858" s="10" t="str">
        <f t="shared" si="27"/>
        <v>Low</v>
      </c>
    </row>
    <row r="859" spans="1:20">
      <c r="A859" s="2">
        <v>500867</v>
      </c>
      <c r="B859" s="2">
        <v>107818</v>
      </c>
      <c r="C859" s="8">
        <v>45618</v>
      </c>
      <c r="D859" s="2">
        <v>2014</v>
      </c>
      <c r="E859" s="2">
        <v>2</v>
      </c>
      <c r="F859" s="2">
        <v>10</v>
      </c>
      <c r="G859" s="2" t="s">
        <v>20</v>
      </c>
      <c r="H859" s="2" t="s">
        <v>21</v>
      </c>
      <c r="I859" s="2">
        <v>44</v>
      </c>
      <c r="J859" s="2" t="s">
        <v>55</v>
      </c>
      <c r="K859" s="8">
        <v>45113</v>
      </c>
      <c r="L859" s="2" t="s">
        <v>41</v>
      </c>
      <c r="M859" s="2" t="s">
        <v>29</v>
      </c>
      <c r="N859" s="2" t="s">
        <v>25</v>
      </c>
      <c r="O859" s="2">
        <v>42</v>
      </c>
      <c r="P859" s="2">
        <v>76</v>
      </c>
      <c r="Q859" s="2">
        <v>76</v>
      </c>
      <c r="R859" s="9" t="s">
        <v>30</v>
      </c>
      <c r="S859" s="9">
        <f t="shared" si="26"/>
        <v>84</v>
      </c>
      <c r="T859" s="10" t="str">
        <f t="shared" si="27"/>
        <v>Average</v>
      </c>
    </row>
    <row r="860" spans="1:20">
      <c r="A860" s="2">
        <v>500868</v>
      </c>
      <c r="B860" s="2">
        <v>104149</v>
      </c>
      <c r="C860" s="8">
        <v>45806</v>
      </c>
      <c r="D860" s="2">
        <v>2002</v>
      </c>
      <c r="E860" s="2">
        <v>2</v>
      </c>
      <c r="F860" s="2">
        <v>0</v>
      </c>
      <c r="G860" s="2" t="s">
        <v>20</v>
      </c>
      <c r="H860" s="2" t="s">
        <v>21</v>
      </c>
      <c r="I860" s="2">
        <v>59</v>
      </c>
      <c r="J860" s="2" t="s">
        <v>45</v>
      </c>
      <c r="K860" s="8">
        <v>45476</v>
      </c>
      <c r="L860" s="2" t="s">
        <v>41</v>
      </c>
      <c r="M860" s="2" t="s">
        <v>33</v>
      </c>
      <c r="N860" s="2" t="s">
        <v>34</v>
      </c>
      <c r="O860" s="2">
        <v>62</v>
      </c>
      <c r="P860" s="2">
        <v>124</v>
      </c>
      <c r="Q860" s="2">
        <v>124</v>
      </c>
      <c r="R860" s="9" t="s">
        <v>26</v>
      </c>
      <c r="S860" s="9">
        <f t="shared" si="26"/>
        <v>124</v>
      </c>
      <c r="T860" s="10" t="str">
        <f t="shared" si="27"/>
        <v>Low</v>
      </c>
    </row>
    <row r="861" spans="1:20">
      <c r="A861" s="2">
        <v>500869</v>
      </c>
      <c r="B861" s="2">
        <v>104721</v>
      </c>
      <c r="C861" s="8">
        <v>45807</v>
      </c>
      <c r="D861" s="2">
        <v>2003</v>
      </c>
      <c r="E861" s="2">
        <v>1</v>
      </c>
      <c r="F861" s="2">
        <v>0</v>
      </c>
      <c r="G861" s="2" t="s">
        <v>31</v>
      </c>
      <c r="H861" s="2" t="s">
        <v>21</v>
      </c>
      <c r="I861" s="2">
        <v>45</v>
      </c>
      <c r="J861" s="2" t="s">
        <v>38</v>
      </c>
      <c r="K861" s="8">
        <v>45480</v>
      </c>
      <c r="L861" s="2" t="s">
        <v>23</v>
      </c>
      <c r="M861" s="2" t="s">
        <v>24</v>
      </c>
      <c r="N861" s="2" t="s">
        <v>25</v>
      </c>
      <c r="O861" s="2">
        <v>9</v>
      </c>
      <c r="P861" s="2">
        <v>9</v>
      </c>
      <c r="Q861" s="2">
        <v>9</v>
      </c>
      <c r="R861" s="9" t="s">
        <v>26</v>
      </c>
      <c r="S861" s="9">
        <f t="shared" si="26"/>
        <v>9</v>
      </c>
      <c r="T861" s="10" t="str">
        <f t="shared" si="27"/>
        <v>Low</v>
      </c>
    </row>
    <row r="862" spans="1:20">
      <c r="A862" s="2">
        <v>500870</v>
      </c>
      <c r="B862" s="2">
        <v>101220</v>
      </c>
      <c r="C862" s="8">
        <v>45972</v>
      </c>
      <c r="D862" s="2">
        <v>2007</v>
      </c>
      <c r="E862" s="2">
        <v>1</v>
      </c>
      <c r="F862" s="2">
        <v>0</v>
      </c>
      <c r="G862" s="2" t="s">
        <v>31</v>
      </c>
      <c r="H862" s="2" t="s">
        <v>21</v>
      </c>
      <c r="I862" s="2">
        <v>39</v>
      </c>
      <c r="J862" s="2" t="s">
        <v>43</v>
      </c>
      <c r="K862" s="8">
        <v>45544</v>
      </c>
      <c r="L862" s="2" t="s">
        <v>23</v>
      </c>
      <c r="M862" s="2" t="s">
        <v>61</v>
      </c>
      <c r="N862" s="2" t="s">
        <v>34</v>
      </c>
      <c r="O862" s="2">
        <v>75</v>
      </c>
      <c r="P862" s="2">
        <v>75</v>
      </c>
      <c r="Q862" s="2">
        <v>75</v>
      </c>
      <c r="R862" s="9" t="s">
        <v>26</v>
      </c>
      <c r="S862" s="9">
        <f t="shared" si="26"/>
        <v>75</v>
      </c>
      <c r="T862" s="10" t="str">
        <f t="shared" si="27"/>
        <v>Low</v>
      </c>
    </row>
    <row r="863" spans="1:20">
      <c r="A863" s="2">
        <v>500871</v>
      </c>
      <c r="B863" s="2">
        <v>101637</v>
      </c>
      <c r="C863" s="8">
        <v>45978</v>
      </c>
      <c r="D863" s="2">
        <v>2008</v>
      </c>
      <c r="E863" s="2">
        <v>1</v>
      </c>
      <c r="F863" s="2">
        <v>0</v>
      </c>
      <c r="G863" s="2" t="s">
        <v>27</v>
      </c>
      <c r="H863" s="2" t="s">
        <v>21</v>
      </c>
      <c r="I863" s="2">
        <v>25</v>
      </c>
      <c r="J863" s="2" t="s">
        <v>32</v>
      </c>
      <c r="K863" s="8">
        <v>45687</v>
      </c>
      <c r="L863" s="2" t="s">
        <v>41</v>
      </c>
      <c r="M863" s="2" t="s">
        <v>39</v>
      </c>
      <c r="N863" s="2" t="s">
        <v>25</v>
      </c>
      <c r="O863" s="2">
        <v>14</v>
      </c>
      <c r="P863" s="2">
        <v>14</v>
      </c>
      <c r="Q863" s="2">
        <v>14</v>
      </c>
      <c r="R863" s="9" t="s">
        <v>26</v>
      </c>
      <c r="S863" s="9">
        <f t="shared" si="26"/>
        <v>14</v>
      </c>
      <c r="T863" s="10" t="str">
        <f t="shared" si="27"/>
        <v>Low</v>
      </c>
    </row>
    <row r="864" spans="1:20">
      <c r="A864" s="2">
        <v>500872</v>
      </c>
      <c r="B864" s="2">
        <v>103764</v>
      </c>
      <c r="C864" s="8">
        <v>45301</v>
      </c>
      <c r="D864" s="2">
        <v>2018</v>
      </c>
      <c r="E864" s="2">
        <v>2</v>
      </c>
      <c r="F864" s="2">
        <v>0</v>
      </c>
      <c r="G864" s="2" t="s">
        <v>31</v>
      </c>
      <c r="H864" s="2" t="s">
        <v>21</v>
      </c>
      <c r="I864" s="2">
        <v>48</v>
      </c>
      <c r="J864" s="2" t="s">
        <v>48</v>
      </c>
      <c r="K864" s="8">
        <v>44968</v>
      </c>
      <c r="L864" s="2" t="s">
        <v>41</v>
      </c>
      <c r="M864" s="2" t="s">
        <v>64</v>
      </c>
      <c r="N864" s="2" t="s">
        <v>34</v>
      </c>
      <c r="O864" s="2">
        <v>85</v>
      </c>
      <c r="P864" s="2">
        <v>170</v>
      </c>
      <c r="Q864" s="2">
        <v>170</v>
      </c>
      <c r="R864" s="9" t="s">
        <v>30</v>
      </c>
      <c r="S864" s="9">
        <f t="shared" si="26"/>
        <v>170</v>
      </c>
      <c r="T864" s="10" t="str">
        <f t="shared" si="27"/>
        <v>Low</v>
      </c>
    </row>
    <row r="865" spans="1:20">
      <c r="A865" s="2">
        <v>500873</v>
      </c>
      <c r="B865" s="2">
        <v>107070</v>
      </c>
      <c r="C865" s="8">
        <v>45952</v>
      </c>
      <c r="D865" s="2">
        <v>2007</v>
      </c>
      <c r="E865" s="2">
        <v>2</v>
      </c>
      <c r="F865" s="2">
        <v>10</v>
      </c>
      <c r="G865" s="2" t="s">
        <v>20</v>
      </c>
      <c r="H865" s="2" t="s">
        <v>21</v>
      </c>
      <c r="I865" s="2">
        <v>51</v>
      </c>
      <c r="J865" s="2" t="s">
        <v>48</v>
      </c>
      <c r="K865" s="8">
        <v>45286</v>
      </c>
      <c r="L865" s="2" t="s">
        <v>41</v>
      </c>
      <c r="M865" s="2" t="s">
        <v>61</v>
      </c>
      <c r="N865" s="2" t="s">
        <v>34</v>
      </c>
      <c r="O865" s="2">
        <v>75</v>
      </c>
      <c r="P865" s="2">
        <v>135</v>
      </c>
      <c r="Q865" s="2">
        <v>135</v>
      </c>
      <c r="R865" s="9" t="s">
        <v>26</v>
      </c>
      <c r="S865" s="9">
        <f t="shared" si="26"/>
        <v>150</v>
      </c>
      <c r="T865" s="10" t="str">
        <f t="shared" si="27"/>
        <v>Average</v>
      </c>
    </row>
    <row r="866" spans="1:20">
      <c r="A866" s="2">
        <v>500874</v>
      </c>
      <c r="B866" s="2">
        <v>109980</v>
      </c>
      <c r="C866" s="8">
        <v>45912</v>
      </c>
      <c r="D866" s="2">
        <v>2015</v>
      </c>
      <c r="E866" s="2">
        <v>1</v>
      </c>
      <c r="F866" s="2">
        <v>5</v>
      </c>
      <c r="G866" s="2" t="s">
        <v>56</v>
      </c>
      <c r="H866" s="2" t="s">
        <v>21</v>
      </c>
      <c r="I866" s="2">
        <v>22</v>
      </c>
      <c r="J866" s="2" t="s">
        <v>48</v>
      </c>
      <c r="K866" s="8">
        <v>45403</v>
      </c>
      <c r="L866" s="2" t="s">
        <v>41</v>
      </c>
      <c r="M866" s="2" t="s">
        <v>66</v>
      </c>
      <c r="N866" s="2" t="s">
        <v>34</v>
      </c>
      <c r="O866" s="2">
        <v>58</v>
      </c>
      <c r="P866" s="2">
        <v>55</v>
      </c>
      <c r="Q866" s="2">
        <v>55</v>
      </c>
      <c r="R866" s="9" t="s">
        <v>26</v>
      </c>
      <c r="S866" s="9">
        <f t="shared" si="26"/>
        <v>58</v>
      </c>
      <c r="T866" s="10" t="str">
        <f t="shared" si="27"/>
        <v>Low</v>
      </c>
    </row>
    <row r="867" spans="1:20">
      <c r="A867" s="2">
        <v>500875</v>
      </c>
      <c r="B867" s="2">
        <v>100769</v>
      </c>
      <c r="C867" s="8">
        <v>45798</v>
      </c>
      <c r="D867" s="2">
        <v>2005</v>
      </c>
      <c r="E867" s="2">
        <v>1</v>
      </c>
      <c r="F867" s="2">
        <v>5</v>
      </c>
      <c r="G867" s="2" t="s">
        <v>31</v>
      </c>
      <c r="H867" s="2" t="s">
        <v>21</v>
      </c>
      <c r="I867" s="2">
        <v>24</v>
      </c>
      <c r="J867" s="2" t="s">
        <v>45</v>
      </c>
      <c r="K867" s="8">
        <v>45646</v>
      </c>
      <c r="L867" s="2" t="s">
        <v>41</v>
      </c>
      <c r="M867" s="2" t="s">
        <v>51</v>
      </c>
      <c r="N867" s="2" t="s">
        <v>25</v>
      </c>
      <c r="O867" s="2">
        <v>28</v>
      </c>
      <c r="P867" s="2">
        <v>27</v>
      </c>
      <c r="Q867" s="2">
        <v>27</v>
      </c>
      <c r="R867" s="9" t="s">
        <v>26</v>
      </c>
      <c r="S867" s="9">
        <f t="shared" si="26"/>
        <v>28</v>
      </c>
      <c r="T867" s="10" t="str">
        <f t="shared" si="27"/>
        <v>Low</v>
      </c>
    </row>
    <row r="868" spans="1:20">
      <c r="A868" s="2">
        <v>500876</v>
      </c>
      <c r="B868" s="2">
        <v>106324</v>
      </c>
      <c r="C868" s="8">
        <v>45565</v>
      </c>
      <c r="D868" s="2">
        <v>2010</v>
      </c>
      <c r="E868" s="2">
        <v>2</v>
      </c>
      <c r="F868" s="2">
        <v>5</v>
      </c>
      <c r="G868" s="2" t="s">
        <v>27</v>
      </c>
      <c r="H868" s="2" t="s">
        <v>21</v>
      </c>
      <c r="I868" s="2">
        <v>64</v>
      </c>
      <c r="J868" s="2" t="s">
        <v>55</v>
      </c>
      <c r="K868" s="8">
        <v>45738</v>
      </c>
      <c r="L868" s="2" t="s">
        <v>41</v>
      </c>
      <c r="M868" s="2" t="s">
        <v>58</v>
      </c>
      <c r="N868" s="2" t="s">
        <v>59</v>
      </c>
      <c r="O868" s="2">
        <v>55</v>
      </c>
      <c r="P868" s="2">
        <v>104</v>
      </c>
      <c r="Q868" s="2">
        <v>104</v>
      </c>
      <c r="R868" s="9" t="s">
        <v>30</v>
      </c>
      <c r="S868" s="9">
        <f t="shared" si="26"/>
        <v>110</v>
      </c>
      <c r="T868" s="10" t="str">
        <f t="shared" si="27"/>
        <v>Low</v>
      </c>
    </row>
    <row r="869" spans="1:20">
      <c r="A869" s="2">
        <v>500877</v>
      </c>
      <c r="B869" s="2">
        <v>109244</v>
      </c>
      <c r="C869" s="8">
        <v>46085</v>
      </c>
      <c r="D869" s="2">
        <v>2007</v>
      </c>
      <c r="E869" s="2">
        <v>1</v>
      </c>
      <c r="F869" s="2">
        <v>10</v>
      </c>
      <c r="G869" s="2" t="s">
        <v>20</v>
      </c>
      <c r="H869" s="2" t="s">
        <v>21</v>
      </c>
      <c r="I869" s="2">
        <v>63</v>
      </c>
      <c r="J869" s="2" t="s">
        <v>32</v>
      </c>
      <c r="K869" s="8">
        <v>45710</v>
      </c>
      <c r="L869" s="2" t="s">
        <v>41</v>
      </c>
      <c r="M869" s="2" t="s">
        <v>61</v>
      </c>
      <c r="N869" s="2" t="s">
        <v>34</v>
      </c>
      <c r="O869" s="2">
        <v>75</v>
      </c>
      <c r="P869" s="2">
        <v>68</v>
      </c>
      <c r="Q869" s="2">
        <v>68</v>
      </c>
      <c r="R869" s="9" t="s">
        <v>26</v>
      </c>
      <c r="S869" s="9">
        <f t="shared" si="26"/>
        <v>75</v>
      </c>
      <c r="T869" s="10" t="str">
        <f t="shared" si="27"/>
        <v>Average</v>
      </c>
    </row>
    <row r="870" spans="1:20">
      <c r="A870" s="2">
        <v>500878</v>
      </c>
      <c r="B870" s="2">
        <v>103357</v>
      </c>
      <c r="C870" s="8">
        <v>45929</v>
      </c>
      <c r="D870" s="2">
        <v>2017</v>
      </c>
      <c r="E870" s="2">
        <v>1</v>
      </c>
      <c r="F870" s="2">
        <v>20</v>
      </c>
      <c r="G870" s="2" t="s">
        <v>20</v>
      </c>
      <c r="H870" s="2" t="s">
        <v>21</v>
      </c>
      <c r="I870" s="2">
        <v>41</v>
      </c>
      <c r="J870" s="2" t="s">
        <v>48</v>
      </c>
      <c r="K870" s="8">
        <v>44974</v>
      </c>
      <c r="L870" s="2" t="s">
        <v>23</v>
      </c>
      <c r="M870" s="2" t="s">
        <v>44</v>
      </c>
      <c r="N870" s="2" t="s">
        <v>25</v>
      </c>
      <c r="O870" s="2">
        <v>11</v>
      </c>
      <c r="P870" s="2">
        <v>9</v>
      </c>
      <c r="Q870" s="2">
        <v>9</v>
      </c>
      <c r="R870" s="9" t="s">
        <v>26</v>
      </c>
      <c r="S870" s="9">
        <f t="shared" si="26"/>
        <v>11</v>
      </c>
      <c r="T870" s="10" t="str">
        <f t="shared" si="27"/>
        <v>High</v>
      </c>
    </row>
    <row r="871" spans="1:20">
      <c r="A871" s="2">
        <v>500879</v>
      </c>
      <c r="B871" s="2">
        <v>108872</v>
      </c>
      <c r="C871" s="8">
        <v>45514</v>
      </c>
      <c r="D871" s="2">
        <v>2008</v>
      </c>
      <c r="E871" s="2">
        <v>2</v>
      </c>
      <c r="F871" s="2">
        <v>10</v>
      </c>
      <c r="G871" s="2" t="s">
        <v>56</v>
      </c>
      <c r="H871" s="2" t="s">
        <v>21</v>
      </c>
      <c r="I871" s="2">
        <v>45</v>
      </c>
      <c r="J871" s="2" t="s">
        <v>43</v>
      </c>
      <c r="K871" s="8">
        <v>45761</v>
      </c>
      <c r="L871" s="2" t="s">
        <v>23</v>
      </c>
      <c r="M871" s="2" t="s">
        <v>39</v>
      </c>
      <c r="N871" s="2" t="s">
        <v>25</v>
      </c>
      <c r="O871" s="2">
        <v>14</v>
      </c>
      <c r="P871" s="2">
        <v>25</v>
      </c>
      <c r="Q871" s="2">
        <v>25</v>
      </c>
      <c r="R871" s="9" t="s">
        <v>30</v>
      </c>
      <c r="S871" s="9">
        <f t="shared" si="26"/>
        <v>28</v>
      </c>
      <c r="T871" s="10" t="str">
        <f t="shared" si="27"/>
        <v>Average</v>
      </c>
    </row>
    <row r="872" spans="1:20">
      <c r="A872" s="2">
        <v>500880</v>
      </c>
      <c r="B872" s="2">
        <v>102921</v>
      </c>
      <c r="C872" s="8">
        <v>45555</v>
      </c>
      <c r="D872" s="2">
        <v>2011</v>
      </c>
      <c r="E872" s="2">
        <v>1</v>
      </c>
      <c r="F872" s="2">
        <v>0</v>
      </c>
      <c r="G872" s="2" t="s">
        <v>27</v>
      </c>
      <c r="H872" s="2" t="s">
        <v>21</v>
      </c>
      <c r="I872" s="2">
        <v>33</v>
      </c>
      <c r="J872" s="2" t="s">
        <v>48</v>
      </c>
      <c r="K872" s="8">
        <v>45310</v>
      </c>
      <c r="L872" s="2" t="s">
        <v>49</v>
      </c>
      <c r="M872" s="2" t="s">
        <v>42</v>
      </c>
      <c r="N872" s="2" t="s">
        <v>37</v>
      </c>
      <c r="O872" s="2">
        <v>32</v>
      </c>
      <c r="P872" s="2">
        <v>32</v>
      </c>
      <c r="Q872" s="2">
        <v>32</v>
      </c>
      <c r="R872" s="9" t="s">
        <v>30</v>
      </c>
      <c r="S872" s="9">
        <f t="shared" si="26"/>
        <v>32</v>
      </c>
      <c r="T872" s="10" t="str">
        <f t="shared" si="27"/>
        <v>Low</v>
      </c>
    </row>
    <row r="873" spans="1:20">
      <c r="A873" s="2">
        <v>500881</v>
      </c>
      <c r="B873" s="2">
        <v>105521</v>
      </c>
      <c r="C873" s="8">
        <v>45905</v>
      </c>
      <c r="D873" s="2">
        <v>2017</v>
      </c>
      <c r="E873" s="2">
        <v>1</v>
      </c>
      <c r="F873" s="2">
        <v>10</v>
      </c>
      <c r="G873" s="2" t="s">
        <v>56</v>
      </c>
      <c r="H873" s="2" t="s">
        <v>21</v>
      </c>
      <c r="I873" s="2">
        <v>38</v>
      </c>
      <c r="J873" s="2" t="s">
        <v>52</v>
      </c>
      <c r="K873" s="8">
        <v>45414</v>
      </c>
      <c r="L873" s="2" t="s">
        <v>41</v>
      </c>
      <c r="M873" s="2" t="s">
        <v>44</v>
      </c>
      <c r="N873" s="2" t="s">
        <v>25</v>
      </c>
      <c r="O873" s="2">
        <v>11</v>
      </c>
      <c r="P873" s="2">
        <v>10</v>
      </c>
      <c r="Q873" s="2">
        <v>10</v>
      </c>
      <c r="R873" s="9" t="s">
        <v>26</v>
      </c>
      <c r="S873" s="9">
        <f t="shared" si="26"/>
        <v>11</v>
      </c>
      <c r="T873" s="10" t="str">
        <f t="shared" si="27"/>
        <v>Average</v>
      </c>
    </row>
    <row r="874" spans="1:20">
      <c r="A874" s="2">
        <v>500882</v>
      </c>
      <c r="B874" s="2">
        <v>102138</v>
      </c>
      <c r="C874" s="8">
        <v>46099</v>
      </c>
      <c r="D874" s="2">
        <v>2017</v>
      </c>
      <c r="E874" s="2">
        <v>1</v>
      </c>
      <c r="F874" s="2">
        <v>0</v>
      </c>
      <c r="G874" s="2" t="s">
        <v>27</v>
      </c>
      <c r="H874" s="2" t="s">
        <v>21</v>
      </c>
      <c r="I874" s="2">
        <v>19</v>
      </c>
      <c r="J874" s="2" t="s">
        <v>32</v>
      </c>
      <c r="K874" s="8">
        <v>45235</v>
      </c>
      <c r="L874" s="2" t="s">
        <v>41</v>
      </c>
      <c r="M874" s="2" t="s">
        <v>44</v>
      </c>
      <c r="N874" s="2" t="s">
        <v>25</v>
      </c>
      <c r="O874" s="2">
        <v>11</v>
      </c>
      <c r="P874" s="2">
        <v>11</v>
      </c>
      <c r="Q874" s="2">
        <v>11</v>
      </c>
      <c r="R874" s="9" t="s">
        <v>26</v>
      </c>
      <c r="S874" s="9">
        <f t="shared" si="26"/>
        <v>11</v>
      </c>
      <c r="T874" s="10" t="str">
        <f t="shared" si="27"/>
        <v>Low</v>
      </c>
    </row>
    <row r="875" spans="1:20">
      <c r="A875" s="2">
        <v>500883</v>
      </c>
      <c r="B875" s="2">
        <v>108327</v>
      </c>
      <c r="C875" s="8">
        <v>45716</v>
      </c>
      <c r="D875" s="2">
        <v>2013</v>
      </c>
      <c r="E875" s="2">
        <v>3</v>
      </c>
      <c r="F875" s="2">
        <v>0</v>
      </c>
      <c r="G875" s="2" t="s">
        <v>56</v>
      </c>
      <c r="H875" s="2" t="s">
        <v>21</v>
      </c>
      <c r="I875" s="2">
        <v>41</v>
      </c>
      <c r="J875" s="2" t="s">
        <v>52</v>
      </c>
      <c r="K875" s="8">
        <v>45772</v>
      </c>
      <c r="L875" s="2" t="s">
        <v>49</v>
      </c>
      <c r="M875" s="2" t="s">
        <v>53</v>
      </c>
      <c r="N875" s="2" t="s">
        <v>54</v>
      </c>
      <c r="O875" s="2">
        <v>7</v>
      </c>
      <c r="P875" s="2">
        <v>21</v>
      </c>
      <c r="Q875" s="2">
        <v>21</v>
      </c>
      <c r="R875" s="9" t="s">
        <v>26</v>
      </c>
      <c r="S875" s="9">
        <f t="shared" si="26"/>
        <v>21</v>
      </c>
      <c r="T875" s="10" t="str">
        <f t="shared" si="27"/>
        <v>Low</v>
      </c>
    </row>
    <row r="876" spans="1:20">
      <c r="A876" s="2">
        <v>500884</v>
      </c>
      <c r="B876" s="2">
        <v>101106</v>
      </c>
      <c r="C876" s="8">
        <v>46051</v>
      </c>
      <c r="D876" s="2">
        <v>2007</v>
      </c>
      <c r="E876" s="2">
        <v>4</v>
      </c>
      <c r="F876" s="2">
        <v>0</v>
      </c>
      <c r="G876" s="2" t="s">
        <v>20</v>
      </c>
      <c r="H876" s="2" t="s">
        <v>21</v>
      </c>
      <c r="I876" s="2">
        <v>26</v>
      </c>
      <c r="J876" s="2" t="s">
        <v>28</v>
      </c>
      <c r="K876" s="8">
        <v>45583</v>
      </c>
      <c r="L876" s="2" t="s">
        <v>41</v>
      </c>
      <c r="M876" s="2" t="s">
        <v>61</v>
      </c>
      <c r="N876" s="2" t="s">
        <v>34</v>
      </c>
      <c r="O876" s="2">
        <v>75</v>
      </c>
      <c r="P876" s="2">
        <v>300</v>
      </c>
      <c r="Q876" s="2">
        <v>300</v>
      </c>
      <c r="R876" s="9" t="s">
        <v>26</v>
      </c>
      <c r="S876" s="9">
        <f t="shared" si="26"/>
        <v>300</v>
      </c>
      <c r="T876" s="10" t="str">
        <f t="shared" si="27"/>
        <v>Low</v>
      </c>
    </row>
    <row r="877" spans="1:20">
      <c r="A877" s="2">
        <v>500886</v>
      </c>
      <c r="B877" s="2">
        <v>101695</v>
      </c>
      <c r="C877" s="8">
        <v>45633</v>
      </c>
      <c r="D877" s="2">
        <v>2017</v>
      </c>
      <c r="E877" s="2">
        <v>1</v>
      </c>
      <c r="F877" s="2">
        <v>15</v>
      </c>
      <c r="G877" s="2" t="s">
        <v>20</v>
      </c>
      <c r="H877" s="2" t="s">
        <v>21</v>
      </c>
      <c r="I877" s="2">
        <v>25</v>
      </c>
      <c r="J877" s="2" t="s">
        <v>43</v>
      </c>
      <c r="K877" s="8">
        <v>45054</v>
      </c>
      <c r="L877" s="2" t="s">
        <v>23</v>
      </c>
      <c r="M877" s="2" t="s">
        <v>44</v>
      </c>
      <c r="N877" s="2" t="s">
        <v>25</v>
      </c>
      <c r="O877" s="2">
        <v>11</v>
      </c>
      <c r="P877" s="2">
        <v>9</v>
      </c>
      <c r="Q877" s="2">
        <v>9</v>
      </c>
      <c r="R877" s="9" t="s">
        <v>30</v>
      </c>
      <c r="S877" s="9">
        <f t="shared" si="26"/>
        <v>11</v>
      </c>
      <c r="T877" s="10" t="str">
        <f t="shared" si="27"/>
        <v>High</v>
      </c>
    </row>
    <row r="878" spans="1:20">
      <c r="A878" s="2">
        <v>500887</v>
      </c>
      <c r="B878" s="2">
        <v>102038</v>
      </c>
      <c r="C878" s="8">
        <v>45884</v>
      </c>
      <c r="D878" s="2">
        <v>2006</v>
      </c>
      <c r="E878" s="2">
        <v>1</v>
      </c>
      <c r="F878" s="2">
        <v>0</v>
      </c>
      <c r="G878" s="2" t="s">
        <v>20</v>
      </c>
      <c r="H878" s="2" t="s">
        <v>21</v>
      </c>
      <c r="I878" s="2">
        <v>19</v>
      </c>
      <c r="J878" s="2" t="s">
        <v>38</v>
      </c>
      <c r="K878" s="8">
        <v>45701</v>
      </c>
      <c r="L878" s="2" t="s">
        <v>23</v>
      </c>
      <c r="M878" s="2" t="s">
        <v>57</v>
      </c>
      <c r="N878" s="2" t="s">
        <v>34</v>
      </c>
      <c r="O878" s="2">
        <v>48</v>
      </c>
      <c r="P878" s="2">
        <v>48</v>
      </c>
      <c r="Q878" s="2">
        <v>48</v>
      </c>
      <c r="R878" s="9" t="s">
        <v>26</v>
      </c>
      <c r="S878" s="9">
        <f t="shared" si="26"/>
        <v>48</v>
      </c>
      <c r="T878" s="10" t="str">
        <f t="shared" si="27"/>
        <v>Low</v>
      </c>
    </row>
    <row r="879" spans="1:20">
      <c r="A879" s="2">
        <v>500888</v>
      </c>
      <c r="B879" s="2">
        <v>103664</v>
      </c>
      <c r="C879" s="8">
        <v>45335</v>
      </c>
      <c r="D879" s="2">
        <v>2010</v>
      </c>
      <c r="E879" s="2">
        <v>1</v>
      </c>
      <c r="F879" s="2">
        <v>0</v>
      </c>
      <c r="G879" s="2" t="s">
        <v>20</v>
      </c>
      <c r="H879" s="2" t="s">
        <v>21</v>
      </c>
      <c r="I879" s="2">
        <v>64</v>
      </c>
      <c r="J879" s="2" t="s">
        <v>52</v>
      </c>
      <c r="K879" s="8">
        <v>45681</v>
      </c>
      <c r="L879" s="2" t="s">
        <v>23</v>
      </c>
      <c r="M879" s="2" t="s">
        <v>58</v>
      </c>
      <c r="N879" s="2" t="s">
        <v>59</v>
      </c>
      <c r="O879" s="2">
        <v>55</v>
      </c>
      <c r="P879" s="2">
        <v>55</v>
      </c>
      <c r="Q879" s="2">
        <v>55</v>
      </c>
      <c r="R879" s="9" t="s">
        <v>30</v>
      </c>
      <c r="S879" s="9">
        <f t="shared" si="26"/>
        <v>55</v>
      </c>
      <c r="T879" s="10" t="str">
        <f t="shared" si="27"/>
        <v>Low</v>
      </c>
    </row>
    <row r="880" spans="1:20">
      <c r="A880" s="2">
        <v>500889</v>
      </c>
      <c r="B880" s="2">
        <v>100927</v>
      </c>
      <c r="C880" s="8">
        <v>45412</v>
      </c>
      <c r="D880" s="2">
        <v>2005</v>
      </c>
      <c r="E880" s="2">
        <v>1</v>
      </c>
      <c r="F880" s="2">
        <v>15</v>
      </c>
      <c r="G880" s="2" t="s">
        <v>31</v>
      </c>
      <c r="H880" s="2" t="s">
        <v>21</v>
      </c>
      <c r="I880" s="2">
        <v>43</v>
      </c>
      <c r="J880" s="2" t="s">
        <v>22</v>
      </c>
      <c r="K880" s="8">
        <v>45173</v>
      </c>
      <c r="L880" s="2" t="s">
        <v>23</v>
      </c>
      <c r="M880" s="2" t="s">
        <v>51</v>
      </c>
      <c r="N880" s="2" t="s">
        <v>25</v>
      </c>
      <c r="O880" s="2">
        <v>28</v>
      </c>
      <c r="P880" s="2">
        <v>24</v>
      </c>
      <c r="Q880" s="2">
        <v>24</v>
      </c>
      <c r="R880" s="9" t="s">
        <v>30</v>
      </c>
      <c r="S880" s="9">
        <f t="shared" si="26"/>
        <v>28</v>
      </c>
      <c r="T880" s="10" t="str">
        <f t="shared" si="27"/>
        <v>High</v>
      </c>
    </row>
    <row r="881" spans="1:20">
      <c r="A881" s="2">
        <v>500890</v>
      </c>
      <c r="B881" s="2">
        <v>104286</v>
      </c>
      <c r="C881" s="8">
        <v>45921</v>
      </c>
      <c r="D881" s="2">
        <v>2007</v>
      </c>
      <c r="E881" s="2">
        <v>1</v>
      </c>
      <c r="F881" s="2">
        <v>0</v>
      </c>
      <c r="G881" s="2" t="s">
        <v>56</v>
      </c>
      <c r="H881" s="2" t="s">
        <v>21</v>
      </c>
      <c r="I881" s="2">
        <v>54</v>
      </c>
      <c r="J881" s="2" t="s">
        <v>32</v>
      </c>
      <c r="K881" s="8">
        <v>45507</v>
      </c>
      <c r="L881" s="2" t="s">
        <v>23</v>
      </c>
      <c r="M881" s="2" t="s">
        <v>61</v>
      </c>
      <c r="N881" s="2" t="s">
        <v>34</v>
      </c>
      <c r="O881" s="2">
        <v>75</v>
      </c>
      <c r="P881" s="2">
        <v>75</v>
      </c>
      <c r="Q881" s="2">
        <v>75</v>
      </c>
      <c r="R881" s="9" t="s">
        <v>26</v>
      </c>
      <c r="S881" s="9">
        <f t="shared" si="26"/>
        <v>75</v>
      </c>
      <c r="T881" s="10" t="str">
        <f t="shared" si="27"/>
        <v>Low</v>
      </c>
    </row>
    <row r="882" spans="1:20">
      <c r="A882" s="2">
        <v>500891</v>
      </c>
      <c r="B882" s="2">
        <v>103165</v>
      </c>
      <c r="C882" s="8">
        <v>45501</v>
      </c>
      <c r="D882" s="2">
        <v>2013</v>
      </c>
      <c r="E882" s="2">
        <v>1</v>
      </c>
      <c r="F882" s="2">
        <v>15</v>
      </c>
      <c r="G882" s="2" t="s">
        <v>31</v>
      </c>
      <c r="H882" s="2" t="s">
        <v>21</v>
      </c>
      <c r="I882" s="2">
        <v>24</v>
      </c>
      <c r="J882" s="2" t="s">
        <v>45</v>
      </c>
      <c r="K882" s="8">
        <v>45321</v>
      </c>
      <c r="L882" s="2" t="s">
        <v>41</v>
      </c>
      <c r="M882" s="2" t="s">
        <v>53</v>
      </c>
      <c r="N882" s="2" t="s">
        <v>54</v>
      </c>
      <c r="O882" s="2">
        <v>7</v>
      </c>
      <c r="P882" s="2">
        <v>6</v>
      </c>
      <c r="Q882" s="2">
        <v>6</v>
      </c>
      <c r="R882" s="9" t="s">
        <v>30</v>
      </c>
      <c r="S882" s="9">
        <f t="shared" si="26"/>
        <v>7</v>
      </c>
      <c r="T882" s="10" t="str">
        <f t="shared" si="27"/>
        <v>High</v>
      </c>
    </row>
    <row r="883" spans="1:20">
      <c r="A883" s="2">
        <v>500892</v>
      </c>
      <c r="B883" s="2">
        <v>103823</v>
      </c>
      <c r="C883" s="8">
        <v>45443</v>
      </c>
      <c r="D883" s="2">
        <v>2008</v>
      </c>
      <c r="E883" s="2">
        <v>1</v>
      </c>
      <c r="F883" s="2">
        <v>5</v>
      </c>
      <c r="G883" s="2" t="s">
        <v>20</v>
      </c>
      <c r="H883" s="2" t="s">
        <v>21</v>
      </c>
      <c r="I883" s="2">
        <v>44</v>
      </c>
      <c r="J883" s="2" t="s">
        <v>48</v>
      </c>
      <c r="K883" s="8">
        <v>45529</v>
      </c>
      <c r="L883" s="2" t="s">
        <v>41</v>
      </c>
      <c r="M883" s="2" t="s">
        <v>39</v>
      </c>
      <c r="N883" s="2" t="s">
        <v>25</v>
      </c>
      <c r="O883" s="2">
        <v>14</v>
      </c>
      <c r="P883" s="2">
        <v>13</v>
      </c>
      <c r="Q883" s="2">
        <v>13</v>
      </c>
      <c r="R883" s="9" t="s">
        <v>30</v>
      </c>
      <c r="S883" s="9">
        <f t="shared" si="26"/>
        <v>14</v>
      </c>
      <c r="T883" s="10" t="str">
        <f t="shared" si="27"/>
        <v>Low</v>
      </c>
    </row>
    <row r="884" spans="1:20">
      <c r="A884" s="2">
        <v>500893</v>
      </c>
      <c r="B884" s="2">
        <v>101673</v>
      </c>
      <c r="C884" s="8">
        <v>45368</v>
      </c>
      <c r="D884" s="2">
        <v>2004</v>
      </c>
      <c r="E884" s="2">
        <v>1</v>
      </c>
      <c r="F884" s="2">
        <v>0</v>
      </c>
      <c r="G884" s="2" t="s">
        <v>20</v>
      </c>
      <c r="H884" s="2" t="s">
        <v>21</v>
      </c>
      <c r="I884" s="2">
        <v>30</v>
      </c>
      <c r="J884" s="2" t="s">
        <v>35</v>
      </c>
      <c r="K884" s="8">
        <v>45139</v>
      </c>
      <c r="L884" s="2" t="s">
        <v>41</v>
      </c>
      <c r="M884" s="2" t="s">
        <v>46</v>
      </c>
      <c r="N884" s="2" t="s">
        <v>34</v>
      </c>
      <c r="O884" s="2">
        <v>35</v>
      </c>
      <c r="P884" s="2">
        <v>35</v>
      </c>
      <c r="Q884" s="2">
        <v>35</v>
      </c>
      <c r="R884" s="9" t="s">
        <v>30</v>
      </c>
      <c r="S884" s="9">
        <f t="shared" si="26"/>
        <v>35</v>
      </c>
      <c r="T884" s="10" t="str">
        <f t="shared" si="27"/>
        <v>Low</v>
      </c>
    </row>
    <row r="885" spans="1:20">
      <c r="A885" s="2">
        <v>500894</v>
      </c>
      <c r="B885" s="2">
        <v>101524</v>
      </c>
      <c r="C885" s="8">
        <v>45486</v>
      </c>
      <c r="D885" s="2">
        <v>2010</v>
      </c>
      <c r="E885" s="2">
        <v>3</v>
      </c>
      <c r="F885" s="2">
        <v>10</v>
      </c>
      <c r="G885" s="2" t="s">
        <v>31</v>
      </c>
      <c r="H885" s="2" t="s">
        <v>21</v>
      </c>
      <c r="I885" s="2">
        <v>25</v>
      </c>
      <c r="J885" s="2" t="s">
        <v>32</v>
      </c>
      <c r="K885" s="8">
        <v>46014</v>
      </c>
      <c r="L885" s="2" t="s">
        <v>49</v>
      </c>
      <c r="M885" s="2" t="s">
        <v>58</v>
      </c>
      <c r="N885" s="2" t="s">
        <v>59</v>
      </c>
      <c r="O885" s="2">
        <v>55</v>
      </c>
      <c r="P885" s="2">
        <v>148</v>
      </c>
      <c r="Q885" s="2">
        <v>148</v>
      </c>
      <c r="R885" s="9" t="s">
        <v>30</v>
      </c>
      <c r="S885" s="9">
        <f t="shared" si="26"/>
        <v>165</v>
      </c>
      <c r="T885" s="10" t="str">
        <f t="shared" si="27"/>
        <v>Average</v>
      </c>
    </row>
    <row r="886" spans="1:20">
      <c r="A886" s="2">
        <v>500895</v>
      </c>
      <c r="B886" s="2">
        <v>107310</v>
      </c>
      <c r="C886" s="8">
        <v>45508</v>
      </c>
      <c r="D886" s="2">
        <v>2005</v>
      </c>
      <c r="E886" s="2">
        <v>1</v>
      </c>
      <c r="F886" s="2">
        <v>10</v>
      </c>
      <c r="G886" s="2" t="s">
        <v>20</v>
      </c>
      <c r="H886" s="2" t="s">
        <v>21</v>
      </c>
      <c r="I886" s="2">
        <v>33</v>
      </c>
      <c r="J886" s="2" t="s">
        <v>45</v>
      </c>
      <c r="K886" s="8">
        <v>45892</v>
      </c>
      <c r="L886" s="2" t="s">
        <v>41</v>
      </c>
      <c r="M886" s="2" t="s">
        <v>51</v>
      </c>
      <c r="N886" s="2" t="s">
        <v>25</v>
      </c>
      <c r="O886" s="2">
        <v>28</v>
      </c>
      <c r="P886" s="2">
        <v>25</v>
      </c>
      <c r="Q886" s="2">
        <v>25</v>
      </c>
      <c r="R886" s="9" t="s">
        <v>30</v>
      </c>
      <c r="S886" s="9">
        <f t="shared" si="26"/>
        <v>28</v>
      </c>
      <c r="T886" s="10" t="str">
        <f t="shared" si="27"/>
        <v>Average</v>
      </c>
    </row>
    <row r="887" spans="1:20">
      <c r="A887" s="2">
        <v>500896</v>
      </c>
      <c r="B887" s="2">
        <v>102801</v>
      </c>
      <c r="C887" s="8">
        <v>45586</v>
      </c>
      <c r="D887" s="2">
        <v>2013</v>
      </c>
      <c r="E887" s="2">
        <v>4</v>
      </c>
      <c r="F887" s="2">
        <v>0</v>
      </c>
      <c r="G887" s="2" t="s">
        <v>56</v>
      </c>
      <c r="H887" s="2" t="s">
        <v>21</v>
      </c>
      <c r="I887" s="2">
        <v>56</v>
      </c>
      <c r="J887" s="2" t="s">
        <v>32</v>
      </c>
      <c r="K887" s="8">
        <v>45606</v>
      </c>
      <c r="L887" s="2" t="s">
        <v>41</v>
      </c>
      <c r="M887" s="2" t="s">
        <v>53</v>
      </c>
      <c r="N887" s="2" t="s">
        <v>54</v>
      </c>
      <c r="O887" s="2">
        <v>7</v>
      </c>
      <c r="P887" s="2">
        <v>28</v>
      </c>
      <c r="Q887" s="2">
        <v>28</v>
      </c>
      <c r="R887" s="9" t="s">
        <v>30</v>
      </c>
      <c r="S887" s="9">
        <f t="shared" si="26"/>
        <v>28</v>
      </c>
      <c r="T887" s="10" t="str">
        <f t="shared" si="27"/>
        <v>Low</v>
      </c>
    </row>
    <row r="888" spans="1:20">
      <c r="A888" s="2">
        <v>500897</v>
      </c>
      <c r="B888" s="2">
        <v>105707</v>
      </c>
      <c r="C888" s="8">
        <v>46125</v>
      </c>
      <c r="D888" s="2">
        <v>2014</v>
      </c>
      <c r="E888" s="2">
        <v>3</v>
      </c>
      <c r="F888" s="2">
        <v>0</v>
      </c>
      <c r="G888" s="2" t="s">
        <v>31</v>
      </c>
      <c r="H888" s="2" t="s">
        <v>47</v>
      </c>
      <c r="I888" s="2">
        <v>37</v>
      </c>
      <c r="J888" s="2" t="s">
        <v>28</v>
      </c>
      <c r="K888" s="8">
        <v>45711</v>
      </c>
      <c r="L888" s="2" t="s">
        <v>41</v>
      </c>
      <c r="M888" s="2" t="s">
        <v>29</v>
      </c>
      <c r="N888" s="2" t="s">
        <v>25</v>
      </c>
      <c r="O888" s="2">
        <v>42</v>
      </c>
      <c r="P888" s="2">
        <v>126</v>
      </c>
      <c r="Q888" s="2">
        <v>126</v>
      </c>
      <c r="R888" s="9" t="s">
        <v>26</v>
      </c>
      <c r="S888" s="9">
        <f t="shared" si="26"/>
        <v>126</v>
      </c>
      <c r="T888" s="10" t="str">
        <f t="shared" si="27"/>
        <v>Low</v>
      </c>
    </row>
    <row r="889" spans="1:20">
      <c r="A889" s="2">
        <v>500898</v>
      </c>
      <c r="B889" s="2">
        <v>104442</v>
      </c>
      <c r="C889" s="8">
        <v>45849</v>
      </c>
      <c r="D889" s="2">
        <v>2008</v>
      </c>
      <c r="E889" s="2">
        <v>4</v>
      </c>
      <c r="F889" s="2">
        <v>30</v>
      </c>
      <c r="G889" s="2" t="s">
        <v>31</v>
      </c>
      <c r="H889" s="2" t="s">
        <v>21</v>
      </c>
      <c r="I889" s="2">
        <v>35</v>
      </c>
      <c r="J889" s="2" t="s">
        <v>52</v>
      </c>
      <c r="K889" s="8">
        <v>45773</v>
      </c>
      <c r="L889" s="2" t="s">
        <v>41</v>
      </c>
      <c r="M889" s="2" t="s">
        <v>39</v>
      </c>
      <c r="N889" s="2" t="s">
        <v>25</v>
      </c>
      <c r="O889" s="2">
        <v>14</v>
      </c>
      <c r="P889" s="2">
        <v>39</v>
      </c>
      <c r="Q889" s="2">
        <v>39</v>
      </c>
      <c r="R889" s="9" t="s">
        <v>26</v>
      </c>
      <c r="S889" s="9">
        <f t="shared" si="26"/>
        <v>56</v>
      </c>
      <c r="T889" s="10" t="str">
        <f t="shared" si="27"/>
        <v>High</v>
      </c>
    </row>
    <row r="890" spans="1:20">
      <c r="A890" s="2">
        <v>500899</v>
      </c>
      <c r="B890" s="2">
        <v>103090</v>
      </c>
      <c r="C890" s="8">
        <v>45891</v>
      </c>
      <c r="D890" s="2">
        <v>2008</v>
      </c>
      <c r="E890" s="2">
        <v>3</v>
      </c>
      <c r="F890" s="2">
        <v>30</v>
      </c>
      <c r="G890" s="2" t="s">
        <v>31</v>
      </c>
      <c r="H890" s="2" t="s">
        <v>21</v>
      </c>
      <c r="I890" s="2">
        <v>40</v>
      </c>
      <c r="J890" s="2" t="s">
        <v>32</v>
      </c>
      <c r="K890" s="8">
        <v>45942</v>
      </c>
      <c r="L890" s="2" t="s">
        <v>41</v>
      </c>
      <c r="M890" s="2" t="s">
        <v>39</v>
      </c>
      <c r="N890" s="2" t="s">
        <v>25</v>
      </c>
      <c r="O890" s="2">
        <v>14</v>
      </c>
      <c r="P890" s="2">
        <v>29</v>
      </c>
      <c r="Q890" s="2">
        <v>29</v>
      </c>
      <c r="R890" s="9" t="s">
        <v>26</v>
      </c>
      <c r="S890" s="9">
        <f t="shared" si="26"/>
        <v>42</v>
      </c>
      <c r="T890" s="10" t="str">
        <f t="shared" si="27"/>
        <v>High</v>
      </c>
    </row>
    <row r="891" spans="1:20">
      <c r="A891" s="2">
        <v>500900</v>
      </c>
      <c r="B891" s="2">
        <v>100842</v>
      </c>
      <c r="C891" s="8">
        <v>45406</v>
      </c>
      <c r="D891" s="2">
        <v>2013</v>
      </c>
      <c r="E891" s="2">
        <v>1</v>
      </c>
      <c r="F891" s="2">
        <v>5</v>
      </c>
      <c r="G891" s="2" t="s">
        <v>56</v>
      </c>
      <c r="H891" s="2" t="s">
        <v>21</v>
      </c>
      <c r="I891" s="2">
        <v>49</v>
      </c>
      <c r="J891" s="2" t="s">
        <v>45</v>
      </c>
      <c r="K891" s="8">
        <v>45649</v>
      </c>
      <c r="L891" s="2" t="s">
        <v>41</v>
      </c>
      <c r="M891" s="2" t="s">
        <v>53</v>
      </c>
      <c r="N891" s="2" t="s">
        <v>54</v>
      </c>
      <c r="O891" s="2">
        <v>7</v>
      </c>
      <c r="P891" s="2">
        <v>7</v>
      </c>
      <c r="Q891" s="2">
        <v>7</v>
      </c>
      <c r="R891" s="9" t="s">
        <v>30</v>
      </c>
      <c r="S891" s="9">
        <f t="shared" si="26"/>
        <v>7</v>
      </c>
      <c r="T891" s="10" t="str">
        <f t="shared" si="27"/>
        <v>Low</v>
      </c>
    </row>
    <row r="892" spans="1:20">
      <c r="A892" s="2">
        <v>500901</v>
      </c>
      <c r="B892" s="2">
        <v>105179</v>
      </c>
      <c r="C892" s="8">
        <v>45458</v>
      </c>
      <c r="D892" s="2">
        <v>2007</v>
      </c>
      <c r="E892" s="2">
        <v>4</v>
      </c>
      <c r="F892" s="2">
        <v>5</v>
      </c>
      <c r="G892" s="2" t="s">
        <v>20</v>
      </c>
      <c r="H892" s="2" t="s">
        <v>21</v>
      </c>
      <c r="I892" s="2">
        <v>22</v>
      </c>
      <c r="J892" s="2" t="s">
        <v>32</v>
      </c>
      <c r="K892" s="8">
        <v>45037</v>
      </c>
      <c r="L892" s="2" t="s">
        <v>41</v>
      </c>
      <c r="M892" s="2" t="s">
        <v>61</v>
      </c>
      <c r="N892" s="2" t="s">
        <v>34</v>
      </c>
      <c r="O892" s="2">
        <v>75</v>
      </c>
      <c r="P892" s="2">
        <v>285</v>
      </c>
      <c r="Q892" s="2">
        <v>285</v>
      </c>
      <c r="R892" s="9" t="s">
        <v>30</v>
      </c>
      <c r="S892" s="9">
        <f t="shared" si="26"/>
        <v>300</v>
      </c>
      <c r="T892" s="10" t="str">
        <f t="shared" si="27"/>
        <v>Low</v>
      </c>
    </row>
    <row r="893" spans="1:20">
      <c r="A893" s="2">
        <v>500902</v>
      </c>
      <c r="B893" s="2">
        <v>100502</v>
      </c>
      <c r="C893" s="8">
        <v>46075</v>
      </c>
      <c r="D893" s="2">
        <v>2020</v>
      </c>
      <c r="E893" s="2">
        <v>1</v>
      </c>
      <c r="F893" s="2">
        <v>20</v>
      </c>
      <c r="G893" s="2" t="s">
        <v>31</v>
      </c>
      <c r="H893" s="2" t="s">
        <v>21</v>
      </c>
      <c r="I893" s="2">
        <v>49</v>
      </c>
      <c r="J893" s="2" t="s">
        <v>43</v>
      </c>
      <c r="K893" s="8">
        <v>45752</v>
      </c>
      <c r="L893" s="2" t="s">
        <v>41</v>
      </c>
      <c r="M893" s="2" t="s">
        <v>62</v>
      </c>
      <c r="N893" s="2" t="s">
        <v>63</v>
      </c>
      <c r="O893" s="2">
        <v>68</v>
      </c>
      <c r="P893" s="2">
        <v>54</v>
      </c>
      <c r="Q893" s="2">
        <v>54</v>
      </c>
      <c r="R893" s="9" t="s">
        <v>26</v>
      </c>
      <c r="S893" s="9">
        <f t="shared" si="26"/>
        <v>68</v>
      </c>
      <c r="T893" s="10" t="str">
        <f t="shared" si="27"/>
        <v>High</v>
      </c>
    </row>
    <row r="894" spans="1:20">
      <c r="A894" s="2">
        <v>500903</v>
      </c>
      <c r="B894" s="2">
        <v>102675</v>
      </c>
      <c r="C894" s="8">
        <v>45840</v>
      </c>
      <c r="D894" s="2">
        <v>2016</v>
      </c>
      <c r="E894" s="2">
        <v>1</v>
      </c>
      <c r="F894" s="2">
        <v>10</v>
      </c>
      <c r="G894" s="2" t="s">
        <v>20</v>
      </c>
      <c r="H894" s="2" t="s">
        <v>21</v>
      </c>
      <c r="I894" s="2">
        <v>62</v>
      </c>
      <c r="J894" s="2" t="s">
        <v>43</v>
      </c>
      <c r="K894" s="8">
        <v>45255</v>
      </c>
      <c r="L894" s="2" t="s">
        <v>41</v>
      </c>
      <c r="M894" s="2" t="s">
        <v>67</v>
      </c>
      <c r="N894" s="2" t="s">
        <v>34</v>
      </c>
      <c r="O894" s="2">
        <v>21</v>
      </c>
      <c r="P894" s="2">
        <v>19</v>
      </c>
      <c r="Q894" s="2">
        <v>19</v>
      </c>
      <c r="R894" s="9" t="s">
        <v>26</v>
      </c>
      <c r="S894" s="9">
        <f t="shared" si="26"/>
        <v>21</v>
      </c>
      <c r="T894" s="10" t="str">
        <f t="shared" si="27"/>
        <v>Average</v>
      </c>
    </row>
    <row r="895" spans="1:20">
      <c r="A895" s="2">
        <v>500904</v>
      </c>
      <c r="B895" s="2">
        <v>107940</v>
      </c>
      <c r="C895" s="8">
        <v>45991</v>
      </c>
      <c r="D895" s="2">
        <v>2009</v>
      </c>
      <c r="E895" s="2">
        <v>1</v>
      </c>
      <c r="F895" s="2">
        <v>0</v>
      </c>
      <c r="G895" s="2" t="s">
        <v>27</v>
      </c>
      <c r="H895" s="2" t="s">
        <v>21</v>
      </c>
      <c r="I895" s="2">
        <v>24</v>
      </c>
      <c r="J895" s="2" t="s">
        <v>45</v>
      </c>
      <c r="K895" s="8">
        <v>45110</v>
      </c>
      <c r="L895" s="2" t="s">
        <v>23</v>
      </c>
      <c r="M895" s="2" t="s">
        <v>65</v>
      </c>
      <c r="N895" s="2" t="s">
        <v>59</v>
      </c>
      <c r="O895" s="2">
        <v>120</v>
      </c>
      <c r="P895" s="2">
        <v>120</v>
      </c>
      <c r="Q895" s="2">
        <v>120</v>
      </c>
      <c r="R895" s="9" t="s">
        <v>26</v>
      </c>
      <c r="S895" s="9">
        <f t="shared" si="26"/>
        <v>120</v>
      </c>
      <c r="T895" s="10" t="str">
        <f t="shared" si="27"/>
        <v>Low</v>
      </c>
    </row>
    <row r="896" spans="1:20">
      <c r="A896" s="2">
        <v>500905</v>
      </c>
      <c r="B896" s="2">
        <v>101407</v>
      </c>
      <c r="C896" s="8">
        <v>45600</v>
      </c>
      <c r="D896" s="2">
        <v>2008</v>
      </c>
      <c r="E896" s="2">
        <v>1</v>
      </c>
      <c r="F896" s="2">
        <v>0</v>
      </c>
      <c r="G896" s="2" t="s">
        <v>27</v>
      </c>
      <c r="H896" s="2" t="s">
        <v>21</v>
      </c>
      <c r="I896" s="2">
        <v>34</v>
      </c>
      <c r="J896" s="2" t="s">
        <v>28</v>
      </c>
      <c r="K896" s="8">
        <v>45179</v>
      </c>
      <c r="L896" s="2" t="s">
        <v>23</v>
      </c>
      <c r="M896" s="2" t="s">
        <v>39</v>
      </c>
      <c r="N896" s="2" t="s">
        <v>25</v>
      </c>
      <c r="O896" s="2">
        <v>14</v>
      </c>
      <c r="P896" s="2">
        <v>14</v>
      </c>
      <c r="Q896" s="2">
        <v>14</v>
      </c>
      <c r="R896" s="9" t="s">
        <v>30</v>
      </c>
      <c r="S896" s="9">
        <f t="shared" si="26"/>
        <v>14</v>
      </c>
      <c r="T896" s="10" t="str">
        <f t="shared" si="27"/>
        <v>Low</v>
      </c>
    </row>
    <row r="897" spans="1:20">
      <c r="A897" s="2">
        <v>500906</v>
      </c>
      <c r="B897" s="2">
        <v>101998</v>
      </c>
      <c r="C897" s="8">
        <v>45790</v>
      </c>
      <c r="D897" s="2">
        <v>2009</v>
      </c>
      <c r="E897" s="2">
        <v>2</v>
      </c>
      <c r="F897" s="2">
        <v>10</v>
      </c>
      <c r="G897" s="2" t="s">
        <v>20</v>
      </c>
      <c r="H897" s="2" t="s">
        <v>21</v>
      </c>
      <c r="I897" s="2">
        <v>65</v>
      </c>
      <c r="J897" s="2" t="s">
        <v>45</v>
      </c>
      <c r="K897" s="8">
        <v>45746</v>
      </c>
      <c r="L897" s="2" t="s">
        <v>23</v>
      </c>
      <c r="M897" s="2" t="s">
        <v>65</v>
      </c>
      <c r="N897" s="2" t="s">
        <v>59</v>
      </c>
      <c r="O897" s="2">
        <v>120</v>
      </c>
      <c r="P897" s="2">
        <v>216</v>
      </c>
      <c r="Q897" s="2">
        <v>216</v>
      </c>
      <c r="R897" s="9" t="s">
        <v>26</v>
      </c>
      <c r="S897" s="9">
        <f t="shared" si="26"/>
        <v>240</v>
      </c>
      <c r="T897" s="10" t="str">
        <f t="shared" si="27"/>
        <v>Average</v>
      </c>
    </row>
    <row r="898" spans="1:20">
      <c r="A898" s="2">
        <v>500907</v>
      </c>
      <c r="B898" s="2">
        <v>108373</v>
      </c>
      <c r="C898" s="8">
        <v>45725</v>
      </c>
      <c r="D898" s="2">
        <v>2009</v>
      </c>
      <c r="E898" s="2">
        <v>4</v>
      </c>
      <c r="F898" s="2">
        <v>0</v>
      </c>
      <c r="G898" s="2" t="s">
        <v>20</v>
      </c>
      <c r="H898" s="2" t="s">
        <v>21</v>
      </c>
      <c r="I898" s="2">
        <v>41</v>
      </c>
      <c r="J898" s="2" t="s">
        <v>32</v>
      </c>
      <c r="K898" s="8">
        <v>45322</v>
      </c>
      <c r="L898" s="2" t="s">
        <v>23</v>
      </c>
      <c r="M898" s="2" t="s">
        <v>65</v>
      </c>
      <c r="N898" s="2" t="s">
        <v>59</v>
      </c>
      <c r="O898" s="2">
        <v>120</v>
      </c>
      <c r="P898" s="2">
        <v>480</v>
      </c>
      <c r="Q898" s="2">
        <v>480</v>
      </c>
      <c r="R898" s="9" t="s">
        <v>26</v>
      </c>
      <c r="S898" s="9">
        <f t="shared" ref="S898:S961" si="28">SUM(E898*O898)</f>
        <v>480</v>
      </c>
      <c r="T898" s="10" t="str">
        <f t="shared" ref="T898:T961" si="29">IF(F898&lt;=5,"Low",IF(F898&lt;=10,"Average",IF(F898&gt;10,"High")))</f>
        <v>Low</v>
      </c>
    </row>
    <row r="899" spans="1:20">
      <c r="A899" s="2">
        <v>500908</v>
      </c>
      <c r="B899" s="2">
        <v>103033</v>
      </c>
      <c r="C899" s="8">
        <v>45469</v>
      </c>
      <c r="D899" s="2">
        <v>2002</v>
      </c>
      <c r="E899" s="2">
        <v>3</v>
      </c>
      <c r="F899" s="2">
        <v>0</v>
      </c>
      <c r="G899" s="2" t="s">
        <v>20</v>
      </c>
      <c r="H899" s="2" t="s">
        <v>21</v>
      </c>
      <c r="I899" s="2">
        <v>45</v>
      </c>
      <c r="J899" s="2" t="s">
        <v>35</v>
      </c>
      <c r="K899" s="8">
        <v>45513</v>
      </c>
      <c r="L899" s="2" t="s">
        <v>41</v>
      </c>
      <c r="M899" s="2" t="s">
        <v>33</v>
      </c>
      <c r="N899" s="2" t="s">
        <v>34</v>
      </c>
      <c r="O899" s="2">
        <v>62</v>
      </c>
      <c r="P899" s="2">
        <v>186</v>
      </c>
      <c r="Q899" s="2">
        <v>186</v>
      </c>
      <c r="R899" s="9" t="s">
        <v>30</v>
      </c>
      <c r="S899" s="9">
        <f t="shared" si="28"/>
        <v>186</v>
      </c>
      <c r="T899" s="10" t="str">
        <f t="shared" si="29"/>
        <v>Low</v>
      </c>
    </row>
    <row r="900" spans="1:20">
      <c r="A900" s="2">
        <v>500909</v>
      </c>
      <c r="B900" s="2">
        <v>104868</v>
      </c>
      <c r="C900" s="8">
        <v>46004</v>
      </c>
      <c r="D900" s="2">
        <v>2008</v>
      </c>
      <c r="E900" s="2">
        <v>1</v>
      </c>
      <c r="F900" s="2">
        <v>0</v>
      </c>
      <c r="G900" s="2" t="s">
        <v>31</v>
      </c>
      <c r="H900" s="2" t="s">
        <v>21</v>
      </c>
      <c r="I900" s="2">
        <v>33</v>
      </c>
      <c r="J900" s="2" t="s">
        <v>22</v>
      </c>
      <c r="K900" s="8">
        <v>45289</v>
      </c>
      <c r="L900" s="2" t="s">
        <v>41</v>
      </c>
      <c r="M900" s="2" t="s">
        <v>39</v>
      </c>
      <c r="N900" s="2" t="s">
        <v>25</v>
      </c>
      <c r="O900" s="2">
        <v>14</v>
      </c>
      <c r="P900" s="2">
        <v>14</v>
      </c>
      <c r="Q900" s="2">
        <v>14</v>
      </c>
      <c r="R900" s="9" t="s">
        <v>26</v>
      </c>
      <c r="S900" s="9">
        <f t="shared" si="28"/>
        <v>14</v>
      </c>
      <c r="T900" s="10" t="str">
        <f t="shared" si="29"/>
        <v>Low</v>
      </c>
    </row>
    <row r="901" spans="1:20">
      <c r="A901" s="2">
        <v>500911</v>
      </c>
      <c r="B901" s="2">
        <v>104644</v>
      </c>
      <c r="C901" s="8">
        <v>45695</v>
      </c>
      <c r="D901" s="2">
        <v>2008</v>
      </c>
      <c r="E901" s="2">
        <v>1</v>
      </c>
      <c r="F901" s="2">
        <v>0</v>
      </c>
      <c r="G901" s="2" t="s">
        <v>31</v>
      </c>
      <c r="H901" s="2" t="s">
        <v>21</v>
      </c>
      <c r="I901" s="2">
        <v>21</v>
      </c>
      <c r="J901" s="2" t="s">
        <v>32</v>
      </c>
      <c r="K901" s="8">
        <v>45709</v>
      </c>
      <c r="L901" s="2" t="s">
        <v>23</v>
      </c>
      <c r="M901" s="2" t="s">
        <v>39</v>
      </c>
      <c r="N901" s="2" t="s">
        <v>25</v>
      </c>
      <c r="O901" s="2">
        <v>14</v>
      </c>
      <c r="P901" s="2">
        <v>14</v>
      </c>
      <c r="Q901" s="2">
        <v>14</v>
      </c>
      <c r="R901" s="9" t="s">
        <v>26</v>
      </c>
      <c r="S901" s="9">
        <f t="shared" si="28"/>
        <v>14</v>
      </c>
      <c r="T901" s="10" t="str">
        <f t="shared" si="29"/>
        <v>Low</v>
      </c>
    </row>
    <row r="902" spans="1:20">
      <c r="A902" s="2">
        <v>500912</v>
      </c>
      <c r="B902" s="2">
        <v>101846</v>
      </c>
      <c r="C902" s="8">
        <v>45407</v>
      </c>
      <c r="D902" s="2">
        <v>2005</v>
      </c>
      <c r="E902" s="2">
        <v>1</v>
      </c>
      <c r="F902" s="2">
        <v>0</v>
      </c>
      <c r="G902" s="2" t="s">
        <v>20</v>
      </c>
      <c r="H902" s="2" t="s">
        <v>21</v>
      </c>
      <c r="I902" s="2">
        <v>47</v>
      </c>
      <c r="J902" s="2" t="s">
        <v>32</v>
      </c>
      <c r="K902" s="8">
        <v>45022</v>
      </c>
      <c r="L902" s="2" t="s">
        <v>23</v>
      </c>
      <c r="M902" s="2" t="s">
        <v>51</v>
      </c>
      <c r="N902" s="2" t="s">
        <v>25</v>
      </c>
      <c r="O902" s="2">
        <v>28</v>
      </c>
      <c r="P902" s="2">
        <v>28</v>
      </c>
      <c r="Q902" s="2">
        <v>28</v>
      </c>
      <c r="R902" s="9" t="s">
        <v>30</v>
      </c>
      <c r="S902" s="9">
        <f t="shared" si="28"/>
        <v>28</v>
      </c>
      <c r="T902" s="10" t="str">
        <f t="shared" si="29"/>
        <v>Low</v>
      </c>
    </row>
    <row r="903" spans="1:20">
      <c r="A903" s="2">
        <v>500913</v>
      </c>
      <c r="B903" s="2">
        <v>104019</v>
      </c>
      <c r="C903" s="8">
        <v>45843</v>
      </c>
      <c r="D903" s="2">
        <v>2017</v>
      </c>
      <c r="E903" s="2">
        <v>2</v>
      </c>
      <c r="F903" s="2">
        <v>0</v>
      </c>
      <c r="G903" s="2" t="s">
        <v>27</v>
      </c>
      <c r="H903" s="2" t="s">
        <v>21</v>
      </c>
      <c r="I903" s="2">
        <v>26</v>
      </c>
      <c r="J903" s="2" t="s">
        <v>38</v>
      </c>
      <c r="K903" s="8">
        <v>45460</v>
      </c>
      <c r="L903" s="2" t="s">
        <v>41</v>
      </c>
      <c r="M903" s="2" t="s">
        <v>44</v>
      </c>
      <c r="N903" s="2" t="s">
        <v>25</v>
      </c>
      <c r="O903" s="2">
        <v>11</v>
      </c>
      <c r="P903" s="2">
        <v>22</v>
      </c>
      <c r="Q903" s="2">
        <v>22</v>
      </c>
      <c r="R903" s="9" t="s">
        <v>26</v>
      </c>
      <c r="S903" s="9">
        <f t="shared" si="28"/>
        <v>22</v>
      </c>
      <c r="T903" s="10" t="str">
        <f t="shared" si="29"/>
        <v>Low</v>
      </c>
    </row>
    <row r="904" spans="1:20">
      <c r="A904" s="2">
        <v>500914</v>
      </c>
      <c r="B904" s="2">
        <v>108366</v>
      </c>
      <c r="C904" s="8">
        <v>45975</v>
      </c>
      <c r="D904" s="2">
        <v>2003</v>
      </c>
      <c r="E904" s="2">
        <v>3</v>
      </c>
      <c r="F904" s="2">
        <v>10</v>
      </c>
      <c r="G904" s="2" t="s">
        <v>31</v>
      </c>
      <c r="H904" s="2" t="s">
        <v>21</v>
      </c>
      <c r="I904" s="2">
        <v>51</v>
      </c>
      <c r="J904" s="2" t="s">
        <v>32</v>
      </c>
      <c r="K904" s="8">
        <v>45149</v>
      </c>
      <c r="L904" s="2" t="s">
        <v>23</v>
      </c>
      <c r="M904" s="2" t="s">
        <v>24</v>
      </c>
      <c r="N904" s="2" t="s">
        <v>25</v>
      </c>
      <c r="O904" s="2">
        <v>9</v>
      </c>
      <c r="P904" s="2">
        <v>24</v>
      </c>
      <c r="Q904" s="2">
        <v>24</v>
      </c>
      <c r="R904" s="9" t="s">
        <v>26</v>
      </c>
      <c r="S904" s="9">
        <f t="shared" si="28"/>
        <v>27</v>
      </c>
      <c r="T904" s="10" t="str">
        <f t="shared" si="29"/>
        <v>Average</v>
      </c>
    </row>
    <row r="905" spans="1:20">
      <c r="A905" s="2">
        <v>500915</v>
      </c>
      <c r="B905" s="2">
        <v>105382</v>
      </c>
      <c r="C905" s="8">
        <v>45646</v>
      </c>
      <c r="D905" s="2">
        <v>2017</v>
      </c>
      <c r="E905" s="2">
        <v>1</v>
      </c>
      <c r="F905" s="2">
        <v>10</v>
      </c>
      <c r="G905" s="2" t="s">
        <v>20</v>
      </c>
      <c r="H905" s="2" t="s">
        <v>21</v>
      </c>
      <c r="I905" s="2">
        <v>63</v>
      </c>
      <c r="J905" s="2" t="s">
        <v>48</v>
      </c>
      <c r="K905" s="8">
        <v>44933</v>
      </c>
      <c r="L905" s="2" t="s">
        <v>23</v>
      </c>
      <c r="M905" s="2" t="s">
        <v>44</v>
      </c>
      <c r="N905" s="2" t="s">
        <v>25</v>
      </c>
      <c r="O905" s="2">
        <v>11</v>
      </c>
      <c r="P905" s="2">
        <v>10</v>
      </c>
      <c r="Q905" s="2">
        <v>10</v>
      </c>
      <c r="R905" s="9" t="s">
        <v>30</v>
      </c>
      <c r="S905" s="9">
        <f t="shared" si="28"/>
        <v>11</v>
      </c>
      <c r="T905" s="10" t="str">
        <f t="shared" si="29"/>
        <v>Average</v>
      </c>
    </row>
    <row r="906" spans="1:20">
      <c r="A906" s="2">
        <v>500916</v>
      </c>
      <c r="B906" s="2">
        <v>109241</v>
      </c>
      <c r="C906" s="8">
        <v>46176</v>
      </c>
      <c r="D906" s="2">
        <v>2010</v>
      </c>
      <c r="E906" s="2">
        <v>3</v>
      </c>
      <c r="F906" s="2">
        <v>20</v>
      </c>
      <c r="G906" s="2" t="s">
        <v>20</v>
      </c>
      <c r="H906" s="2" t="s">
        <v>47</v>
      </c>
      <c r="I906" s="2">
        <v>31</v>
      </c>
      <c r="J906" s="2" t="s">
        <v>32</v>
      </c>
      <c r="K906" s="8">
        <v>45961</v>
      </c>
      <c r="L906" s="2" t="s">
        <v>41</v>
      </c>
      <c r="M906" s="2" t="s">
        <v>58</v>
      </c>
      <c r="N906" s="2" t="s">
        <v>59</v>
      </c>
      <c r="O906" s="2">
        <v>55</v>
      </c>
      <c r="P906" s="2">
        <v>132</v>
      </c>
      <c r="Q906" s="2">
        <v>132</v>
      </c>
      <c r="R906" s="9" t="s">
        <v>26</v>
      </c>
      <c r="S906" s="9">
        <f t="shared" si="28"/>
        <v>165</v>
      </c>
      <c r="T906" s="10" t="str">
        <f t="shared" si="29"/>
        <v>High</v>
      </c>
    </row>
    <row r="907" spans="1:20">
      <c r="A907" s="2">
        <v>500917</v>
      </c>
      <c r="B907" s="2">
        <v>109649</v>
      </c>
      <c r="C907" s="8">
        <v>45514</v>
      </c>
      <c r="D907" s="2">
        <v>2013</v>
      </c>
      <c r="E907" s="2">
        <v>2</v>
      </c>
      <c r="F907" s="2">
        <v>5</v>
      </c>
      <c r="G907" s="2" t="s">
        <v>31</v>
      </c>
      <c r="H907" s="2" t="s">
        <v>21</v>
      </c>
      <c r="I907" s="2">
        <v>65</v>
      </c>
      <c r="J907" s="2" t="s">
        <v>52</v>
      </c>
      <c r="K907" s="8">
        <v>45990</v>
      </c>
      <c r="L907" s="2" t="s">
        <v>41</v>
      </c>
      <c r="M907" s="2" t="s">
        <v>53</v>
      </c>
      <c r="N907" s="2" t="s">
        <v>54</v>
      </c>
      <c r="O907" s="2">
        <v>7</v>
      </c>
      <c r="P907" s="2">
        <v>13</v>
      </c>
      <c r="Q907" s="2">
        <v>13</v>
      </c>
      <c r="R907" s="9" t="s">
        <v>30</v>
      </c>
      <c r="S907" s="9">
        <f t="shared" si="28"/>
        <v>14</v>
      </c>
      <c r="T907" s="10" t="str">
        <f t="shared" si="29"/>
        <v>Low</v>
      </c>
    </row>
    <row r="908" spans="1:20">
      <c r="A908" s="2">
        <v>500918</v>
      </c>
      <c r="B908" s="2">
        <v>104122</v>
      </c>
      <c r="C908" s="8">
        <v>46046</v>
      </c>
      <c r="D908" s="2">
        <v>2017</v>
      </c>
      <c r="E908" s="2">
        <v>2</v>
      </c>
      <c r="F908" s="2">
        <v>5</v>
      </c>
      <c r="G908" s="2" t="s">
        <v>20</v>
      </c>
      <c r="H908" s="2" t="s">
        <v>21</v>
      </c>
      <c r="I908" s="2">
        <v>63</v>
      </c>
      <c r="J908" s="2" t="s">
        <v>28</v>
      </c>
      <c r="K908" s="8">
        <v>46003</v>
      </c>
      <c r="L908" s="2" t="s">
        <v>41</v>
      </c>
      <c r="M908" s="2" t="s">
        <v>44</v>
      </c>
      <c r="N908" s="2" t="s">
        <v>25</v>
      </c>
      <c r="O908" s="2">
        <v>11</v>
      </c>
      <c r="P908" s="2">
        <v>21</v>
      </c>
      <c r="Q908" s="2">
        <v>21</v>
      </c>
      <c r="R908" s="9" t="s">
        <v>26</v>
      </c>
      <c r="S908" s="9">
        <f t="shared" si="28"/>
        <v>22</v>
      </c>
      <c r="T908" s="10" t="str">
        <f t="shared" si="29"/>
        <v>Low</v>
      </c>
    </row>
    <row r="909" spans="1:20">
      <c r="A909" s="2">
        <v>500919</v>
      </c>
      <c r="B909" s="2">
        <v>102703</v>
      </c>
      <c r="C909" s="8">
        <v>45915</v>
      </c>
      <c r="D909" s="2">
        <v>2006</v>
      </c>
      <c r="E909" s="2">
        <v>3</v>
      </c>
      <c r="F909" s="2">
        <v>0</v>
      </c>
      <c r="G909" s="2" t="s">
        <v>31</v>
      </c>
      <c r="H909" s="2" t="s">
        <v>21</v>
      </c>
      <c r="I909" s="2">
        <v>28</v>
      </c>
      <c r="J909" s="2" t="s">
        <v>35</v>
      </c>
      <c r="K909" s="8">
        <v>45938</v>
      </c>
      <c r="L909" s="2" t="s">
        <v>41</v>
      </c>
      <c r="M909" s="2" t="s">
        <v>57</v>
      </c>
      <c r="N909" s="2" t="s">
        <v>34</v>
      </c>
      <c r="O909" s="2">
        <v>48</v>
      </c>
      <c r="P909" s="2">
        <v>144</v>
      </c>
      <c r="Q909" s="2">
        <v>144</v>
      </c>
      <c r="R909" s="9" t="s">
        <v>26</v>
      </c>
      <c r="S909" s="9">
        <f t="shared" si="28"/>
        <v>144</v>
      </c>
      <c r="T909" s="10" t="str">
        <f t="shared" si="29"/>
        <v>Low</v>
      </c>
    </row>
    <row r="910" spans="1:20">
      <c r="A910" s="2">
        <v>500920</v>
      </c>
      <c r="B910" s="2">
        <v>102127</v>
      </c>
      <c r="C910" s="8">
        <v>46111</v>
      </c>
      <c r="D910" s="2">
        <v>2003</v>
      </c>
      <c r="E910" s="2">
        <v>3</v>
      </c>
      <c r="F910" s="2">
        <v>5</v>
      </c>
      <c r="G910" s="2" t="s">
        <v>31</v>
      </c>
      <c r="H910" s="2" t="s">
        <v>47</v>
      </c>
      <c r="I910" s="2">
        <v>32</v>
      </c>
      <c r="J910" s="2" t="s">
        <v>45</v>
      </c>
      <c r="K910" s="8">
        <v>45421</v>
      </c>
      <c r="L910" s="2" t="s">
        <v>41</v>
      </c>
      <c r="M910" s="2" t="s">
        <v>24</v>
      </c>
      <c r="N910" s="2" t="s">
        <v>25</v>
      </c>
      <c r="O910" s="2">
        <v>9</v>
      </c>
      <c r="P910" s="2">
        <v>26</v>
      </c>
      <c r="Q910" s="2">
        <v>26</v>
      </c>
      <c r="R910" s="9" t="s">
        <v>26</v>
      </c>
      <c r="S910" s="9">
        <f t="shared" si="28"/>
        <v>27</v>
      </c>
      <c r="T910" s="10" t="str">
        <f t="shared" si="29"/>
        <v>Low</v>
      </c>
    </row>
    <row r="911" spans="1:20">
      <c r="A911" s="2">
        <v>500921</v>
      </c>
      <c r="B911" s="2">
        <v>106176</v>
      </c>
      <c r="C911" s="8">
        <v>45932</v>
      </c>
      <c r="D911" s="2">
        <v>2017</v>
      </c>
      <c r="E911" s="2">
        <v>5</v>
      </c>
      <c r="F911" s="2">
        <v>5</v>
      </c>
      <c r="G911" s="2" t="s">
        <v>20</v>
      </c>
      <c r="H911" s="2" t="s">
        <v>21</v>
      </c>
      <c r="I911" s="2">
        <v>39</v>
      </c>
      <c r="J911" s="2" t="s">
        <v>43</v>
      </c>
      <c r="K911" s="8">
        <v>45896</v>
      </c>
      <c r="L911" s="2" t="s">
        <v>41</v>
      </c>
      <c r="M911" s="2" t="s">
        <v>44</v>
      </c>
      <c r="N911" s="2" t="s">
        <v>25</v>
      </c>
      <c r="O911" s="2">
        <v>11</v>
      </c>
      <c r="P911" s="2">
        <v>52</v>
      </c>
      <c r="Q911" s="2">
        <v>52</v>
      </c>
      <c r="R911" s="9" t="s">
        <v>26</v>
      </c>
      <c r="S911" s="9">
        <f t="shared" si="28"/>
        <v>55</v>
      </c>
      <c r="T911" s="10" t="str">
        <f t="shared" si="29"/>
        <v>Low</v>
      </c>
    </row>
    <row r="912" spans="1:20">
      <c r="A912" s="2">
        <v>500922</v>
      </c>
      <c r="B912" s="2">
        <v>106951</v>
      </c>
      <c r="C912" s="8">
        <v>45719</v>
      </c>
      <c r="D912" s="2">
        <v>2004</v>
      </c>
      <c r="E912" s="2">
        <v>1</v>
      </c>
      <c r="F912" s="2">
        <v>10</v>
      </c>
      <c r="G912" s="2" t="s">
        <v>27</v>
      </c>
      <c r="H912" s="2" t="s">
        <v>21</v>
      </c>
      <c r="I912" s="2">
        <v>51</v>
      </c>
      <c r="J912" s="2" t="s">
        <v>55</v>
      </c>
      <c r="K912" s="8">
        <v>45402</v>
      </c>
      <c r="L912" s="2" t="s">
        <v>49</v>
      </c>
      <c r="M912" s="2" t="s">
        <v>46</v>
      </c>
      <c r="N912" s="2" t="s">
        <v>34</v>
      </c>
      <c r="O912" s="2">
        <v>35</v>
      </c>
      <c r="P912" s="2">
        <v>32</v>
      </c>
      <c r="Q912" s="2">
        <v>32</v>
      </c>
      <c r="R912" s="9" t="s">
        <v>26</v>
      </c>
      <c r="S912" s="9">
        <f t="shared" si="28"/>
        <v>35</v>
      </c>
      <c r="T912" s="10" t="str">
        <f t="shared" si="29"/>
        <v>Average</v>
      </c>
    </row>
    <row r="913" spans="1:20">
      <c r="A913" s="2">
        <v>500923</v>
      </c>
      <c r="B913" s="2">
        <v>107765</v>
      </c>
      <c r="C913" s="8">
        <v>45649</v>
      </c>
      <c r="D913" s="2">
        <v>2004</v>
      </c>
      <c r="E913" s="2">
        <v>3</v>
      </c>
      <c r="F913" s="2">
        <v>0</v>
      </c>
      <c r="G913" s="2" t="s">
        <v>20</v>
      </c>
      <c r="H913" s="2" t="s">
        <v>21</v>
      </c>
      <c r="I913" s="2">
        <v>40</v>
      </c>
      <c r="J913" s="2" t="s">
        <v>43</v>
      </c>
      <c r="K913" s="8">
        <v>45182</v>
      </c>
      <c r="L913" s="2" t="s">
        <v>23</v>
      </c>
      <c r="M913" s="2" t="s">
        <v>46</v>
      </c>
      <c r="N913" s="2" t="s">
        <v>34</v>
      </c>
      <c r="O913" s="2">
        <v>35</v>
      </c>
      <c r="P913" s="2">
        <v>105</v>
      </c>
      <c r="Q913" s="2">
        <v>105</v>
      </c>
      <c r="R913" s="9" t="s">
        <v>30</v>
      </c>
      <c r="S913" s="9">
        <f t="shared" si="28"/>
        <v>105</v>
      </c>
      <c r="T913" s="10" t="str">
        <f t="shared" si="29"/>
        <v>Low</v>
      </c>
    </row>
    <row r="914" spans="1:20">
      <c r="A914" s="2">
        <v>500924</v>
      </c>
      <c r="B914" s="2">
        <v>102040</v>
      </c>
      <c r="C914" s="8">
        <v>46008</v>
      </c>
      <c r="D914" s="2">
        <v>2008</v>
      </c>
      <c r="E914" s="2">
        <v>1</v>
      </c>
      <c r="F914" s="2">
        <v>0</v>
      </c>
      <c r="G914" s="2" t="s">
        <v>20</v>
      </c>
      <c r="H914" s="2" t="s">
        <v>21</v>
      </c>
      <c r="I914" s="2">
        <v>39</v>
      </c>
      <c r="J914" s="2" t="s">
        <v>52</v>
      </c>
      <c r="K914" s="8">
        <v>46017</v>
      </c>
      <c r="L914" s="2" t="s">
        <v>49</v>
      </c>
      <c r="M914" s="2" t="s">
        <v>39</v>
      </c>
      <c r="N914" s="2" t="s">
        <v>25</v>
      </c>
      <c r="O914" s="2">
        <v>14</v>
      </c>
      <c r="P914" s="2">
        <v>14</v>
      </c>
      <c r="Q914" s="2">
        <v>14</v>
      </c>
      <c r="R914" s="9" t="s">
        <v>26</v>
      </c>
      <c r="S914" s="9">
        <f t="shared" si="28"/>
        <v>14</v>
      </c>
      <c r="T914" s="10" t="str">
        <f t="shared" si="29"/>
        <v>Low</v>
      </c>
    </row>
    <row r="915" spans="1:20">
      <c r="A915" s="2">
        <v>500925</v>
      </c>
      <c r="B915" s="2">
        <v>106633</v>
      </c>
      <c r="C915" s="8">
        <v>46018</v>
      </c>
      <c r="D915" s="2">
        <v>2003</v>
      </c>
      <c r="E915" s="2">
        <v>2</v>
      </c>
      <c r="F915" s="2">
        <v>10</v>
      </c>
      <c r="G915" s="2" t="s">
        <v>20</v>
      </c>
      <c r="H915" s="2" t="s">
        <v>21</v>
      </c>
      <c r="I915" s="2">
        <v>27</v>
      </c>
      <c r="J915" s="2" t="s">
        <v>32</v>
      </c>
      <c r="K915" s="8">
        <v>45414</v>
      </c>
      <c r="L915" s="2" t="s">
        <v>23</v>
      </c>
      <c r="M915" s="2" t="s">
        <v>24</v>
      </c>
      <c r="N915" s="2" t="s">
        <v>25</v>
      </c>
      <c r="O915" s="2">
        <v>9</v>
      </c>
      <c r="P915" s="2">
        <v>16</v>
      </c>
      <c r="Q915" s="2">
        <v>16</v>
      </c>
      <c r="R915" s="9" t="s">
        <v>26</v>
      </c>
      <c r="S915" s="9">
        <f t="shared" si="28"/>
        <v>18</v>
      </c>
      <c r="T915" s="10" t="str">
        <f t="shared" si="29"/>
        <v>Average</v>
      </c>
    </row>
    <row r="916" spans="1:20">
      <c r="A916" s="2">
        <v>500926</v>
      </c>
      <c r="B916" s="2">
        <v>106811</v>
      </c>
      <c r="C916" s="8">
        <v>45800</v>
      </c>
      <c r="D916" s="2">
        <v>2006</v>
      </c>
      <c r="E916" s="2">
        <v>3</v>
      </c>
      <c r="F916" s="2">
        <v>0</v>
      </c>
      <c r="G916" s="2" t="s">
        <v>56</v>
      </c>
      <c r="H916" s="2" t="s">
        <v>21</v>
      </c>
      <c r="I916" s="2">
        <v>57</v>
      </c>
      <c r="J916" s="2" t="s">
        <v>28</v>
      </c>
      <c r="K916" s="8">
        <v>45520</v>
      </c>
      <c r="L916" s="2" t="s">
        <v>23</v>
      </c>
      <c r="M916" s="2" t="s">
        <v>57</v>
      </c>
      <c r="N916" s="2" t="s">
        <v>34</v>
      </c>
      <c r="O916" s="2">
        <v>48</v>
      </c>
      <c r="P916" s="2">
        <v>144</v>
      </c>
      <c r="Q916" s="2">
        <v>144</v>
      </c>
      <c r="R916" s="9" t="s">
        <v>26</v>
      </c>
      <c r="S916" s="9">
        <f t="shared" si="28"/>
        <v>144</v>
      </c>
      <c r="T916" s="10" t="str">
        <f t="shared" si="29"/>
        <v>Low</v>
      </c>
    </row>
    <row r="917" spans="1:20">
      <c r="A917" s="2">
        <v>500927</v>
      </c>
      <c r="B917" s="2">
        <v>104932</v>
      </c>
      <c r="C917" s="8">
        <v>45898</v>
      </c>
      <c r="D917" s="2">
        <v>2010</v>
      </c>
      <c r="E917" s="2">
        <v>1</v>
      </c>
      <c r="F917" s="2">
        <v>15</v>
      </c>
      <c r="G917" s="2" t="s">
        <v>27</v>
      </c>
      <c r="H917" s="2" t="s">
        <v>21</v>
      </c>
      <c r="I917" s="2">
        <v>53</v>
      </c>
      <c r="J917" s="2" t="s">
        <v>38</v>
      </c>
      <c r="K917" s="8">
        <v>45524</v>
      </c>
      <c r="L917" s="2" t="s">
        <v>23</v>
      </c>
      <c r="M917" s="2" t="s">
        <v>58</v>
      </c>
      <c r="N917" s="2" t="s">
        <v>59</v>
      </c>
      <c r="O917" s="2">
        <v>55</v>
      </c>
      <c r="P917" s="2">
        <v>47</v>
      </c>
      <c r="Q917" s="2">
        <v>47</v>
      </c>
      <c r="R917" s="9" t="s">
        <v>26</v>
      </c>
      <c r="S917" s="9">
        <f t="shared" si="28"/>
        <v>55</v>
      </c>
      <c r="T917" s="10" t="str">
        <f t="shared" si="29"/>
        <v>High</v>
      </c>
    </row>
    <row r="918" spans="1:20">
      <c r="A918" s="2">
        <v>500928</v>
      </c>
      <c r="B918" s="2">
        <v>106858</v>
      </c>
      <c r="C918" s="8">
        <v>45691</v>
      </c>
      <c r="D918" s="2">
        <v>2017</v>
      </c>
      <c r="E918" s="2">
        <v>1</v>
      </c>
      <c r="F918" s="2">
        <v>0</v>
      </c>
      <c r="G918" s="2" t="s">
        <v>20</v>
      </c>
      <c r="H918" s="2" t="s">
        <v>21</v>
      </c>
      <c r="I918" s="2">
        <v>62</v>
      </c>
      <c r="J918" s="2" t="s">
        <v>35</v>
      </c>
      <c r="K918" s="8">
        <v>45495</v>
      </c>
      <c r="L918" s="2" t="s">
        <v>41</v>
      </c>
      <c r="M918" s="2" t="s">
        <v>44</v>
      </c>
      <c r="N918" s="2" t="s">
        <v>25</v>
      </c>
      <c r="O918" s="2">
        <v>11</v>
      </c>
      <c r="P918" s="2">
        <v>11</v>
      </c>
      <c r="Q918" s="2">
        <v>11</v>
      </c>
      <c r="R918" s="9" t="s">
        <v>26</v>
      </c>
      <c r="S918" s="9">
        <f t="shared" si="28"/>
        <v>11</v>
      </c>
      <c r="T918" s="10" t="str">
        <f t="shared" si="29"/>
        <v>Low</v>
      </c>
    </row>
    <row r="919" spans="1:20">
      <c r="A919" s="2">
        <v>500929</v>
      </c>
      <c r="B919" s="2">
        <v>104910</v>
      </c>
      <c r="C919" s="8">
        <v>45480</v>
      </c>
      <c r="D919" s="2">
        <v>2002</v>
      </c>
      <c r="E919" s="2">
        <v>1</v>
      </c>
      <c r="F919" s="2">
        <v>0</v>
      </c>
      <c r="G919" s="2" t="s">
        <v>31</v>
      </c>
      <c r="H919" s="2" t="s">
        <v>21</v>
      </c>
      <c r="I919" s="2">
        <v>47</v>
      </c>
      <c r="J919" s="2" t="s">
        <v>55</v>
      </c>
      <c r="K919" s="8">
        <v>45223</v>
      </c>
      <c r="L919" s="2" t="s">
        <v>41</v>
      </c>
      <c r="M919" s="2" t="s">
        <v>33</v>
      </c>
      <c r="N919" s="2" t="s">
        <v>34</v>
      </c>
      <c r="O919" s="2">
        <v>62</v>
      </c>
      <c r="P919" s="2">
        <v>62</v>
      </c>
      <c r="Q919" s="2">
        <v>62</v>
      </c>
      <c r="R919" s="9" t="s">
        <v>30</v>
      </c>
      <c r="S919" s="9">
        <f t="shared" si="28"/>
        <v>62</v>
      </c>
      <c r="T919" s="10" t="str">
        <f t="shared" si="29"/>
        <v>Low</v>
      </c>
    </row>
    <row r="920" spans="1:20">
      <c r="A920" s="2">
        <v>500930</v>
      </c>
      <c r="B920" s="2">
        <v>107999</v>
      </c>
      <c r="C920" s="8">
        <v>45335</v>
      </c>
      <c r="D920" s="2">
        <v>2017</v>
      </c>
      <c r="E920" s="2">
        <v>3</v>
      </c>
      <c r="F920" s="2">
        <v>0</v>
      </c>
      <c r="G920" s="2" t="s">
        <v>20</v>
      </c>
      <c r="H920" s="2" t="s">
        <v>21</v>
      </c>
      <c r="I920" s="2">
        <v>24</v>
      </c>
      <c r="J920" s="2" t="s">
        <v>55</v>
      </c>
      <c r="K920" s="8">
        <v>45371</v>
      </c>
      <c r="L920" s="2" t="s">
        <v>41</v>
      </c>
      <c r="M920" s="2" t="s">
        <v>44</v>
      </c>
      <c r="N920" s="2" t="s">
        <v>25</v>
      </c>
      <c r="O920" s="2">
        <v>11</v>
      </c>
      <c r="P920" s="2">
        <v>33</v>
      </c>
      <c r="Q920" s="2">
        <v>33</v>
      </c>
      <c r="R920" s="9" t="s">
        <v>30</v>
      </c>
      <c r="S920" s="9">
        <f t="shared" si="28"/>
        <v>33</v>
      </c>
      <c r="T920" s="10" t="str">
        <f t="shared" si="29"/>
        <v>Low</v>
      </c>
    </row>
    <row r="921" spans="1:20">
      <c r="A921" s="2">
        <v>500931</v>
      </c>
      <c r="B921" s="2">
        <v>103050</v>
      </c>
      <c r="C921" s="8">
        <v>45856</v>
      </c>
      <c r="D921" s="2">
        <v>2008</v>
      </c>
      <c r="E921" s="2">
        <v>1</v>
      </c>
      <c r="F921" s="2">
        <v>5</v>
      </c>
      <c r="G921" s="2" t="s">
        <v>20</v>
      </c>
      <c r="H921" s="2" t="s">
        <v>21</v>
      </c>
      <c r="I921" s="2">
        <v>51</v>
      </c>
      <c r="J921" s="2" t="s">
        <v>38</v>
      </c>
      <c r="K921" s="8">
        <v>45454</v>
      </c>
      <c r="L921" s="2" t="s">
        <v>23</v>
      </c>
      <c r="M921" s="2" t="s">
        <v>39</v>
      </c>
      <c r="N921" s="2" t="s">
        <v>25</v>
      </c>
      <c r="O921" s="2">
        <v>14</v>
      </c>
      <c r="P921" s="2">
        <v>13</v>
      </c>
      <c r="Q921" s="2">
        <v>13</v>
      </c>
      <c r="R921" s="9" t="s">
        <v>26</v>
      </c>
      <c r="S921" s="9">
        <f t="shared" si="28"/>
        <v>14</v>
      </c>
      <c r="T921" s="10" t="str">
        <f t="shared" si="29"/>
        <v>Low</v>
      </c>
    </row>
    <row r="922" spans="1:20">
      <c r="A922" s="2">
        <v>500932</v>
      </c>
      <c r="B922" s="2">
        <v>102544</v>
      </c>
      <c r="C922" s="8">
        <v>45870</v>
      </c>
      <c r="D922" s="2">
        <v>2016</v>
      </c>
      <c r="E922" s="2">
        <v>1</v>
      </c>
      <c r="F922" s="2">
        <v>10</v>
      </c>
      <c r="G922" s="2" t="s">
        <v>20</v>
      </c>
      <c r="H922" s="2" t="s">
        <v>21</v>
      </c>
      <c r="I922" s="2">
        <v>36</v>
      </c>
      <c r="J922" s="2" t="s">
        <v>28</v>
      </c>
      <c r="K922" s="8">
        <v>46013</v>
      </c>
      <c r="L922" s="2" t="s">
        <v>41</v>
      </c>
      <c r="M922" s="2" t="s">
        <v>67</v>
      </c>
      <c r="N922" s="2" t="s">
        <v>34</v>
      </c>
      <c r="O922" s="2">
        <v>21</v>
      </c>
      <c r="P922" s="2">
        <v>19</v>
      </c>
      <c r="Q922" s="2">
        <v>19</v>
      </c>
      <c r="R922" s="9" t="s">
        <v>26</v>
      </c>
      <c r="S922" s="9">
        <f t="shared" si="28"/>
        <v>21</v>
      </c>
      <c r="T922" s="10" t="str">
        <f t="shared" si="29"/>
        <v>Average</v>
      </c>
    </row>
    <row r="923" spans="1:20">
      <c r="A923" s="2">
        <v>500933</v>
      </c>
      <c r="B923" s="2">
        <v>106150</v>
      </c>
      <c r="C923" s="8">
        <v>45866</v>
      </c>
      <c r="D923" s="2">
        <v>2017</v>
      </c>
      <c r="E923" s="2">
        <v>2</v>
      </c>
      <c r="F923" s="2">
        <v>30</v>
      </c>
      <c r="G923" s="2" t="s">
        <v>27</v>
      </c>
      <c r="H923" s="2" t="s">
        <v>21</v>
      </c>
      <c r="I923" s="2">
        <v>59</v>
      </c>
      <c r="J923" s="2" t="s">
        <v>38</v>
      </c>
      <c r="K923" s="8">
        <v>45422</v>
      </c>
      <c r="L923" s="2" t="s">
        <v>49</v>
      </c>
      <c r="M923" s="2" t="s">
        <v>44</v>
      </c>
      <c r="N923" s="2" t="s">
        <v>25</v>
      </c>
      <c r="O923" s="2">
        <v>11</v>
      </c>
      <c r="P923" s="2">
        <v>15</v>
      </c>
      <c r="Q923" s="2">
        <v>15</v>
      </c>
      <c r="R923" s="9" t="s">
        <v>26</v>
      </c>
      <c r="S923" s="9">
        <f t="shared" si="28"/>
        <v>22</v>
      </c>
      <c r="T923" s="10" t="str">
        <f t="shared" si="29"/>
        <v>High</v>
      </c>
    </row>
    <row r="924" spans="1:20">
      <c r="A924" s="2">
        <v>500934</v>
      </c>
      <c r="B924" s="2">
        <v>103207</v>
      </c>
      <c r="C924" s="8">
        <v>45778</v>
      </c>
      <c r="D924" s="2">
        <v>2009</v>
      </c>
      <c r="E924" s="2">
        <v>3</v>
      </c>
      <c r="F924" s="2">
        <v>0</v>
      </c>
      <c r="G924" s="2" t="s">
        <v>56</v>
      </c>
      <c r="H924" s="2" t="s">
        <v>47</v>
      </c>
      <c r="I924" s="2">
        <v>65</v>
      </c>
      <c r="J924" s="2" t="s">
        <v>45</v>
      </c>
      <c r="K924" s="8">
        <v>45687</v>
      </c>
      <c r="L924" s="2" t="s">
        <v>23</v>
      </c>
      <c r="M924" s="2" t="s">
        <v>65</v>
      </c>
      <c r="N924" s="2" t="s">
        <v>59</v>
      </c>
      <c r="O924" s="2">
        <v>120</v>
      </c>
      <c r="P924" s="2">
        <v>360</v>
      </c>
      <c r="Q924" s="2">
        <v>360</v>
      </c>
      <c r="R924" s="9" t="s">
        <v>26</v>
      </c>
      <c r="S924" s="9">
        <f t="shared" si="28"/>
        <v>360</v>
      </c>
      <c r="T924" s="10" t="str">
        <f t="shared" si="29"/>
        <v>Low</v>
      </c>
    </row>
    <row r="925" spans="1:20">
      <c r="A925" s="2">
        <v>500935</v>
      </c>
      <c r="B925" s="2">
        <v>105057</v>
      </c>
      <c r="C925" s="8">
        <v>45587</v>
      </c>
      <c r="D925" s="2">
        <v>2017</v>
      </c>
      <c r="E925" s="2">
        <v>1</v>
      </c>
      <c r="F925" s="2">
        <v>0</v>
      </c>
      <c r="G925" s="2" t="s">
        <v>20</v>
      </c>
      <c r="H925" s="2" t="s">
        <v>21</v>
      </c>
      <c r="I925" s="2">
        <v>63</v>
      </c>
      <c r="J925" s="2" t="s">
        <v>32</v>
      </c>
      <c r="K925" s="8">
        <v>45217</v>
      </c>
      <c r="L925" s="2" t="s">
        <v>41</v>
      </c>
      <c r="M925" s="2" t="s">
        <v>44</v>
      </c>
      <c r="N925" s="2" t="s">
        <v>25</v>
      </c>
      <c r="O925" s="2">
        <v>11</v>
      </c>
      <c r="P925" s="2">
        <v>11</v>
      </c>
      <c r="Q925" s="2">
        <v>11</v>
      </c>
      <c r="R925" s="9" t="s">
        <v>30</v>
      </c>
      <c r="S925" s="9">
        <f t="shared" si="28"/>
        <v>11</v>
      </c>
      <c r="T925" s="10" t="str">
        <f t="shared" si="29"/>
        <v>Low</v>
      </c>
    </row>
    <row r="926" spans="1:20">
      <c r="A926" s="2">
        <v>500936</v>
      </c>
      <c r="B926" s="2">
        <v>102519</v>
      </c>
      <c r="C926" s="8">
        <v>45501</v>
      </c>
      <c r="D926" s="2">
        <v>2003</v>
      </c>
      <c r="E926" s="2">
        <v>3</v>
      </c>
      <c r="F926" s="2">
        <v>15</v>
      </c>
      <c r="G926" s="2" t="s">
        <v>27</v>
      </c>
      <c r="H926" s="2" t="s">
        <v>21</v>
      </c>
      <c r="I926" s="2">
        <v>24</v>
      </c>
      <c r="J926" s="2" t="s">
        <v>45</v>
      </c>
      <c r="K926" s="8">
        <v>45358</v>
      </c>
      <c r="L926" s="2" t="s">
        <v>41</v>
      </c>
      <c r="M926" s="2" t="s">
        <v>24</v>
      </c>
      <c r="N926" s="2" t="s">
        <v>25</v>
      </c>
      <c r="O926" s="2">
        <v>9</v>
      </c>
      <c r="P926" s="2">
        <v>23</v>
      </c>
      <c r="Q926" s="2">
        <v>23</v>
      </c>
      <c r="R926" s="9" t="s">
        <v>30</v>
      </c>
      <c r="S926" s="9">
        <f t="shared" si="28"/>
        <v>27</v>
      </c>
      <c r="T926" s="10" t="str">
        <f t="shared" si="29"/>
        <v>High</v>
      </c>
    </row>
    <row r="927" spans="1:20">
      <c r="A927" s="2">
        <v>500937</v>
      </c>
      <c r="B927" s="2">
        <v>102437</v>
      </c>
      <c r="C927" s="8">
        <v>45348</v>
      </c>
      <c r="D927" s="2">
        <v>2017</v>
      </c>
      <c r="E927" s="2">
        <v>1</v>
      </c>
      <c r="F927" s="2">
        <v>5</v>
      </c>
      <c r="G927" s="2" t="s">
        <v>20</v>
      </c>
      <c r="H927" s="2" t="s">
        <v>21</v>
      </c>
      <c r="I927" s="2">
        <v>48</v>
      </c>
      <c r="J927" s="2" t="s">
        <v>32</v>
      </c>
      <c r="K927" s="8">
        <v>45586</v>
      </c>
      <c r="L927" s="2" t="s">
        <v>41</v>
      </c>
      <c r="M927" s="2" t="s">
        <v>44</v>
      </c>
      <c r="N927" s="2" t="s">
        <v>25</v>
      </c>
      <c r="O927" s="2">
        <v>11</v>
      </c>
      <c r="P927" s="2">
        <v>10</v>
      </c>
      <c r="Q927" s="2">
        <v>10</v>
      </c>
      <c r="R927" s="9" t="s">
        <v>30</v>
      </c>
      <c r="S927" s="9">
        <f t="shared" si="28"/>
        <v>11</v>
      </c>
      <c r="T927" s="10" t="str">
        <f t="shared" si="29"/>
        <v>Low</v>
      </c>
    </row>
    <row r="928" spans="1:20">
      <c r="A928" s="2">
        <v>500938</v>
      </c>
      <c r="B928" s="2">
        <v>106393</v>
      </c>
      <c r="C928" s="8">
        <v>45419</v>
      </c>
      <c r="D928" s="2">
        <v>2017</v>
      </c>
      <c r="E928" s="2">
        <v>3</v>
      </c>
      <c r="F928" s="2">
        <v>0</v>
      </c>
      <c r="G928" s="2" t="s">
        <v>31</v>
      </c>
      <c r="H928" s="2" t="s">
        <v>21</v>
      </c>
      <c r="I928" s="2">
        <v>30</v>
      </c>
      <c r="J928" s="2" t="s">
        <v>38</v>
      </c>
      <c r="K928" s="8">
        <v>45097</v>
      </c>
      <c r="L928" s="2" t="s">
        <v>49</v>
      </c>
      <c r="M928" s="2" t="s">
        <v>44</v>
      </c>
      <c r="N928" s="2" t="s">
        <v>25</v>
      </c>
      <c r="O928" s="2">
        <v>11</v>
      </c>
      <c r="P928" s="2">
        <v>33</v>
      </c>
      <c r="Q928" s="2">
        <v>33</v>
      </c>
      <c r="R928" s="9" t="s">
        <v>30</v>
      </c>
      <c r="S928" s="9">
        <f t="shared" si="28"/>
        <v>33</v>
      </c>
      <c r="T928" s="10" t="str">
        <f t="shared" si="29"/>
        <v>Low</v>
      </c>
    </row>
    <row r="929" spans="1:20">
      <c r="A929" s="2">
        <v>500939</v>
      </c>
      <c r="B929" s="2">
        <v>102808</v>
      </c>
      <c r="C929" s="8">
        <v>45835</v>
      </c>
      <c r="D929" s="2">
        <v>2011</v>
      </c>
      <c r="E929" s="2">
        <v>1</v>
      </c>
      <c r="F929" s="2">
        <v>30</v>
      </c>
      <c r="G929" s="2" t="s">
        <v>31</v>
      </c>
      <c r="H929" s="2" t="s">
        <v>21</v>
      </c>
      <c r="I929" s="2">
        <v>32</v>
      </c>
      <c r="J929" s="2" t="s">
        <v>45</v>
      </c>
      <c r="K929" s="8">
        <v>45538</v>
      </c>
      <c r="L929" s="2" t="s">
        <v>23</v>
      </c>
      <c r="M929" s="2" t="s">
        <v>42</v>
      </c>
      <c r="N929" s="2" t="s">
        <v>37</v>
      </c>
      <c r="O929" s="2">
        <v>32</v>
      </c>
      <c r="P929" s="2">
        <v>22</v>
      </c>
      <c r="Q929" s="2">
        <v>22</v>
      </c>
      <c r="R929" s="9" t="s">
        <v>26</v>
      </c>
      <c r="S929" s="9">
        <f t="shared" si="28"/>
        <v>32</v>
      </c>
      <c r="T929" s="10" t="str">
        <f t="shared" si="29"/>
        <v>High</v>
      </c>
    </row>
    <row r="930" spans="1:20">
      <c r="A930" s="2">
        <v>500940</v>
      </c>
      <c r="B930" s="2">
        <v>109761</v>
      </c>
      <c r="C930" s="8">
        <v>45955</v>
      </c>
      <c r="D930" s="2">
        <v>2013</v>
      </c>
      <c r="E930" s="2">
        <v>3</v>
      </c>
      <c r="F930" s="2">
        <v>5</v>
      </c>
      <c r="G930" s="2" t="s">
        <v>20</v>
      </c>
      <c r="H930" s="2" t="s">
        <v>21</v>
      </c>
      <c r="I930" s="2">
        <v>46</v>
      </c>
      <c r="J930" s="2" t="s">
        <v>45</v>
      </c>
      <c r="K930" s="8">
        <v>45760</v>
      </c>
      <c r="L930" s="2" t="s">
        <v>41</v>
      </c>
      <c r="M930" s="2" t="s">
        <v>53</v>
      </c>
      <c r="N930" s="2" t="s">
        <v>54</v>
      </c>
      <c r="O930" s="2">
        <v>7</v>
      </c>
      <c r="P930" s="2">
        <v>20</v>
      </c>
      <c r="Q930" s="2">
        <v>20</v>
      </c>
      <c r="R930" s="9" t="s">
        <v>26</v>
      </c>
      <c r="S930" s="9">
        <f t="shared" si="28"/>
        <v>21</v>
      </c>
      <c r="T930" s="10" t="str">
        <f t="shared" si="29"/>
        <v>Low</v>
      </c>
    </row>
    <row r="931" spans="1:20">
      <c r="A931" s="2">
        <v>500941</v>
      </c>
      <c r="B931" s="2">
        <v>108151</v>
      </c>
      <c r="C931" s="8">
        <v>46086</v>
      </c>
      <c r="D931" s="2">
        <v>2014</v>
      </c>
      <c r="E931" s="2">
        <v>3</v>
      </c>
      <c r="F931" s="2">
        <v>5</v>
      </c>
      <c r="G931" s="2" t="s">
        <v>56</v>
      </c>
      <c r="H931" s="2" t="s">
        <v>47</v>
      </c>
      <c r="I931" s="2">
        <v>57</v>
      </c>
      <c r="J931" s="2" t="s">
        <v>38</v>
      </c>
      <c r="K931" s="8">
        <v>45257</v>
      </c>
      <c r="L931" s="2" t="s">
        <v>23</v>
      </c>
      <c r="M931" s="2" t="s">
        <v>29</v>
      </c>
      <c r="N931" s="2" t="s">
        <v>25</v>
      </c>
      <c r="O931" s="2">
        <v>42</v>
      </c>
      <c r="P931" s="2">
        <v>120</v>
      </c>
      <c r="Q931" s="2">
        <v>120</v>
      </c>
      <c r="R931" s="9" t="s">
        <v>26</v>
      </c>
      <c r="S931" s="9">
        <f t="shared" si="28"/>
        <v>126</v>
      </c>
      <c r="T931" s="10" t="str">
        <f t="shared" si="29"/>
        <v>Low</v>
      </c>
    </row>
    <row r="932" spans="1:20">
      <c r="A932" s="2">
        <v>500942</v>
      </c>
      <c r="B932" s="2">
        <v>104200</v>
      </c>
      <c r="C932" s="8">
        <v>45364</v>
      </c>
      <c r="D932" s="2">
        <v>2020</v>
      </c>
      <c r="E932" s="2">
        <v>1</v>
      </c>
      <c r="F932" s="2">
        <v>10</v>
      </c>
      <c r="G932" s="2" t="s">
        <v>20</v>
      </c>
      <c r="H932" s="2" t="s">
        <v>40</v>
      </c>
      <c r="I932" s="2">
        <v>29</v>
      </c>
      <c r="J932" s="2" t="s">
        <v>43</v>
      </c>
      <c r="K932" s="8">
        <v>45987</v>
      </c>
      <c r="L932" s="2" t="s">
        <v>41</v>
      </c>
      <c r="M932" s="2" t="s">
        <v>62</v>
      </c>
      <c r="N932" s="2" t="s">
        <v>63</v>
      </c>
      <c r="O932" s="2">
        <v>68</v>
      </c>
      <c r="P932" s="2">
        <v>61</v>
      </c>
      <c r="Q932" s="2">
        <v>61</v>
      </c>
      <c r="R932" s="9" t="s">
        <v>30</v>
      </c>
      <c r="S932" s="9">
        <f t="shared" si="28"/>
        <v>68</v>
      </c>
      <c r="T932" s="10" t="str">
        <f t="shared" si="29"/>
        <v>Average</v>
      </c>
    </row>
    <row r="933" spans="1:20">
      <c r="A933" s="2">
        <v>500943</v>
      </c>
      <c r="B933" s="2">
        <v>102428</v>
      </c>
      <c r="C933" s="8">
        <v>45995</v>
      </c>
      <c r="D933" s="2">
        <v>2008</v>
      </c>
      <c r="E933" s="2">
        <v>1</v>
      </c>
      <c r="F933" s="2">
        <v>0</v>
      </c>
      <c r="G933" s="2" t="s">
        <v>56</v>
      </c>
      <c r="H933" s="2" t="s">
        <v>21</v>
      </c>
      <c r="I933" s="2">
        <v>36</v>
      </c>
      <c r="J933" s="2" t="s">
        <v>32</v>
      </c>
      <c r="K933" s="8">
        <v>44928</v>
      </c>
      <c r="L933" s="2" t="s">
        <v>23</v>
      </c>
      <c r="M933" s="2" t="s">
        <v>39</v>
      </c>
      <c r="N933" s="2" t="s">
        <v>25</v>
      </c>
      <c r="O933" s="2">
        <v>14</v>
      </c>
      <c r="P933" s="2">
        <v>14</v>
      </c>
      <c r="Q933" s="2">
        <v>14</v>
      </c>
      <c r="R933" s="9" t="s">
        <v>26</v>
      </c>
      <c r="S933" s="9">
        <f t="shared" si="28"/>
        <v>14</v>
      </c>
      <c r="T933" s="10" t="str">
        <f t="shared" si="29"/>
        <v>Low</v>
      </c>
    </row>
    <row r="934" spans="1:20">
      <c r="A934" s="2">
        <v>500944</v>
      </c>
      <c r="B934" s="2">
        <v>103367</v>
      </c>
      <c r="C934" s="8">
        <v>45808</v>
      </c>
      <c r="D934" s="2">
        <v>2008</v>
      </c>
      <c r="E934" s="2">
        <v>1</v>
      </c>
      <c r="F934" s="2">
        <v>5</v>
      </c>
      <c r="G934" s="2" t="s">
        <v>20</v>
      </c>
      <c r="H934" s="2" t="s">
        <v>21</v>
      </c>
      <c r="I934" s="2">
        <v>47</v>
      </c>
      <c r="J934" s="2" t="s">
        <v>32</v>
      </c>
      <c r="K934" s="8">
        <v>45639</v>
      </c>
      <c r="L934" s="2" t="s">
        <v>49</v>
      </c>
      <c r="M934" s="2" t="s">
        <v>39</v>
      </c>
      <c r="N934" s="2" t="s">
        <v>25</v>
      </c>
      <c r="O934" s="2">
        <v>14</v>
      </c>
      <c r="P934" s="2">
        <v>13</v>
      </c>
      <c r="Q934" s="2">
        <v>13</v>
      </c>
      <c r="R934" s="9" t="s">
        <v>26</v>
      </c>
      <c r="S934" s="9">
        <f t="shared" si="28"/>
        <v>14</v>
      </c>
      <c r="T934" s="10" t="str">
        <f t="shared" si="29"/>
        <v>Low</v>
      </c>
    </row>
    <row r="935" spans="1:20">
      <c r="A935" s="2">
        <v>500945</v>
      </c>
      <c r="B935" s="2">
        <v>104469</v>
      </c>
      <c r="C935" s="8">
        <v>45552</v>
      </c>
      <c r="D935" s="2">
        <v>2006</v>
      </c>
      <c r="E935" s="2">
        <v>4</v>
      </c>
      <c r="F935" s="2">
        <v>20</v>
      </c>
      <c r="G935" s="2" t="s">
        <v>20</v>
      </c>
      <c r="H935" s="2" t="s">
        <v>21</v>
      </c>
      <c r="I935" s="2">
        <v>60</v>
      </c>
      <c r="J935" s="2" t="s">
        <v>35</v>
      </c>
      <c r="K935" s="8">
        <v>45750</v>
      </c>
      <c r="L935" s="2" t="s">
        <v>23</v>
      </c>
      <c r="M935" s="2" t="s">
        <v>57</v>
      </c>
      <c r="N935" s="2" t="s">
        <v>34</v>
      </c>
      <c r="O935" s="2">
        <v>48</v>
      </c>
      <c r="P935" s="2">
        <v>154</v>
      </c>
      <c r="Q935" s="2">
        <v>154</v>
      </c>
      <c r="R935" s="9" t="s">
        <v>30</v>
      </c>
      <c r="S935" s="9">
        <f t="shared" si="28"/>
        <v>192</v>
      </c>
      <c r="T935" s="10" t="str">
        <f t="shared" si="29"/>
        <v>High</v>
      </c>
    </row>
    <row r="936" spans="1:20">
      <c r="A936" s="2">
        <v>500946</v>
      </c>
      <c r="B936" s="2">
        <v>105801</v>
      </c>
      <c r="C936" s="8">
        <v>45919</v>
      </c>
      <c r="D936" s="2">
        <v>2003</v>
      </c>
      <c r="E936" s="2">
        <v>1</v>
      </c>
      <c r="F936" s="2">
        <v>20</v>
      </c>
      <c r="G936" s="2" t="s">
        <v>20</v>
      </c>
      <c r="H936" s="2" t="s">
        <v>21</v>
      </c>
      <c r="I936" s="2">
        <v>23</v>
      </c>
      <c r="J936" s="2" t="s">
        <v>32</v>
      </c>
      <c r="K936" s="8">
        <v>45823</v>
      </c>
      <c r="L936" s="2" t="s">
        <v>49</v>
      </c>
      <c r="M936" s="2" t="s">
        <v>24</v>
      </c>
      <c r="N936" s="2" t="s">
        <v>25</v>
      </c>
      <c r="O936" s="2">
        <v>9</v>
      </c>
      <c r="P936" s="2">
        <v>7</v>
      </c>
      <c r="Q936" s="2">
        <v>7</v>
      </c>
      <c r="R936" s="9" t="s">
        <v>26</v>
      </c>
      <c r="S936" s="9">
        <f t="shared" si="28"/>
        <v>9</v>
      </c>
      <c r="T936" s="10" t="str">
        <f t="shared" si="29"/>
        <v>High</v>
      </c>
    </row>
    <row r="937" spans="1:20">
      <c r="A937" s="2">
        <v>500947</v>
      </c>
      <c r="B937" s="2">
        <v>103584</v>
      </c>
      <c r="C937" s="8">
        <v>46190</v>
      </c>
      <c r="D937" s="2">
        <v>2005</v>
      </c>
      <c r="E937" s="2">
        <v>1</v>
      </c>
      <c r="F937" s="2">
        <v>5</v>
      </c>
      <c r="G937" s="2" t="s">
        <v>20</v>
      </c>
      <c r="H937" s="2" t="s">
        <v>21</v>
      </c>
      <c r="I937" s="2">
        <v>32</v>
      </c>
      <c r="J937" s="2" t="s">
        <v>32</v>
      </c>
      <c r="K937" s="8">
        <v>45539</v>
      </c>
      <c r="L937" s="2" t="s">
        <v>23</v>
      </c>
      <c r="M937" s="2" t="s">
        <v>51</v>
      </c>
      <c r="N937" s="2" t="s">
        <v>25</v>
      </c>
      <c r="O937" s="2">
        <v>28</v>
      </c>
      <c r="P937" s="2">
        <v>27</v>
      </c>
      <c r="Q937" s="2">
        <v>27</v>
      </c>
      <c r="R937" s="9" t="s">
        <v>26</v>
      </c>
      <c r="S937" s="9">
        <f t="shared" si="28"/>
        <v>28</v>
      </c>
      <c r="T937" s="10" t="str">
        <f t="shared" si="29"/>
        <v>Low</v>
      </c>
    </row>
    <row r="938" spans="1:20">
      <c r="A938" s="2">
        <v>500948</v>
      </c>
      <c r="B938" s="2">
        <v>103536</v>
      </c>
      <c r="C938" s="8">
        <v>45619</v>
      </c>
      <c r="D938" s="2">
        <v>2013</v>
      </c>
      <c r="E938" s="2">
        <v>3</v>
      </c>
      <c r="F938" s="2">
        <v>0</v>
      </c>
      <c r="G938" s="2" t="s">
        <v>20</v>
      </c>
      <c r="H938" s="2" t="s">
        <v>21</v>
      </c>
      <c r="I938" s="2">
        <v>21</v>
      </c>
      <c r="J938" s="2" t="s">
        <v>32</v>
      </c>
      <c r="K938" s="8">
        <v>45677</v>
      </c>
      <c r="L938" s="2" t="s">
        <v>23</v>
      </c>
      <c r="M938" s="2" t="s">
        <v>53</v>
      </c>
      <c r="N938" s="2" t="s">
        <v>54</v>
      </c>
      <c r="O938" s="2">
        <v>7</v>
      </c>
      <c r="P938" s="2">
        <v>21</v>
      </c>
      <c r="Q938" s="2">
        <v>21</v>
      </c>
      <c r="R938" s="9" t="s">
        <v>30</v>
      </c>
      <c r="S938" s="9">
        <f t="shared" si="28"/>
        <v>21</v>
      </c>
      <c r="T938" s="10" t="str">
        <f t="shared" si="29"/>
        <v>Low</v>
      </c>
    </row>
    <row r="939" spans="1:20">
      <c r="A939" s="2">
        <v>500949</v>
      </c>
      <c r="B939" s="2">
        <v>104959</v>
      </c>
      <c r="C939" s="8">
        <v>45834</v>
      </c>
      <c r="D939" s="2">
        <v>2001</v>
      </c>
      <c r="E939" s="2">
        <v>1</v>
      </c>
      <c r="F939" s="2">
        <v>5</v>
      </c>
      <c r="G939" s="2" t="s">
        <v>56</v>
      </c>
      <c r="H939" s="2" t="s">
        <v>21</v>
      </c>
      <c r="I939" s="2">
        <v>62</v>
      </c>
      <c r="J939" s="2" t="s">
        <v>43</v>
      </c>
      <c r="K939" s="8">
        <v>45507</v>
      </c>
      <c r="L939" s="2" t="s">
        <v>23</v>
      </c>
      <c r="M939" s="2" t="s">
        <v>50</v>
      </c>
      <c r="N939" s="2" t="s">
        <v>34</v>
      </c>
      <c r="O939" s="2">
        <v>18</v>
      </c>
      <c r="P939" s="2">
        <v>17</v>
      </c>
      <c r="Q939" s="2">
        <v>17</v>
      </c>
      <c r="R939" s="9" t="s">
        <v>26</v>
      </c>
      <c r="S939" s="9">
        <f t="shared" si="28"/>
        <v>18</v>
      </c>
      <c r="T939" s="10" t="str">
        <f t="shared" si="29"/>
        <v>Low</v>
      </c>
    </row>
    <row r="940" spans="1:20">
      <c r="A940" s="2">
        <v>500950</v>
      </c>
      <c r="B940" s="2">
        <v>101119</v>
      </c>
      <c r="C940" s="8">
        <v>45517</v>
      </c>
      <c r="D940" s="2">
        <v>2013</v>
      </c>
      <c r="E940" s="2">
        <v>2</v>
      </c>
      <c r="F940" s="2">
        <v>5</v>
      </c>
      <c r="G940" s="2" t="s">
        <v>20</v>
      </c>
      <c r="H940" s="2" t="s">
        <v>21</v>
      </c>
      <c r="I940" s="2">
        <v>52</v>
      </c>
      <c r="J940" s="2" t="s">
        <v>55</v>
      </c>
      <c r="K940" s="8">
        <v>45666</v>
      </c>
      <c r="L940" s="2" t="s">
        <v>41</v>
      </c>
      <c r="M940" s="2" t="s">
        <v>53</v>
      </c>
      <c r="N940" s="2" t="s">
        <v>54</v>
      </c>
      <c r="O940" s="2">
        <v>7</v>
      </c>
      <c r="P940" s="2">
        <v>13</v>
      </c>
      <c r="Q940" s="2">
        <v>13</v>
      </c>
      <c r="R940" s="9" t="s">
        <v>30</v>
      </c>
      <c r="S940" s="9">
        <f t="shared" si="28"/>
        <v>14</v>
      </c>
      <c r="T940" s="10" t="str">
        <f t="shared" si="29"/>
        <v>Low</v>
      </c>
    </row>
    <row r="941" spans="1:20">
      <c r="A941" s="2">
        <v>500951</v>
      </c>
      <c r="B941" s="2">
        <v>100376</v>
      </c>
      <c r="C941" s="8">
        <v>45469</v>
      </c>
      <c r="D941" s="2">
        <v>2018</v>
      </c>
      <c r="E941" s="2">
        <v>2</v>
      </c>
      <c r="F941" s="2">
        <v>0</v>
      </c>
      <c r="G941" s="2" t="s">
        <v>31</v>
      </c>
      <c r="H941" s="2" t="s">
        <v>21</v>
      </c>
      <c r="I941" s="2">
        <v>22</v>
      </c>
      <c r="J941" s="2" t="s">
        <v>38</v>
      </c>
      <c r="K941" s="8">
        <v>45824</v>
      </c>
      <c r="L941" s="2" t="s">
        <v>41</v>
      </c>
      <c r="M941" s="2" t="s">
        <v>64</v>
      </c>
      <c r="N941" s="2" t="s">
        <v>34</v>
      </c>
      <c r="O941" s="2">
        <v>85</v>
      </c>
      <c r="P941" s="2">
        <v>170</v>
      </c>
      <c r="Q941" s="2">
        <v>170</v>
      </c>
      <c r="R941" s="9" t="s">
        <v>30</v>
      </c>
      <c r="S941" s="9">
        <f t="shared" si="28"/>
        <v>170</v>
      </c>
      <c r="T941" s="10" t="str">
        <f t="shared" si="29"/>
        <v>Low</v>
      </c>
    </row>
    <row r="942" spans="1:20">
      <c r="A942" s="2">
        <v>500952</v>
      </c>
      <c r="B942" s="2">
        <v>104951</v>
      </c>
      <c r="C942" s="8">
        <v>45421</v>
      </c>
      <c r="D942" s="2">
        <v>2004</v>
      </c>
      <c r="E942" s="2">
        <v>2</v>
      </c>
      <c r="F942" s="2">
        <v>5</v>
      </c>
      <c r="G942" s="2" t="s">
        <v>20</v>
      </c>
      <c r="H942" s="2" t="s">
        <v>21</v>
      </c>
      <c r="I942" s="2">
        <v>33</v>
      </c>
      <c r="J942" s="2" t="s">
        <v>32</v>
      </c>
      <c r="K942" s="8">
        <v>45675</v>
      </c>
      <c r="L942" s="2" t="s">
        <v>41</v>
      </c>
      <c r="M942" s="2" t="s">
        <v>46</v>
      </c>
      <c r="N942" s="2" t="s">
        <v>34</v>
      </c>
      <c r="O942" s="2">
        <v>35</v>
      </c>
      <c r="P942" s="2">
        <v>66</v>
      </c>
      <c r="Q942" s="2">
        <v>66</v>
      </c>
      <c r="R942" s="9" t="s">
        <v>30</v>
      </c>
      <c r="S942" s="9">
        <f t="shared" si="28"/>
        <v>70</v>
      </c>
      <c r="T942" s="10" t="str">
        <f t="shared" si="29"/>
        <v>Low</v>
      </c>
    </row>
    <row r="943" spans="1:20">
      <c r="A943" s="2">
        <v>500953</v>
      </c>
      <c r="B943" s="2">
        <v>107168</v>
      </c>
      <c r="C943" s="8">
        <v>45319</v>
      </c>
      <c r="D943" s="2">
        <v>2005</v>
      </c>
      <c r="E943" s="2">
        <v>1</v>
      </c>
      <c r="F943" s="2">
        <v>5</v>
      </c>
      <c r="G943" s="2" t="s">
        <v>20</v>
      </c>
      <c r="H943" s="2" t="s">
        <v>21</v>
      </c>
      <c r="I943" s="2">
        <v>52</v>
      </c>
      <c r="J943" s="2" t="s">
        <v>28</v>
      </c>
      <c r="K943" s="8">
        <v>46017</v>
      </c>
      <c r="L943" s="2" t="s">
        <v>23</v>
      </c>
      <c r="M943" s="2" t="s">
        <v>51</v>
      </c>
      <c r="N943" s="2" t="s">
        <v>25</v>
      </c>
      <c r="O943" s="2">
        <v>28</v>
      </c>
      <c r="P943" s="2">
        <v>27</v>
      </c>
      <c r="Q943" s="2">
        <v>27</v>
      </c>
      <c r="R943" s="9" t="s">
        <v>30</v>
      </c>
      <c r="S943" s="9">
        <f t="shared" si="28"/>
        <v>28</v>
      </c>
      <c r="T943" s="10" t="str">
        <f t="shared" si="29"/>
        <v>Low</v>
      </c>
    </row>
    <row r="944" spans="1:20">
      <c r="A944" s="2">
        <v>500954</v>
      </c>
      <c r="B944" s="2">
        <v>105861</v>
      </c>
      <c r="C944" s="8">
        <v>45917</v>
      </c>
      <c r="D944" s="2">
        <v>2017</v>
      </c>
      <c r="E944" s="2">
        <v>2</v>
      </c>
      <c r="F944" s="2">
        <v>20</v>
      </c>
      <c r="G944" s="2" t="s">
        <v>31</v>
      </c>
      <c r="H944" s="2" t="s">
        <v>40</v>
      </c>
      <c r="I944" s="2">
        <v>42</v>
      </c>
      <c r="J944" s="2" t="s">
        <v>45</v>
      </c>
      <c r="K944" s="8">
        <v>45138</v>
      </c>
      <c r="L944" s="2" t="s">
        <v>41</v>
      </c>
      <c r="M944" s="2" t="s">
        <v>44</v>
      </c>
      <c r="N944" s="2" t="s">
        <v>25</v>
      </c>
      <c r="O944" s="2">
        <v>11</v>
      </c>
      <c r="P944" s="2">
        <v>18</v>
      </c>
      <c r="Q944" s="2">
        <v>18</v>
      </c>
      <c r="R944" s="9" t="s">
        <v>26</v>
      </c>
      <c r="S944" s="9">
        <f t="shared" si="28"/>
        <v>22</v>
      </c>
      <c r="T944" s="10" t="str">
        <f t="shared" si="29"/>
        <v>High</v>
      </c>
    </row>
    <row r="945" spans="1:20">
      <c r="A945" s="2">
        <v>500955</v>
      </c>
      <c r="B945" s="2">
        <v>100763</v>
      </c>
      <c r="C945" s="8">
        <v>45418</v>
      </c>
      <c r="D945" s="2">
        <v>2019</v>
      </c>
      <c r="E945" s="2">
        <v>1</v>
      </c>
      <c r="F945" s="2">
        <v>0</v>
      </c>
      <c r="G945" s="2" t="s">
        <v>56</v>
      </c>
      <c r="H945" s="2" t="s">
        <v>21</v>
      </c>
      <c r="I945" s="2">
        <v>63</v>
      </c>
      <c r="J945" s="2" t="s">
        <v>38</v>
      </c>
      <c r="K945" s="8">
        <v>45046</v>
      </c>
      <c r="L945" s="2" t="s">
        <v>41</v>
      </c>
      <c r="M945" s="2" t="s">
        <v>60</v>
      </c>
      <c r="N945" s="2" t="s">
        <v>34</v>
      </c>
      <c r="O945" s="2">
        <v>260</v>
      </c>
      <c r="P945" s="2">
        <v>260</v>
      </c>
      <c r="Q945" s="2">
        <v>260</v>
      </c>
      <c r="R945" s="9" t="s">
        <v>30</v>
      </c>
      <c r="S945" s="9">
        <f t="shared" si="28"/>
        <v>260</v>
      </c>
      <c r="T945" s="10" t="str">
        <f t="shared" si="29"/>
        <v>Low</v>
      </c>
    </row>
    <row r="946" spans="1:20">
      <c r="A946" s="2">
        <v>500956</v>
      </c>
      <c r="B946" s="2">
        <v>104325</v>
      </c>
      <c r="C946" s="8">
        <v>45876</v>
      </c>
      <c r="D946" s="2">
        <v>2014</v>
      </c>
      <c r="E946" s="2">
        <v>2</v>
      </c>
      <c r="F946" s="2">
        <v>0</v>
      </c>
      <c r="G946" s="2" t="s">
        <v>20</v>
      </c>
      <c r="H946" s="2" t="s">
        <v>21</v>
      </c>
      <c r="I946" s="2">
        <v>64</v>
      </c>
      <c r="J946" s="2" t="s">
        <v>43</v>
      </c>
      <c r="K946" s="8">
        <v>45088</v>
      </c>
      <c r="L946" s="2" t="s">
        <v>41</v>
      </c>
      <c r="M946" s="2" t="s">
        <v>29</v>
      </c>
      <c r="N946" s="2" t="s">
        <v>25</v>
      </c>
      <c r="O946" s="2">
        <v>42</v>
      </c>
      <c r="P946" s="2">
        <v>84</v>
      </c>
      <c r="Q946" s="2">
        <v>84</v>
      </c>
      <c r="R946" s="9" t="s">
        <v>26</v>
      </c>
      <c r="S946" s="9">
        <f t="shared" si="28"/>
        <v>84</v>
      </c>
      <c r="T946" s="10" t="str">
        <f t="shared" si="29"/>
        <v>Low</v>
      </c>
    </row>
    <row r="947" spans="1:20">
      <c r="A947" s="2">
        <v>500957</v>
      </c>
      <c r="B947" s="2">
        <v>105444</v>
      </c>
      <c r="C947" s="8">
        <v>46043</v>
      </c>
      <c r="D947" s="2">
        <v>2004</v>
      </c>
      <c r="E947" s="2">
        <v>1</v>
      </c>
      <c r="F947" s="2">
        <v>15</v>
      </c>
      <c r="G947" s="2" t="s">
        <v>27</v>
      </c>
      <c r="H947" s="2" t="s">
        <v>21</v>
      </c>
      <c r="I947" s="2">
        <v>56</v>
      </c>
      <c r="J947" s="2" t="s">
        <v>48</v>
      </c>
      <c r="K947" s="8">
        <v>44969</v>
      </c>
      <c r="L947" s="2" t="s">
        <v>23</v>
      </c>
      <c r="M947" s="2" t="s">
        <v>46</v>
      </c>
      <c r="N947" s="2" t="s">
        <v>34</v>
      </c>
      <c r="O947" s="2">
        <v>35</v>
      </c>
      <c r="P947" s="2">
        <v>30</v>
      </c>
      <c r="Q947" s="2">
        <v>30</v>
      </c>
      <c r="R947" s="9" t="s">
        <v>26</v>
      </c>
      <c r="S947" s="9">
        <f t="shared" si="28"/>
        <v>35</v>
      </c>
      <c r="T947" s="10" t="str">
        <f t="shared" si="29"/>
        <v>High</v>
      </c>
    </row>
    <row r="948" spans="1:20">
      <c r="A948" s="2">
        <v>500958</v>
      </c>
      <c r="B948" s="2">
        <v>107648</v>
      </c>
      <c r="C948" s="8">
        <v>46023</v>
      </c>
      <c r="D948" s="2">
        <v>2009</v>
      </c>
      <c r="E948" s="2">
        <v>1</v>
      </c>
      <c r="F948" s="2">
        <v>5</v>
      </c>
      <c r="G948" s="2" t="s">
        <v>31</v>
      </c>
      <c r="H948" s="2" t="s">
        <v>21</v>
      </c>
      <c r="I948" s="2">
        <v>19</v>
      </c>
      <c r="J948" s="2" t="s">
        <v>45</v>
      </c>
      <c r="K948" s="8">
        <v>45500</v>
      </c>
      <c r="L948" s="2" t="s">
        <v>23</v>
      </c>
      <c r="M948" s="2" t="s">
        <v>65</v>
      </c>
      <c r="N948" s="2" t="s">
        <v>59</v>
      </c>
      <c r="O948" s="2">
        <v>120</v>
      </c>
      <c r="P948" s="2">
        <v>114</v>
      </c>
      <c r="Q948" s="2">
        <v>114</v>
      </c>
      <c r="R948" s="9" t="s">
        <v>26</v>
      </c>
      <c r="S948" s="9">
        <f t="shared" si="28"/>
        <v>120</v>
      </c>
      <c r="T948" s="10" t="str">
        <f t="shared" si="29"/>
        <v>Low</v>
      </c>
    </row>
    <row r="949" spans="1:20">
      <c r="A949" s="2">
        <v>500959</v>
      </c>
      <c r="B949" s="2">
        <v>106732</v>
      </c>
      <c r="C949" s="8">
        <v>45550</v>
      </c>
      <c r="D949" s="2">
        <v>2017</v>
      </c>
      <c r="E949" s="2">
        <v>2</v>
      </c>
      <c r="F949" s="2">
        <v>5</v>
      </c>
      <c r="G949" s="2" t="s">
        <v>20</v>
      </c>
      <c r="H949" s="2" t="s">
        <v>21</v>
      </c>
      <c r="I949" s="2">
        <v>33</v>
      </c>
      <c r="J949" s="2" t="s">
        <v>45</v>
      </c>
      <c r="K949" s="8">
        <v>45340</v>
      </c>
      <c r="L949" s="2" t="s">
        <v>23</v>
      </c>
      <c r="M949" s="2" t="s">
        <v>44</v>
      </c>
      <c r="N949" s="2" t="s">
        <v>25</v>
      </c>
      <c r="O949" s="2">
        <v>11</v>
      </c>
      <c r="P949" s="2">
        <v>21</v>
      </c>
      <c r="Q949" s="2">
        <v>21</v>
      </c>
      <c r="R949" s="9" t="s">
        <v>30</v>
      </c>
      <c r="S949" s="9">
        <f t="shared" si="28"/>
        <v>22</v>
      </c>
      <c r="T949" s="10" t="str">
        <f t="shared" si="29"/>
        <v>Low</v>
      </c>
    </row>
    <row r="950" spans="1:20">
      <c r="A950" s="2">
        <v>500960</v>
      </c>
      <c r="B950" s="2">
        <v>106778</v>
      </c>
      <c r="C950" s="8">
        <v>45399</v>
      </c>
      <c r="D950" s="2">
        <v>2011</v>
      </c>
      <c r="E950" s="2">
        <v>4</v>
      </c>
      <c r="F950" s="2">
        <v>0</v>
      </c>
      <c r="G950" s="2" t="s">
        <v>31</v>
      </c>
      <c r="H950" s="2" t="s">
        <v>47</v>
      </c>
      <c r="I950" s="2">
        <v>39</v>
      </c>
      <c r="J950" s="2" t="s">
        <v>45</v>
      </c>
      <c r="K950" s="8">
        <v>45807</v>
      </c>
      <c r="L950" s="2" t="s">
        <v>41</v>
      </c>
      <c r="M950" s="2" t="s">
        <v>42</v>
      </c>
      <c r="N950" s="2" t="s">
        <v>37</v>
      </c>
      <c r="O950" s="2">
        <v>32</v>
      </c>
      <c r="P950" s="2">
        <v>128</v>
      </c>
      <c r="Q950" s="2">
        <v>128</v>
      </c>
      <c r="R950" s="9" t="s">
        <v>30</v>
      </c>
      <c r="S950" s="9">
        <f t="shared" si="28"/>
        <v>128</v>
      </c>
      <c r="T950" s="10" t="str">
        <f t="shared" si="29"/>
        <v>Low</v>
      </c>
    </row>
    <row r="951" spans="1:20">
      <c r="A951" s="2">
        <v>500961</v>
      </c>
      <c r="B951" s="2">
        <v>100053</v>
      </c>
      <c r="C951" s="8">
        <v>45674</v>
      </c>
      <c r="D951" s="2">
        <v>2004</v>
      </c>
      <c r="E951" s="2">
        <v>1</v>
      </c>
      <c r="F951" s="2">
        <v>10</v>
      </c>
      <c r="G951" s="2" t="s">
        <v>20</v>
      </c>
      <c r="H951" s="2" t="s">
        <v>21</v>
      </c>
      <c r="I951" s="2">
        <v>35</v>
      </c>
      <c r="J951" s="2" t="s">
        <v>35</v>
      </c>
      <c r="K951" s="8">
        <v>45349</v>
      </c>
      <c r="L951" s="2" t="s">
        <v>23</v>
      </c>
      <c r="M951" s="2" t="s">
        <v>46</v>
      </c>
      <c r="N951" s="2" t="s">
        <v>34</v>
      </c>
      <c r="O951" s="2">
        <v>35</v>
      </c>
      <c r="P951" s="2">
        <v>32</v>
      </c>
      <c r="Q951" s="2">
        <v>32</v>
      </c>
      <c r="R951" s="9" t="s">
        <v>26</v>
      </c>
      <c r="S951" s="9">
        <f t="shared" si="28"/>
        <v>35</v>
      </c>
      <c r="T951" s="10" t="str">
        <f t="shared" si="29"/>
        <v>Average</v>
      </c>
    </row>
    <row r="952" spans="1:20">
      <c r="A952" s="2">
        <v>500962</v>
      </c>
      <c r="B952" s="2">
        <v>104596</v>
      </c>
      <c r="C952" s="8">
        <v>45448</v>
      </c>
      <c r="D952" s="2">
        <v>2001</v>
      </c>
      <c r="E952" s="2">
        <v>2</v>
      </c>
      <c r="F952" s="2">
        <v>0</v>
      </c>
      <c r="G952" s="2" t="s">
        <v>31</v>
      </c>
      <c r="H952" s="2" t="s">
        <v>21</v>
      </c>
      <c r="I952" s="2">
        <v>20</v>
      </c>
      <c r="J952" s="2" t="s">
        <v>43</v>
      </c>
      <c r="K952" s="8">
        <v>45363</v>
      </c>
      <c r="L952" s="2" t="s">
        <v>23</v>
      </c>
      <c r="M952" s="2" t="s">
        <v>50</v>
      </c>
      <c r="N952" s="2" t="s">
        <v>34</v>
      </c>
      <c r="O952" s="2">
        <v>18</v>
      </c>
      <c r="P952" s="2">
        <v>36</v>
      </c>
      <c r="Q952" s="2">
        <v>36</v>
      </c>
      <c r="R952" s="9" t="s">
        <v>30</v>
      </c>
      <c r="S952" s="9">
        <f t="shared" si="28"/>
        <v>36</v>
      </c>
      <c r="T952" s="10" t="str">
        <f t="shared" si="29"/>
        <v>Low</v>
      </c>
    </row>
    <row r="953" spans="1:20">
      <c r="A953" s="2">
        <v>500963</v>
      </c>
      <c r="B953" s="2">
        <v>109251</v>
      </c>
      <c r="C953" s="8">
        <v>45614</v>
      </c>
      <c r="D953" s="2">
        <v>2007</v>
      </c>
      <c r="E953" s="2">
        <v>1</v>
      </c>
      <c r="F953" s="2">
        <v>0</v>
      </c>
      <c r="G953" s="2" t="s">
        <v>20</v>
      </c>
      <c r="H953" s="2" t="s">
        <v>21</v>
      </c>
      <c r="I953" s="2">
        <v>48</v>
      </c>
      <c r="J953" s="2" t="s">
        <v>38</v>
      </c>
      <c r="K953" s="8">
        <v>44978</v>
      </c>
      <c r="L953" s="2" t="s">
        <v>41</v>
      </c>
      <c r="M953" s="2" t="s">
        <v>61</v>
      </c>
      <c r="N953" s="2" t="s">
        <v>34</v>
      </c>
      <c r="O953" s="2">
        <v>75</v>
      </c>
      <c r="P953" s="2">
        <v>75</v>
      </c>
      <c r="Q953" s="2">
        <v>75</v>
      </c>
      <c r="R953" s="9" t="s">
        <v>30</v>
      </c>
      <c r="S953" s="9">
        <f t="shared" si="28"/>
        <v>75</v>
      </c>
      <c r="T953" s="10" t="str">
        <f t="shared" si="29"/>
        <v>Low</v>
      </c>
    </row>
    <row r="954" spans="1:20">
      <c r="A954" s="2">
        <v>500964</v>
      </c>
      <c r="B954" s="2">
        <v>109494</v>
      </c>
      <c r="C954" s="8">
        <v>45783</v>
      </c>
      <c r="D954" s="2">
        <v>2015</v>
      </c>
      <c r="E954" s="2">
        <v>1</v>
      </c>
      <c r="F954" s="2">
        <v>0</v>
      </c>
      <c r="G954" s="2" t="s">
        <v>31</v>
      </c>
      <c r="H954" s="2" t="s">
        <v>21</v>
      </c>
      <c r="I954" s="2">
        <v>39</v>
      </c>
      <c r="J954" s="2" t="s">
        <v>52</v>
      </c>
      <c r="K954" s="8">
        <v>45629</v>
      </c>
      <c r="L954" s="2" t="s">
        <v>49</v>
      </c>
      <c r="M954" s="2" t="s">
        <v>66</v>
      </c>
      <c r="N954" s="2" t="s">
        <v>34</v>
      </c>
      <c r="O954" s="2">
        <v>58</v>
      </c>
      <c r="P954" s="2">
        <v>58</v>
      </c>
      <c r="Q954" s="2">
        <v>58</v>
      </c>
      <c r="R954" s="9" t="s">
        <v>26</v>
      </c>
      <c r="S954" s="9">
        <f t="shared" si="28"/>
        <v>58</v>
      </c>
      <c r="T954" s="10" t="str">
        <f t="shared" si="29"/>
        <v>Low</v>
      </c>
    </row>
    <row r="955" spans="1:20">
      <c r="A955" s="2">
        <v>500965</v>
      </c>
      <c r="B955" s="2">
        <v>107716</v>
      </c>
      <c r="C955" s="8">
        <v>45848</v>
      </c>
      <c r="D955" s="2">
        <v>2001</v>
      </c>
      <c r="E955" s="2">
        <v>3</v>
      </c>
      <c r="F955" s="2">
        <v>5</v>
      </c>
      <c r="G955" s="2" t="s">
        <v>31</v>
      </c>
      <c r="H955" s="2" t="s">
        <v>21</v>
      </c>
      <c r="I955" s="2">
        <v>39</v>
      </c>
      <c r="J955" s="2" t="s">
        <v>32</v>
      </c>
      <c r="K955" s="8">
        <v>45978</v>
      </c>
      <c r="L955" s="2" t="s">
        <v>23</v>
      </c>
      <c r="M955" s="2" t="s">
        <v>50</v>
      </c>
      <c r="N955" s="2" t="s">
        <v>34</v>
      </c>
      <c r="O955" s="2">
        <v>18</v>
      </c>
      <c r="P955" s="2">
        <v>51</v>
      </c>
      <c r="Q955" s="2">
        <v>51</v>
      </c>
      <c r="R955" s="9" t="s">
        <v>26</v>
      </c>
      <c r="S955" s="9">
        <f t="shared" si="28"/>
        <v>54</v>
      </c>
      <c r="T955" s="10" t="str">
        <f t="shared" si="29"/>
        <v>Low</v>
      </c>
    </row>
    <row r="956" spans="1:20">
      <c r="A956" s="2">
        <v>500966</v>
      </c>
      <c r="B956" s="2">
        <v>105870</v>
      </c>
      <c r="C956" s="8">
        <v>45480</v>
      </c>
      <c r="D956" s="2">
        <v>2007</v>
      </c>
      <c r="E956" s="2">
        <v>1</v>
      </c>
      <c r="F956" s="2">
        <v>15</v>
      </c>
      <c r="G956" s="2" t="s">
        <v>20</v>
      </c>
      <c r="H956" s="2" t="s">
        <v>21</v>
      </c>
      <c r="I956" s="2">
        <v>50</v>
      </c>
      <c r="J956" s="2" t="s">
        <v>28</v>
      </c>
      <c r="K956" s="8">
        <v>45176</v>
      </c>
      <c r="L956" s="2" t="s">
        <v>23</v>
      </c>
      <c r="M956" s="2" t="s">
        <v>61</v>
      </c>
      <c r="N956" s="2" t="s">
        <v>34</v>
      </c>
      <c r="O956" s="2">
        <v>75</v>
      </c>
      <c r="P956" s="2">
        <v>64</v>
      </c>
      <c r="Q956" s="2">
        <v>64</v>
      </c>
      <c r="R956" s="9" t="s">
        <v>30</v>
      </c>
      <c r="S956" s="9">
        <f t="shared" si="28"/>
        <v>75</v>
      </c>
      <c r="T956" s="10" t="str">
        <f t="shared" si="29"/>
        <v>High</v>
      </c>
    </row>
    <row r="957" spans="1:20">
      <c r="A957" s="2">
        <v>500967</v>
      </c>
      <c r="B957" s="2">
        <v>108212</v>
      </c>
      <c r="C957" s="8">
        <v>45488</v>
      </c>
      <c r="D957" s="2">
        <v>2015</v>
      </c>
      <c r="E957" s="2">
        <v>1</v>
      </c>
      <c r="F957" s="2">
        <v>20</v>
      </c>
      <c r="G957" s="2" t="s">
        <v>20</v>
      </c>
      <c r="H957" s="2" t="s">
        <v>21</v>
      </c>
      <c r="I957" s="2">
        <v>22</v>
      </c>
      <c r="J957" s="2" t="s">
        <v>45</v>
      </c>
      <c r="K957" s="8">
        <v>45057</v>
      </c>
      <c r="L957" s="2" t="s">
        <v>41</v>
      </c>
      <c r="M957" s="2" t="s">
        <v>66</v>
      </c>
      <c r="N957" s="2" t="s">
        <v>34</v>
      </c>
      <c r="O957" s="2">
        <v>58</v>
      </c>
      <c r="P957" s="2">
        <v>46</v>
      </c>
      <c r="Q957" s="2">
        <v>46</v>
      </c>
      <c r="R957" s="9" t="s">
        <v>30</v>
      </c>
      <c r="S957" s="9">
        <f t="shared" si="28"/>
        <v>58</v>
      </c>
      <c r="T957" s="10" t="str">
        <f t="shared" si="29"/>
        <v>High</v>
      </c>
    </row>
    <row r="958" spans="1:20">
      <c r="A958" s="2">
        <v>500968</v>
      </c>
      <c r="B958" s="2">
        <v>103601</v>
      </c>
      <c r="C958" s="8">
        <v>46040</v>
      </c>
      <c r="D958" s="2">
        <v>2013</v>
      </c>
      <c r="E958" s="2">
        <v>2</v>
      </c>
      <c r="F958" s="2">
        <v>0</v>
      </c>
      <c r="G958" s="2" t="s">
        <v>20</v>
      </c>
      <c r="H958" s="2" t="s">
        <v>21</v>
      </c>
      <c r="I958" s="2">
        <v>39</v>
      </c>
      <c r="J958" s="2" t="s">
        <v>35</v>
      </c>
      <c r="K958" s="8">
        <v>45971</v>
      </c>
      <c r="L958" s="2" t="s">
        <v>49</v>
      </c>
      <c r="M958" s="2" t="s">
        <v>53</v>
      </c>
      <c r="N958" s="2" t="s">
        <v>54</v>
      </c>
      <c r="O958" s="2">
        <v>7</v>
      </c>
      <c r="P958" s="2">
        <v>14</v>
      </c>
      <c r="Q958" s="2">
        <v>14</v>
      </c>
      <c r="R958" s="9" t="s">
        <v>26</v>
      </c>
      <c r="S958" s="9">
        <f t="shared" si="28"/>
        <v>14</v>
      </c>
      <c r="T958" s="10" t="str">
        <f t="shared" si="29"/>
        <v>Low</v>
      </c>
    </row>
    <row r="959" spans="1:20">
      <c r="A959" s="2">
        <v>500969</v>
      </c>
      <c r="B959" s="2">
        <v>104509</v>
      </c>
      <c r="C959" s="8">
        <v>46133</v>
      </c>
      <c r="D959" s="2">
        <v>2001</v>
      </c>
      <c r="E959" s="2">
        <v>1</v>
      </c>
      <c r="F959" s="2">
        <v>10</v>
      </c>
      <c r="G959" s="2" t="s">
        <v>27</v>
      </c>
      <c r="H959" s="2" t="s">
        <v>21</v>
      </c>
      <c r="I959" s="2">
        <v>30</v>
      </c>
      <c r="J959" s="2" t="s">
        <v>38</v>
      </c>
      <c r="K959" s="8">
        <v>45142</v>
      </c>
      <c r="L959" s="2" t="s">
        <v>23</v>
      </c>
      <c r="M959" s="2" t="s">
        <v>50</v>
      </c>
      <c r="N959" s="2" t="s">
        <v>34</v>
      </c>
      <c r="O959" s="2">
        <v>18</v>
      </c>
      <c r="P959" s="2">
        <v>16</v>
      </c>
      <c r="Q959" s="2">
        <v>16</v>
      </c>
      <c r="R959" s="9" t="s">
        <v>26</v>
      </c>
      <c r="S959" s="9">
        <f t="shared" si="28"/>
        <v>18</v>
      </c>
      <c r="T959" s="10" t="str">
        <f t="shared" si="29"/>
        <v>Average</v>
      </c>
    </row>
    <row r="960" spans="1:20">
      <c r="A960" s="2">
        <v>500970</v>
      </c>
      <c r="B960" s="2">
        <v>103751</v>
      </c>
      <c r="C960" s="8">
        <v>45847</v>
      </c>
      <c r="D960" s="2">
        <v>2013</v>
      </c>
      <c r="E960" s="2">
        <v>1</v>
      </c>
      <c r="F960" s="2">
        <v>5</v>
      </c>
      <c r="G960" s="2" t="s">
        <v>20</v>
      </c>
      <c r="H960" s="2" t="s">
        <v>21</v>
      </c>
      <c r="I960" s="2">
        <v>45</v>
      </c>
      <c r="J960" s="2" t="s">
        <v>38</v>
      </c>
      <c r="K960" s="8">
        <v>45519</v>
      </c>
      <c r="L960" s="2" t="s">
        <v>49</v>
      </c>
      <c r="M960" s="2" t="s">
        <v>53</v>
      </c>
      <c r="N960" s="2" t="s">
        <v>54</v>
      </c>
      <c r="O960" s="2">
        <v>7</v>
      </c>
      <c r="P960" s="2">
        <v>7</v>
      </c>
      <c r="Q960" s="2">
        <v>7</v>
      </c>
      <c r="R960" s="9" t="s">
        <v>26</v>
      </c>
      <c r="S960" s="9">
        <f t="shared" si="28"/>
        <v>7</v>
      </c>
      <c r="T960" s="10" t="str">
        <f t="shared" si="29"/>
        <v>Low</v>
      </c>
    </row>
    <row r="961" spans="1:20">
      <c r="A961" s="2">
        <v>500972</v>
      </c>
      <c r="B961" s="2">
        <v>100219</v>
      </c>
      <c r="C961" s="8">
        <v>45860</v>
      </c>
      <c r="D961" s="2">
        <v>2015</v>
      </c>
      <c r="E961" s="2">
        <v>4</v>
      </c>
      <c r="F961" s="2">
        <v>0</v>
      </c>
      <c r="G961" s="2" t="s">
        <v>56</v>
      </c>
      <c r="H961" s="2" t="s">
        <v>21</v>
      </c>
      <c r="I961" s="2">
        <v>39</v>
      </c>
      <c r="J961" s="2" t="s">
        <v>45</v>
      </c>
      <c r="K961" s="8">
        <v>45948</v>
      </c>
      <c r="L961" s="2" t="s">
        <v>23</v>
      </c>
      <c r="M961" s="2" t="s">
        <v>66</v>
      </c>
      <c r="N961" s="2" t="s">
        <v>34</v>
      </c>
      <c r="O961" s="2">
        <v>58</v>
      </c>
      <c r="P961" s="2">
        <v>232</v>
      </c>
      <c r="Q961" s="2">
        <v>232</v>
      </c>
      <c r="R961" s="9" t="s">
        <v>26</v>
      </c>
      <c r="S961" s="9">
        <f t="shared" si="28"/>
        <v>232</v>
      </c>
      <c r="T961" s="10" t="str">
        <f t="shared" si="29"/>
        <v>Low</v>
      </c>
    </row>
    <row r="962" spans="1:20">
      <c r="A962" s="2">
        <v>500973</v>
      </c>
      <c r="B962" s="2">
        <v>103311</v>
      </c>
      <c r="C962" s="8">
        <v>45403</v>
      </c>
      <c r="D962" s="2">
        <v>2001</v>
      </c>
      <c r="E962" s="2">
        <v>2</v>
      </c>
      <c r="F962" s="2">
        <v>0</v>
      </c>
      <c r="G962" s="2" t="s">
        <v>31</v>
      </c>
      <c r="H962" s="2" t="s">
        <v>21</v>
      </c>
      <c r="I962" s="2">
        <v>42</v>
      </c>
      <c r="J962" s="2" t="s">
        <v>52</v>
      </c>
      <c r="K962" s="8">
        <v>45675</v>
      </c>
      <c r="L962" s="2" t="s">
        <v>41</v>
      </c>
      <c r="M962" s="2" t="s">
        <v>50</v>
      </c>
      <c r="N962" s="2" t="s">
        <v>34</v>
      </c>
      <c r="O962" s="2">
        <v>18</v>
      </c>
      <c r="P962" s="2">
        <v>36</v>
      </c>
      <c r="Q962" s="2">
        <v>36</v>
      </c>
      <c r="R962" s="9" t="s">
        <v>30</v>
      </c>
      <c r="S962" s="9">
        <f t="shared" ref="S962:S1001" si="30">SUM(E962*O962)</f>
        <v>36</v>
      </c>
      <c r="T962" s="10" t="str">
        <f t="shared" ref="T962:T1001" si="31">IF(F962&lt;=5,"Low",IF(F962&lt;=10,"Average",IF(F962&gt;10,"High")))</f>
        <v>Low</v>
      </c>
    </row>
    <row r="963" spans="1:20">
      <c r="A963" s="2">
        <v>500974</v>
      </c>
      <c r="B963" s="2">
        <v>106716</v>
      </c>
      <c r="C963" s="8">
        <v>46073</v>
      </c>
      <c r="D963" s="2">
        <v>2002</v>
      </c>
      <c r="E963" s="2">
        <v>1</v>
      </c>
      <c r="F963" s="2">
        <v>20</v>
      </c>
      <c r="G963" s="2" t="s">
        <v>31</v>
      </c>
      <c r="H963" s="2" t="s">
        <v>21</v>
      </c>
      <c r="I963" s="2">
        <v>41</v>
      </c>
      <c r="J963" s="2" t="s">
        <v>55</v>
      </c>
      <c r="K963" s="8">
        <v>45190</v>
      </c>
      <c r="L963" s="2" t="s">
        <v>41</v>
      </c>
      <c r="M963" s="2" t="s">
        <v>33</v>
      </c>
      <c r="N963" s="2" t="s">
        <v>34</v>
      </c>
      <c r="O963" s="2">
        <v>62</v>
      </c>
      <c r="P963" s="2">
        <v>50</v>
      </c>
      <c r="Q963" s="2">
        <v>50</v>
      </c>
      <c r="R963" s="9" t="s">
        <v>26</v>
      </c>
      <c r="S963" s="9">
        <f t="shared" si="30"/>
        <v>62</v>
      </c>
      <c r="T963" s="10" t="str">
        <f t="shared" si="31"/>
        <v>High</v>
      </c>
    </row>
    <row r="964" spans="1:20">
      <c r="A964" s="2">
        <v>500975</v>
      </c>
      <c r="B964" s="2">
        <v>107164</v>
      </c>
      <c r="C964" s="8">
        <v>45472</v>
      </c>
      <c r="D964" s="2">
        <v>2008</v>
      </c>
      <c r="E964" s="2">
        <v>4</v>
      </c>
      <c r="F964" s="2">
        <v>10</v>
      </c>
      <c r="G964" s="2" t="s">
        <v>20</v>
      </c>
      <c r="H964" s="2" t="s">
        <v>47</v>
      </c>
      <c r="I964" s="2">
        <v>56</v>
      </c>
      <c r="J964" s="2" t="s">
        <v>38</v>
      </c>
      <c r="K964" s="8">
        <v>45772</v>
      </c>
      <c r="L964" s="2" t="s">
        <v>23</v>
      </c>
      <c r="M964" s="2" t="s">
        <v>39</v>
      </c>
      <c r="N964" s="2" t="s">
        <v>25</v>
      </c>
      <c r="O964" s="2">
        <v>14</v>
      </c>
      <c r="P964" s="2">
        <v>50</v>
      </c>
      <c r="Q964" s="2">
        <v>50</v>
      </c>
      <c r="R964" s="9" t="s">
        <v>30</v>
      </c>
      <c r="S964" s="9">
        <f t="shared" si="30"/>
        <v>56</v>
      </c>
      <c r="T964" s="10" t="str">
        <f t="shared" si="31"/>
        <v>Average</v>
      </c>
    </row>
    <row r="965" spans="1:20">
      <c r="A965" s="2">
        <v>500976</v>
      </c>
      <c r="B965" s="2">
        <v>107451</v>
      </c>
      <c r="C965" s="8">
        <v>45870</v>
      </c>
      <c r="D965" s="2">
        <v>2002</v>
      </c>
      <c r="E965" s="2">
        <v>3</v>
      </c>
      <c r="F965" s="2">
        <v>0</v>
      </c>
      <c r="G965" s="2" t="s">
        <v>31</v>
      </c>
      <c r="H965" s="2" t="s">
        <v>21</v>
      </c>
      <c r="I965" s="2">
        <v>55</v>
      </c>
      <c r="J965" s="2" t="s">
        <v>32</v>
      </c>
      <c r="K965" s="8">
        <v>45264</v>
      </c>
      <c r="L965" s="2" t="s">
        <v>23</v>
      </c>
      <c r="M965" s="2" t="s">
        <v>33</v>
      </c>
      <c r="N965" s="2" t="s">
        <v>34</v>
      </c>
      <c r="O965" s="2">
        <v>62</v>
      </c>
      <c r="P965" s="2">
        <v>186</v>
      </c>
      <c r="Q965" s="2">
        <v>186</v>
      </c>
      <c r="R965" s="9" t="s">
        <v>26</v>
      </c>
      <c r="S965" s="9">
        <f t="shared" si="30"/>
        <v>186</v>
      </c>
      <c r="T965" s="10" t="str">
        <f t="shared" si="31"/>
        <v>Low</v>
      </c>
    </row>
    <row r="966" spans="1:20">
      <c r="A966" s="2">
        <v>500977</v>
      </c>
      <c r="B966" s="2">
        <v>105613</v>
      </c>
      <c r="C966" s="8">
        <v>45483</v>
      </c>
      <c r="D966" s="2">
        <v>2014</v>
      </c>
      <c r="E966" s="2">
        <v>2</v>
      </c>
      <c r="F966" s="2">
        <v>10</v>
      </c>
      <c r="G966" s="2" t="s">
        <v>31</v>
      </c>
      <c r="H966" s="2" t="s">
        <v>21</v>
      </c>
      <c r="I966" s="2">
        <v>48</v>
      </c>
      <c r="J966" s="2" t="s">
        <v>55</v>
      </c>
      <c r="K966" s="8">
        <v>45049</v>
      </c>
      <c r="L966" s="2" t="s">
        <v>23</v>
      </c>
      <c r="M966" s="2" t="s">
        <v>29</v>
      </c>
      <c r="N966" s="2" t="s">
        <v>25</v>
      </c>
      <c r="O966" s="2">
        <v>42</v>
      </c>
      <c r="P966" s="2">
        <v>76</v>
      </c>
      <c r="Q966" s="2">
        <v>76</v>
      </c>
      <c r="R966" s="9" t="s">
        <v>30</v>
      </c>
      <c r="S966" s="9">
        <f t="shared" si="30"/>
        <v>84</v>
      </c>
      <c r="T966" s="10" t="str">
        <f t="shared" si="31"/>
        <v>Average</v>
      </c>
    </row>
    <row r="967" spans="1:20">
      <c r="A967" s="2">
        <v>500978</v>
      </c>
      <c r="B967" s="2">
        <v>102231</v>
      </c>
      <c r="C967" s="8">
        <v>45901</v>
      </c>
      <c r="D967" s="2">
        <v>2014</v>
      </c>
      <c r="E967" s="2">
        <v>2</v>
      </c>
      <c r="F967" s="2">
        <v>10</v>
      </c>
      <c r="G967" s="2" t="s">
        <v>31</v>
      </c>
      <c r="H967" s="2" t="s">
        <v>21</v>
      </c>
      <c r="I967" s="2">
        <v>48</v>
      </c>
      <c r="J967" s="2" t="s">
        <v>45</v>
      </c>
      <c r="K967" s="8">
        <v>45799</v>
      </c>
      <c r="L967" s="2" t="s">
        <v>23</v>
      </c>
      <c r="M967" s="2" t="s">
        <v>29</v>
      </c>
      <c r="N967" s="2" t="s">
        <v>25</v>
      </c>
      <c r="O967" s="2">
        <v>42</v>
      </c>
      <c r="P967" s="2">
        <v>76</v>
      </c>
      <c r="Q967" s="2">
        <v>76</v>
      </c>
      <c r="R967" s="9" t="s">
        <v>26</v>
      </c>
      <c r="S967" s="9">
        <f t="shared" si="30"/>
        <v>84</v>
      </c>
      <c r="T967" s="10" t="str">
        <f t="shared" si="31"/>
        <v>Average</v>
      </c>
    </row>
    <row r="968" spans="1:20">
      <c r="A968" s="2">
        <v>500979</v>
      </c>
      <c r="B968" s="2">
        <v>108470</v>
      </c>
      <c r="C968" s="8">
        <v>45942</v>
      </c>
      <c r="D968" s="2">
        <v>2001</v>
      </c>
      <c r="E968" s="2">
        <v>1</v>
      </c>
      <c r="F968" s="2">
        <v>0</v>
      </c>
      <c r="G968" s="2" t="s">
        <v>31</v>
      </c>
      <c r="H968" s="2" t="s">
        <v>21</v>
      </c>
      <c r="I968" s="2">
        <v>21</v>
      </c>
      <c r="J968" s="2" t="s">
        <v>32</v>
      </c>
      <c r="K968" s="8">
        <v>45972</v>
      </c>
      <c r="L968" s="2" t="s">
        <v>41</v>
      </c>
      <c r="M968" s="2" t="s">
        <v>50</v>
      </c>
      <c r="N968" s="2" t="s">
        <v>34</v>
      </c>
      <c r="O968" s="2">
        <v>18</v>
      </c>
      <c r="P968" s="2">
        <v>18</v>
      </c>
      <c r="Q968" s="2">
        <v>18</v>
      </c>
      <c r="R968" s="9" t="s">
        <v>26</v>
      </c>
      <c r="S968" s="9">
        <f t="shared" si="30"/>
        <v>18</v>
      </c>
      <c r="T968" s="10" t="str">
        <f t="shared" si="31"/>
        <v>Low</v>
      </c>
    </row>
    <row r="969" spans="1:20">
      <c r="A969" s="2">
        <v>500980</v>
      </c>
      <c r="B969" s="2">
        <v>107684</v>
      </c>
      <c r="C969" s="8">
        <v>45932</v>
      </c>
      <c r="D969" s="2">
        <v>2008</v>
      </c>
      <c r="E969" s="2">
        <v>2</v>
      </c>
      <c r="F969" s="2">
        <v>0</v>
      </c>
      <c r="G969" s="2" t="s">
        <v>20</v>
      </c>
      <c r="H969" s="2" t="s">
        <v>21</v>
      </c>
      <c r="I969" s="2">
        <v>41</v>
      </c>
      <c r="J969" s="2" t="s">
        <v>32</v>
      </c>
      <c r="K969" s="8">
        <v>45386</v>
      </c>
      <c r="L969" s="2" t="s">
        <v>23</v>
      </c>
      <c r="M969" s="2" t="s">
        <v>39</v>
      </c>
      <c r="N969" s="2" t="s">
        <v>25</v>
      </c>
      <c r="O969" s="2">
        <v>14</v>
      </c>
      <c r="P969" s="2">
        <v>28</v>
      </c>
      <c r="Q969" s="2">
        <v>28</v>
      </c>
      <c r="R969" s="9" t="s">
        <v>26</v>
      </c>
      <c r="S969" s="9">
        <f t="shared" si="30"/>
        <v>28</v>
      </c>
      <c r="T969" s="10" t="str">
        <f t="shared" si="31"/>
        <v>Low</v>
      </c>
    </row>
    <row r="970" spans="1:20">
      <c r="A970" s="2">
        <v>500981</v>
      </c>
      <c r="B970" s="2">
        <v>102008</v>
      </c>
      <c r="C970" s="8">
        <v>45662</v>
      </c>
      <c r="D970" s="2">
        <v>2004</v>
      </c>
      <c r="E970" s="2">
        <v>2</v>
      </c>
      <c r="F970" s="2">
        <v>15</v>
      </c>
      <c r="G970" s="2" t="s">
        <v>20</v>
      </c>
      <c r="H970" s="2" t="s">
        <v>21</v>
      </c>
      <c r="I970" s="2">
        <v>25</v>
      </c>
      <c r="J970" s="2" t="s">
        <v>32</v>
      </c>
      <c r="K970" s="8">
        <v>45018</v>
      </c>
      <c r="L970" s="2" t="s">
        <v>49</v>
      </c>
      <c r="M970" s="2" t="s">
        <v>46</v>
      </c>
      <c r="N970" s="2" t="s">
        <v>34</v>
      </c>
      <c r="O970" s="2">
        <v>35</v>
      </c>
      <c r="P970" s="2">
        <v>60</v>
      </c>
      <c r="Q970" s="2">
        <v>60</v>
      </c>
      <c r="R970" s="9" t="s">
        <v>26</v>
      </c>
      <c r="S970" s="9">
        <f t="shared" si="30"/>
        <v>70</v>
      </c>
      <c r="T970" s="10" t="str">
        <f t="shared" si="31"/>
        <v>High</v>
      </c>
    </row>
    <row r="971" spans="1:20">
      <c r="A971" s="2">
        <v>500982</v>
      </c>
      <c r="B971" s="2">
        <v>106776</v>
      </c>
      <c r="C971" s="8">
        <v>45816</v>
      </c>
      <c r="D971" s="2">
        <v>2012</v>
      </c>
      <c r="E971" s="2">
        <v>2</v>
      </c>
      <c r="F971" s="2">
        <v>5</v>
      </c>
      <c r="G971" s="2" t="s">
        <v>27</v>
      </c>
      <c r="H971" s="2" t="s">
        <v>21</v>
      </c>
      <c r="I971" s="2">
        <v>63</v>
      </c>
      <c r="J971" s="2" t="s">
        <v>32</v>
      </c>
      <c r="K971" s="8">
        <v>45263</v>
      </c>
      <c r="L971" s="2" t="s">
        <v>41</v>
      </c>
      <c r="M971" s="2" t="s">
        <v>36</v>
      </c>
      <c r="N971" s="2" t="s">
        <v>37</v>
      </c>
      <c r="O971" s="2">
        <v>180</v>
      </c>
      <c r="P971" s="2">
        <v>342</v>
      </c>
      <c r="Q971" s="2">
        <v>342</v>
      </c>
      <c r="R971" s="9" t="s">
        <v>26</v>
      </c>
      <c r="S971" s="9">
        <f t="shared" si="30"/>
        <v>360</v>
      </c>
      <c r="T971" s="10" t="str">
        <f t="shared" si="31"/>
        <v>Low</v>
      </c>
    </row>
    <row r="972" spans="1:20">
      <c r="A972" s="2">
        <v>500983</v>
      </c>
      <c r="B972" s="2">
        <v>102328</v>
      </c>
      <c r="C972" s="8">
        <v>45808</v>
      </c>
      <c r="D972" s="2">
        <v>2002</v>
      </c>
      <c r="E972" s="2">
        <v>1</v>
      </c>
      <c r="F972" s="2">
        <v>5</v>
      </c>
      <c r="G972" s="2" t="s">
        <v>27</v>
      </c>
      <c r="H972" s="2" t="s">
        <v>40</v>
      </c>
      <c r="I972" s="2">
        <v>26</v>
      </c>
      <c r="J972" s="2" t="s">
        <v>43</v>
      </c>
      <c r="K972" s="8">
        <v>45081</v>
      </c>
      <c r="L972" s="2" t="s">
        <v>23</v>
      </c>
      <c r="M972" s="2" t="s">
        <v>33</v>
      </c>
      <c r="N972" s="2" t="s">
        <v>34</v>
      </c>
      <c r="O972" s="2">
        <v>62</v>
      </c>
      <c r="P972" s="2">
        <v>59</v>
      </c>
      <c r="Q972" s="2">
        <v>59</v>
      </c>
      <c r="R972" s="9" t="s">
        <v>26</v>
      </c>
      <c r="S972" s="9">
        <f t="shared" si="30"/>
        <v>62</v>
      </c>
      <c r="T972" s="10" t="str">
        <f t="shared" si="31"/>
        <v>Low</v>
      </c>
    </row>
    <row r="973" spans="1:20">
      <c r="A973" s="2">
        <v>500984</v>
      </c>
      <c r="B973" s="2">
        <v>100546</v>
      </c>
      <c r="C973" s="8">
        <v>45914</v>
      </c>
      <c r="D973" s="2">
        <v>2017</v>
      </c>
      <c r="E973" s="2">
        <v>3</v>
      </c>
      <c r="F973" s="2">
        <v>10</v>
      </c>
      <c r="G973" s="2" t="s">
        <v>20</v>
      </c>
      <c r="H973" s="2" t="s">
        <v>47</v>
      </c>
      <c r="I973" s="2">
        <v>20</v>
      </c>
      <c r="J973" s="2" t="s">
        <v>45</v>
      </c>
      <c r="K973" s="8">
        <v>45000</v>
      </c>
      <c r="L973" s="2" t="s">
        <v>23</v>
      </c>
      <c r="M973" s="2" t="s">
        <v>44</v>
      </c>
      <c r="N973" s="2" t="s">
        <v>25</v>
      </c>
      <c r="O973" s="2">
        <v>11</v>
      </c>
      <c r="P973" s="2">
        <v>30</v>
      </c>
      <c r="Q973" s="2">
        <v>30</v>
      </c>
      <c r="R973" s="9" t="s">
        <v>26</v>
      </c>
      <c r="S973" s="9">
        <f t="shared" si="30"/>
        <v>33</v>
      </c>
      <c r="T973" s="10" t="str">
        <f t="shared" si="31"/>
        <v>Average</v>
      </c>
    </row>
    <row r="974" spans="1:20">
      <c r="A974" s="2">
        <v>500985</v>
      </c>
      <c r="B974" s="2">
        <v>100555</v>
      </c>
      <c r="C974" s="8">
        <v>45723</v>
      </c>
      <c r="D974" s="2">
        <v>2012</v>
      </c>
      <c r="E974" s="2">
        <v>4</v>
      </c>
      <c r="F974" s="2">
        <v>30</v>
      </c>
      <c r="G974" s="2" t="s">
        <v>56</v>
      </c>
      <c r="H974" s="2" t="s">
        <v>21</v>
      </c>
      <c r="I974" s="2">
        <v>65</v>
      </c>
      <c r="J974" s="2" t="s">
        <v>48</v>
      </c>
      <c r="K974" s="8">
        <v>45102</v>
      </c>
      <c r="L974" s="2" t="s">
        <v>41</v>
      </c>
      <c r="M974" s="2" t="s">
        <v>36</v>
      </c>
      <c r="N974" s="2" t="s">
        <v>37</v>
      </c>
      <c r="O974" s="2">
        <v>180</v>
      </c>
      <c r="P974" s="2">
        <v>504</v>
      </c>
      <c r="Q974" s="2">
        <v>504</v>
      </c>
      <c r="R974" s="9" t="s">
        <v>26</v>
      </c>
      <c r="S974" s="9">
        <f t="shared" si="30"/>
        <v>720</v>
      </c>
      <c r="T974" s="10" t="str">
        <f t="shared" si="31"/>
        <v>High</v>
      </c>
    </row>
    <row r="975" spans="1:20">
      <c r="A975" s="2">
        <v>500986</v>
      </c>
      <c r="B975" s="2">
        <v>102657</v>
      </c>
      <c r="C975" s="8">
        <v>45730</v>
      </c>
      <c r="D975" s="2">
        <v>2020</v>
      </c>
      <c r="E975" s="2">
        <v>2</v>
      </c>
      <c r="F975" s="2">
        <v>15</v>
      </c>
      <c r="G975" s="2" t="s">
        <v>56</v>
      </c>
      <c r="H975" s="2" t="s">
        <v>21</v>
      </c>
      <c r="I975" s="2">
        <v>20</v>
      </c>
      <c r="J975" s="2" t="s">
        <v>22</v>
      </c>
      <c r="K975" s="8">
        <v>45154</v>
      </c>
      <c r="L975" s="2" t="s">
        <v>41</v>
      </c>
      <c r="M975" s="2" t="s">
        <v>62</v>
      </c>
      <c r="N975" s="2" t="s">
        <v>63</v>
      </c>
      <c r="O975" s="2">
        <v>68</v>
      </c>
      <c r="P975" s="2">
        <v>116</v>
      </c>
      <c r="Q975" s="2">
        <v>116</v>
      </c>
      <c r="R975" s="9" t="s">
        <v>26</v>
      </c>
      <c r="S975" s="9">
        <f t="shared" si="30"/>
        <v>136</v>
      </c>
      <c r="T975" s="10" t="str">
        <f t="shared" si="31"/>
        <v>High</v>
      </c>
    </row>
    <row r="976" spans="1:20">
      <c r="A976" s="2">
        <v>500987</v>
      </c>
      <c r="B976" s="2">
        <v>102213</v>
      </c>
      <c r="C976" s="8">
        <v>45883</v>
      </c>
      <c r="D976" s="2">
        <v>2003</v>
      </c>
      <c r="E976" s="2">
        <v>2</v>
      </c>
      <c r="F976" s="2">
        <v>0</v>
      </c>
      <c r="G976" s="2" t="s">
        <v>20</v>
      </c>
      <c r="H976" s="2" t="s">
        <v>21</v>
      </c>
      <c r="I976" s="2">
        <v>47</v>
      </c>
      <c r="J976" s="2" t="s">
        <v>48</v>
      </c>
      <c r="K976" s="8">
        <v>45704</v>
      </c>
      <c r="L976" s="2" t="s">
        <v>41</v>
      </c>
      <c r="M976" s="2" t="s">
        <v>24</v>
      </c>
      <c r="N976" s="2" t="s">
        <v>25</v>
      </c>
      <c r="O976" s="2">
        <v>9</v>
      </c>
      <c r="P976" s="2">
        <v>18</v>
      </c>
      <c r="Q976" s="2">
        <v>18</v>
      </c>
      <c r="R976" s="9" t="s">
        <v>26</v>
      </c>
      <c r="S976" s="9">
        <f t="shared" si="30"/>
        <v>18</v>
      </c>
      <c r="T976" s="10" t="str">
        <f t="shared" si="31"/>
        <v>Low</v>
      </c>
    </row>
    <row r="977" spans="1:20">
      <c r="A977" s="2">
        <v>500988</v>
      </c>
      <c r="B977" s="2">
        <v>110000</v>
      </c>
      <c r="C977" s="8">
        <v>45438</v>
      </c>
      <c r="D977" s="2">
        <v>2001</v>
      </c>
      <c r="E977" s="2">
        <v>3</v>
      </c>
      <c r="F977" s="2">
        <v>20</v>
      </c>
      <c r="G977" s="2" t="s">
        <v>20</v>
      </c>
      <c r="H977" s="2" t="s">
        <v>21</v>
      </c>
      <c r="I977" s="2">
        <v>47</v>
      </c>
      <c r="J977" s="2" t="s">
        <v>55</v>
      </c>
      <c r="K977" s="8">
        <v>45081</v>
      </c>
      <c r="L977" s="2" t="s">
        <v>41</v>
      </c>
      <c r="M977" s="2" t="s">
        <v>50</v>
      </c>
      <c r="N977" s="2" t="s">
        <v>34</v>
      </c>
      <c r="O977" s="2">
        <v>18</v>
      </c>
      <c r="P977" s="2">
        <v>43</v>
      </c>
      <c r="Q977" s="2">
        <v>43</v>
      </c>
      <c r="R977" s="9" t="s">
        <v>30</v>
      </c>
      <c r="S977" s="9">
        <f t="shared" si="30"/>
        <v>54</v>
      </c>
      <c r="T977" s="10" t="str">
        <f t="shared" si="31"/>
        <v>High</v>
      </c>
    </row>
    <row r="978" spans="1:20">
      <c r="A978" s="2">
        <v>500989</v>
      </c>
      <c r="B978" s="2">
        <v>109524</v>
      </c>
      <c r="C978" s="8">
        <v>45855</v>
      </c>
      <c r="D978" s="2">
        <v>2004</v>
      </c>
      <c r="E978" s="2">
        <v>1</v>
      </c>
      <c r="F978" s="2">
        <v>5</v>
      </c>
      <c r="G978" s="2" t="s">
        <v>56</v>
      </c>
      <c r="H978" s="2" t="s">
        <v>21</v>
      </c>
      <c r="I978" s="2">
        <v>42</v>
      </c>
      <c r="J978" s="2" t="s">
        <v>22</v>
      </c>
      <c r="K978" s="8">
        <v>45543</v>
      </c>
      <c r="L978" s="2" t="s">
        <v>41</v>
      </c>
      <c r="M978" s="2" t="s">
        <v>46</v>
      </c>
      <c r="N978" s="2" t="s">
        <v>34</v>
      </c>
      <c r="O978" s="2">
        <v>35</v>
      </c>
      <c r="P978" s="2">
        <v>33</v>
      </c>
      <c r="Q978" s="2">
        <v>33</v>
      </c>
      <c r="R978" s="9" t="s">
        <v>26</v>
      </c>
      <c r="S978" s="9">
        <f t="shared" si="30"/>
        <v>35</v>
      </c>
      <c r="T978" s="10" t="str">
        <f t="shared" si="31"/>
        <v>Low</v>
      </c>
    </row>
    <row r="979" spans="1:20">
      <c r="A979" s="2">
        <v>500990</v>
      </c>
      <c r="B979" s="2">
        <v>100080</v>
      </c>
      <c r="C979" s="8">
        <v>45420</v>
      </c>
      <c r="D979" s="2">
        <v>2020</v>
      </c>
      <c r="E979" s="2">
        <v>1</v>
      </c>
      <c r="F979" s="2">
        <v>15</v>
      </c>
      <c r="G979" s="2" t="s">
        <v>20</v>
      </c>
      <c r="H979" s="2" t="s">
        <v>21</v>
      </c>
      <c r="I979" s="2">
        <v>50</v>
      </c>
      <c r="J979" s="2" t="s">
        <v>38</v>
      </c>
      <c r="K979" s="8">
        <v>45803</v>
      </c>
      <c r="L979" s="2" t="s">
        <v>41</v>
      </c>
      <c r="M979" s="2" t="s">
        <v>62</v>
      </c>
      <c r="N979" s="2" t="s">
        <v>63</v>
      </c>
      <c r="O979" s="2">
        <v>68</v>
      </c>
      <c r="P979" s="2">
        <v>58</v>
      </c>
      <c r="Q979" s="2">
        <v>58</v>
      </c>
      <c r="R979" s="9" t="s">
        <v>30</v>
      </c>
      <c r="S979" s="9">
        <f t="shared" si="30"/>
        <v>68</v>
      </c>
      <c r="T979" s="10" t="str">
        <f t="shared" si="31"/>
        <v>High</v>
      </c>
    </row>
    <row r="980" spans="1:20">
      <c r="A980" s="2">
        <v>500991</v>
      </c>
      <c r="B980" s="2">
        <v>109885</v>
      </c>
      <c r="C980" s="8">
        <v>45918</v>
      </c>
      <c r="D980" s="2">
        <v>2013</v>
      </c>
      <c r="E980" s="2">
        <v>1</v>
      </c>
      <c r="F980" s="2">
        <v>10</v>
      </c>
      <c r="G980" s="2" t="s">
        <v>20</v>
      </c>
      <c r="H980" s="2" t="s">
        <v>21</v>
      </c>
      <c r="I980" s="2">
        <v>29</v>
      </c>
      <c r="J980" s="2" t="s">
        <v>22</v>
      </c>
      <c r="K980" s="8">
        <v>46001</v>
      </c>
      <c r="L980" s="2" t="s">
        <v>41</v>
      </c>
      <c r="M980" s="2" t="s">
        <v>53</v>
      </c>
      <c r="N980" s="2" t="s">
        <v>54</v>
      </c>
      <c r="O980" s="2">
        <v>7</v>
      </c>
      <c r="P980" s="2">
        <v>6</v>
      </c>
      <c r="Q980" s="2">
        <v>6</v>
      </c>
      <c r="R980" s="9" t="s">
        <v>26</v>
      </c>
      <c r="S980" s="9">
        <f t="shared" si="30"/>
        <v>7</v>
      </c>
      <c r="T980" s="10" t="str">
        <f t="shared" si="31"/>
        <v>Average</v>
      </c>
    </row>
    <row r="981" spans="1:20">
      <c r="A981" s="2">
        <v>500992</v>
      </c>
      <c r="B981" s="2">
        <v>109203</v>
      </c>
      <c r="C981" s="8">
        <v>45627</v>
      </c>
      <c r="D981" s="2">
        <v>2001</v>
      </c>
      <c r="E981" s="2">
        <v>2</v>
      </c>
      <c r="F981" s="2">
        <v>30</v>
      </c>
      <c r="G981" s="2" t="s">
        <v>27</v>
      </c>
      <c r="H981" s="2" t="s">
        <v>21</v>
      </c>
      <c r="I981" s="2">
        <v>34</v>
      </c>
      <c r="J981" s="2" t="s">
        <v>55</v>
      </c>
      <c r="K981" s="8">
        <v>45704</v>
      </c>
      <c r="L981" s="2" t="s">
        <v>23</v>
      </c>
      <c r="M981" s="2" t="s">
        <v>50</v>
      </c>
      <c r="N981" s="2" t="s">
        <v>34</v>
      </c>
      <c r="O981" s="2">
        <v>18</v>
      </c>
      <c r="P981" s="2">
        <v>25</v>
      </c>
      <c r="Q981" s="2">
        <v>25</v>
      </c>
      <c r="R981" s="9" t="s">
        <v>30</v>
      </c>
      <c r="S981" s="9">
        <f t="shared" si="30"/>
        <v>36</v>
      </c>
      <c r="T981" s="10" t="str">
        <f t="shared" si="31"/>
        <v>High</v>
      </c>
    </row>
    <row r="982" spans="1:20">
      <c r="A982" s="2">
        <v>500993</v>
      </c>
      <c r="B982" s="2">
        <v>109543</v>
      </c>
      <c r="C982" s="8">
        <v>46017</v>
      </c>
      <c r="D982" s="2">
        <v>2017</v>
      </c>
      <c r="E982" s="2">
        <v>1</v>
      </c>
      <c r="F982" s="2">
        <v>15</v>
      </c>
      <c r="G982" s="2" t="s">
        <v>31</v>
      </c>
      <c r="H982" s="2" t="s">
        <v>21</v>
      </c>
      <c r="I982" s="2">
        <v>30</v>
      </c>
      <c r="J982" s="2" t="s">
        <v>48</v>
      </c>
      <c r="K982" s="8">
        <v>45323</v>
      </c>
      <c r="L982" s="2" t="s">
        <v>23</v>
      </c>
      <c r="M982" s="2" t="s">
        <v>44</v>
      </c>
      <c r="N982" s="2" t="s">
        <v>25</v>
      </c>
      <c r="O982" s="2">
        <v>11</v>
      </c>
      <c r="P982" s="2">
        <v>9</v>
      </c>
      <c r="Q982" s="2">
        <v>9</v>
      </c>
      <c r="R982" s="9" t="s">
        <v>26</v>
      </c>
      <c r="S982" s="9">
        <f t="shared" si="30"/>
        <v>11</v>
      </c>
      <c r="T982" s="10" t="str">
        <f t="shared" si="31"/>
        <v>High</v>
      </c>
    </row>
    <row r="983" spans="1:20">
      <c r="A983" s="2">
        <v>500994</v>
      </c>
      <c r="B983" s="2">
        <v>108174</v>
      </c>
      <c r="C983" s="8">
        <v>45368</v>
      </c>
      <c r="D983" s="2">
        <v>2011</v>
      </c>
      <c r="E983" s="2">
        <v>1</v>
      </c>
      <c r="F983" s="2">
        <v>5</v>
      </c>
      <c r="G983" s="2" t="s">
        <v>20</v>
      </c>
      <c r="H983" s="2" t="s">
        <v>21</v>
      </c>
      <c r="I983" s="2">
        <v>43</v>
      </c>
      <c r="J983" s="2" t="s">
        <v>43</v>
      </c>
      <c r="K983" s="8">
        <v>45582</v>
      </c>
      <c r="L983" s="2" t="s">
        <v>23</v>
      </c>
      <c r="M983" s="2" t="s">
        <v>42</v>
      </c>
      <c r="N983" s="2" t="s">
        <v>37</v>
      </c>
      <c r="O983" s="2">
        <v>32</v>
      </c>
      <c r="P983" s="2">
        <v>30</v>
      </c>
      <c r="Q983" s="2">
        <v>30</v>
      </c>
      <c r="R983" s="9" t="s">
        <v>30</v>
      </c>
      <c r="S983" s="9">
        <f t="shared" si="30"/>
        <v>32</v>
      </c>
      <c r="T983" s="10" t="str">
        <f t="shared" si="31"/>
        <v>Low</v>
      </c>
    </row>
    <row r="984" spans="1:20">
      <c r="A984" s="2">
        <v>500995</v>
      </c>
      <c r="B984" s="2">
        <v>101194</v>
      </c>
      <c r="C984" s="8">
        <v>45689</v>
      </c>
      <c r="D984" s="2">
        <v>2003</v>
      </c>
      <c r="E984" s="2">
        <v>3</v>
      </c>
      <c r="F984" s="2">
        <v>0</v>
      </c>
      <c r="G984" s="2" t="s">
        <v>27</v>
      </c>
      <c r="H984" s="2" t="s">
        <v>21</v>
      </c>
      <c r="I984" s="2">
        <v>51</v>
      </c>
      <c r="J984" s="2" t="s">
        <v>43</v>
      </c>
      <c r="K984" s="8">
        <v>44965</v>
      </c>
      <c r="L984" s="2" t="s">
        <v>23</v>
      </c>
      <c r="M984" s="2" t="s">
        <v>24</v>
      </c>
      <c r="N984" s="2" t="s">
        <v>25</v>
      </c>
      <c r="O984" s="2">
        <v>9</v>
      </c>
      <c r="P984" s="2">
        <v>27</v>
      </c>
      <c r="Q984" s="2">
        <v>27</v>
      </c>
      <c r="R984" s="9" t="s">
        <v>26</v>
      </c>
      <c r="S984" s="9">
        <f t="shared" si="30"/>
        <v>27</v>
      </c>
      <c r="T984" s="10" t="str">
        <f t="shared" si="31"/>
        <v>Low</v>
      </c>
    </row>
    <row r="985" spans="1:20">
      <c r="A985" s="2">
        <v>500996</v>
      </c>
      <c r="B985" s="2">
        <v>107276</v>
      </c>
      <c r="C985" s="8">
        <v>45436</v>
      </c>
      <c r="D985" s="2">
        <v>2007</v>
      </c>
      <c r="E985" s="2">
        <v>2</v>
      </c>
      <c r="F985" s="2">
        <v>0</v>
      </c>
      <c r="G985" s="2" t="s">
        <v>56</v>
      </c>
      <c r="H985" s="2" t="s">
        <v>21</v>
      </c>
      <c r="I985" s="2">
        <v>28</v>
      </c>
      <c r="J985" s="2" t="s">
        <v>43</v>
      </c>
      <c r="K985" s="8">
        <v>45813</v>
      </c>
      <c r="L985" s="2" t="s">
        <v>41</v>
      </c>
      <c r="M985" s="2" t="s">
        <v>61</v>
      </c>
      <c r="N985" s="2" t="s">
        <v>34</v>
      </c>
      <c r="O985" s="2">
        <v>75</v>
      </c>
      <c r="P985" s="2">
        <v>150</v>
      </c>
      <c r="Q985" s="2">
        <v>150</v>
      </c>
      <c r="R985" s="9" t="s">
        <v>30</v>
      </c>
      <c r="S985" s="9">
        <f t="shared" si="30"/>
        <v>150</v>
      </c>
      <c r="T985" s="10" t="str">
        <f t="shared" si="31"/>
        <v>Low</v>
      </c>
    </row>
    <row r="986" spans="1:20">
      <c r="A986" s="2">
        <v>500997</v>
      </c>
      <c r="B986" s="2">
        <v>107567</v>
      </c>
      <c r="C986" s="8">
        <v>46042</v>
      </c>
      <c r="D986" s="2">
        <v>2013</v>
      </c>
      <c r="E986" s="2">
        <v>2</v>
      </c>
      <c r="F986" s="2">
        <v>10</v>
      </c>
      <c r="G986" s="2" t="s">
        <v>20</v>
      </c>
      <c r="H986" s="2" t="s">
        <v>21</v>
      </c>
      <c r="I986" s="2">
        <v>38</v>
      </c>
      <c r="J986" s="2" t="s">
        <v>43</v>
      </c>
      <c r="K986" s="8">
        <v>45697</v>
      </c>
      <c r="L986" s="2" t="s">
        <v>23</v>
      </c>
      <c r="M986" s="2" t="s">
        <v>53</v>
      </c>
      <c r="N986" s="2" t="s">
        <v>54</v>
      </c>
      <c r="O986" s="2">
        <v>7</v>
      </c>
      <c r="P986" s="2">
        <v>13</v>
      </c>
      <c r="Q986" s="2">
        <v>13</v>
      </c>
      <c r="R986" s="9" t="s">
        <v>26</v>
      </c>
      <c r="S986" s="9">
        <f t="shared" si="30"/>
        <v>14</v>
      </c>
      <c r="T986" s="10" t="str">
        <f t="shared" si="31"/>
        <v>Average</v>
      </c>
    </row>
    <row r="987" spans="1:20">
      <c r="A987" s="2">
        <v>500998</v>
      </c>
      <c r="B987" s="2">
        <v>105566</v>
      </c>
      <c r="C987" s="8">
        <v>45400</v>
      </c>
      <c r="D987" s="2">
        <v>2011</v>
      </c>
      <c r="E987" s="2">
        <v>1</v>
      </c>
      <c r="F987" s="2">
        <v>10</v>
      </c>
      <c r="G987" s="2" t="s">
        <v>31</v>
      </c>
      <c r="H987" s="2" t="s">
        <v>21</v>
      </c>
      <c r="I987" s="2">
        <v>48</v>
      </c>
      <c r="J987" s="2" t="s">
        <v>43</v>
      </c>
      <c r="K987" s="8">
        <v>45218</v>
      </c>
      <c r="L987" s="2" t="s">
        <v>23</v>
      </c>
      <c r="M987" s="2" t="s">
        <v>42</v>
      </c>
      <c r="N987" s="2" t="s">
        <v>37</v>
      </c>
      <c r="O987" s="2">
        <v>32</v>
      </c>
      <c r="P987" s="2">
        <v>29</v>
      </c>
      <c r="Q987" s="2">
        <v>29</v>
      </c>
      <c r="R987" s="9" t="s">
        <v>30</v>
      </c>
      <c r="S987" s="9">
        <f t="shared" si="30"/>
        <v>32</v>
      </c>
      <c r="T987" s="10" t="str">
        <f t="shared" si="31"/>
        <v>Average</v>
      </c>
    </row>
    <row r="988" spans="1:20">
      <c r="A988" s="2">
        <v>500999</v>
      </c>
      <c r="B988" s="2">
        <v>101019</v>
      </c>
      <c r="C988" s="8">
        <v>45711</v>
      </c>
      <c r="D988" s="2">
        <v>2003</v>
      </c>
      <c r="E988" s="2">
        <v>1</v>
      </c>
      <c r="F988" s="2">
        <v>0</v>
      </c>
      <c r="G988" s="2" t="s">
        <v>27</v>
      </c>
      <c r="H988" s="2" t="s">
        <v>21</v>
      </c>
      <c r="I988" s="2">
        <v>19</v>
      </c>
      <c r="J988" s="2" t="s">
        <v>38</v>
      </c>
      <c r="K988" s="8">
        <v>45504</v>
      </c>
      <c r="L988" s="2" t="s">
        <v>41</v>
      </c>
      <c r="M988" s="2" t="s">
        <v>24</v>
      </c>
      <c r="N988" s="2" t="s">
        <v>25</v>
      </c>
      <c r="O988" s="2">
        <v>9</v>
      </c>
      <c r="P988" s="2">
        <v>9</v>
      </c>
      <c r="Q988" s="2">
        <v>9</v>
      </c>
      <c r="R988" s="9" t="s">
        <v>26</v>
      </c>
      <c r="S988" s="9">
        <f t="shared" si="30"/>
        <v>9</v>
      </c>
      <c r="T988" s="10" t="str">
        <f t="shared" si="31"/>
        <v>Low</v>
      </c>
    </row>
    <row r="989" spans="1:20">
      <c r="A989" s="2">
        <v>501000</v>
      </c>
      <c r="B989" s="2">
        <v>102539</v>
      </c>
      <c r="C989" s="8">
        <v>45382</v>
      </c>
      <c r="D989" s="2">
        <v>2001</v>
      </c>
      <c r="E989" s="2">
        <v>1</v>
      </c>
      <c r="F989" s="2">
        <v>15</v>
      </c>
      <c r="G989" s="2" t="s">
        <v>27</v>
      </c>
      <c r="H989" s="2" t="s">
        <v>21</v>
      </c>
      <c r="I989" s="2">
        <v>43</v>
      </c>
      <c r="J989" s="2" t="s">
        <v>32</v>
      </c>
      <c r="K989" s="8">
        <v>45001</v>
      </c>
      <c r="L989" s="2" t="s">
        <v>23</v>
      </c>
      <c r="M989" s="2" t="s">
        <v>50</v>
      </c>
      <c r="N989" s="2" t="s">
        <v>34</v>
      </c>
      <c r="O989" s="2">
        <v>18</v>
      </c>
      <c r="P989" s="2">
        <v>15</v>
      </c>
      <c r="Q989" s="2">
        <v>15</v>
      </c>
      <c r="R989" s="9" t="s">
        <v>30</v>
      </c>
      <c r="S989" s="9">
        <f t="shared" si="30"/>
        <v>18</v>
      </c>
      <c r="T989" s="10" t="str">
        <f t="shared" si="31"/>
        <v>High</v>
      </c>
    </row>
    <row r="990" spans="1:20">
      <c r="A990" s="2">
        <v>501001</v>
      </c>
      <c r="B990" s="2">
        <v>105171</v>
      </c>
      <c r="C990" s="8">
        <v>45981</v>
      </c>
      <c r="D990" s="2">
        <v>2004</v>
      </c>
      <c r="E990" s="2">
        <v>4</v>
      </c>
      <c r="F990" s="2">
        <v>15</v>
      </c>
      <c r="G990" s="2" t="s">
        <v>31</v>
      </c>
      <c r="H990" s="2" t="s">
        <v>21</v>
      </c>
      <c r="I990" s="2">
        <v>46</v>
      </c>
      <c r="J990" s="2" t="s">
        <v>43</v>
      </c>
      <c r="K990" s="8">
        <v>45651</v>
      </c>
      <c r="L990" s="2" t="s">
        <v>41</v>
      </c>
      <c r="M990" s="2" t="s">
        <v>46</v>
      </c>
      <c r="N990" s="2" t="s">
        <v>34</v>
      </c>
      <c r="O990" s="2">
        <v>35</v>
      </c>
      <c r="P990" s="2">
        <v>119</v>
      </c>
      <c r="Q990" s="2">
        <v>119</v>
      </c>
      <c r="R990" s="9" t="s">
        <v>26</v>
      </c>
      <c r="S990" s="9">
        <f t="shared" si="30"/>
        <v>140</v>
      </c>
      <c r="T990" s="10" t="str">
        <f t="shared" si="31"/>
        <v>High</v>
      </c>
    </row>
    <row r="991" spans="1:20">
      <c r="A991" s="2">
        <v>501002</v>
      </c>
      <c r="B991" s="2">
        <v>101636</v>
      </c>
      <c r="C991" s="8">
        <v>45535</v>
      </c>
      <c r="D991" s="2">
        <v>2013</v>
      </c>
      <c r="E991" s="2">
        <v>1</v>
      </c>
      <c r="F991" s="2">
        <v>10</v>
      </c>
      <c r="G991" s="2" t="s">
        <v>56</v>
      </c>
      <c r="H991" s="2" t="s">
        <v>21</v>
      </c>
      <c r="I991" s="2">
        <v>43</v>
      </c>
      <c r="J991" s="2" t="s">
        <v>32</v>
      </c>
      <c r="K991" s="8">
        <v>45385</v>
      </c>
      <c r="L991" s="2" t="s">
        <v>41</v>
      </c>
      <c r="M991" s="2" t="s">
        <v>53</v>
      </c>
      <c r="N991" s="2" t="s">
        <v>54</v>
      </c>
      <c r="O991" s="2">
        <v>7</v>
      </c>
      <c r="P991" s="2">
        <v>6</v>
      </c>
      <c r="Q991" s="2">
        <v>6</v>
      </c>
      <c r="R991" s="9" t="s">
        <v>30</v>
      </c>
      <c r="S991" s="9">
        <f t="shared" si="30"/>
        <v>7</v>
      </c>
      <c r="T991" s="10" t="str">
        <f t="shared" si="31"/>
        <v>Average</v>
      </c>
    </row>
    <row r="992" spans="1:20">
      <c r="A992" s="2">
        <v>501003</v>
      </c>
      <c r="B992" s="2">
        <v>109720</v>
      </c>
      <c r="C992" s="8">
        <v>45805</v>
      </c>
      <c r="D992" s="2">
        <v>2004</v>
      </c>
      <c r="E992" s="2">
        <v>1</v>
      </c>
      <c r="F992" s="2">
        <v>0</v>
      </c>
      <c r="G992" s="2" t="s">
        <v>20</v>
      </c>
      <c r="H992" s="2" t="s">
        <v>21</v>
      </c>
      <c r="I992" s="2">
        <v>31</v>
      </c>
      <c r="J992" s="2" t="s">
        <v>45</v>
      </c>
      <c r="K992" s="8">
        <v>45227</v>
      </c>
      <c r="L992" s="2" t="s">
        <v>23</v>
      </c>
      <c r="M992" s="2" t="s">
        <v>46</v>
      </c>
      <c r="N992" s="2" t="s">
        <v>34</v>
      </c>
      <c r="O992" s="2">
        <v>35</v>
      </c>
      <c r="P992" s="2">
        <v>35</v>
      </c>
      <c r="Q992" s="2">
        <v>35</v>
      </c>
      <c r="R992" s="9" t="s">
        <v>26</v>
      </c>
      <c r="S992" s="9">
        <f t="shared" si="30"/>
        <v>35</v>
      </c>
      <c r="T992" s="10" t="str">
        <f t="shared" si="31"/>
        <v>Low</v>
      </c>
    </row>
    <row r="993" spans="1:20">
      <c r="A993" s="2">
        <v>501004</v>
      </c>
      <c r="B993" s="2">
        <v>100572</v>
      </c>
      <c r="C993" s="8">
        <v>45438</v>
      </c>
      <c r="D993" s="2">
        <v>2005</v>
      </c>
      <c r="E993" s="2">
        <v>3</v>
      </c>
      <c r="F993" s="2">
        <v>0</v>
      </c>
      <c r="G993" s="2" t="s">
        <v>20</v>
      </c>
      <c r="H993" s="2" t="s">
        <v>21</v>
      </c>
      <c r="I993" s="2">
        <v>37</v>
      </c>
      <c r="J993" s="2" t="s">
        <v>32</v>
      </c>
      <c r="K993" s="8">
        <v>45107</v>
      </c>
      <c r="L993" s="2" t="s">
        <v>41</v>
      </c>
      <c r="M993" s="2" t="s">
        <v>51</v>
      </c>
      <c r="N993" s="2" t="s">
        <v>25</v>
      </c>
      <c r="O993" s="2">
        <v>28</v>
      </c>
      <c r="P993" s="2">
        <v>84</v>
      </c>
      <c r="Q993" s="2">
        <v>84</v>
      </c>
      <c r="R993" s="9" t="s">
        <v>30</v>
      </c>
      <c r="S993" s="9">
        <f t="shared" si="30"/>
        <v>84</v>
      </c>
      <c r="T993" s="10" t="str">
        <f t="shared" si="31"/>
        <v>Low</v>
      </c>
    </row>
    <row r="994" spans="1:20">
      <c r="A994" s="2">
        <v>501005</v>
      </c>
      <c r="B994" s="2">
        <v>105358</v>
      </c>
      <c r="C994" s="8">
        <v>45595</v>
      </c>
      <c r="D994" s="2">
        <v>2015</v>
      </c>
      <c r="E994" s="2">
        <v>2</v>
      </c>
      <c r="F994" s="2">
        <v>15</v>
      </c>
      <c r="G994" s="2" t="s">
        <v>20</v>
      </c>
      <c r="H994" s="2" t="s">
        <v>21</v>
      </c>
      <c r="I994" s="2">
        <v>53</v>
      </c>
      <c r="J994" s="2" t="s">
        <v>48</v>
      </c>
      <c r="K994" s="8">
        <v>45621</v>
      </c>
      <c r="L994" s="2" t="s">
        <v>23</v>
      </c>
      <c r="M994" s="2" t="s">
        <v>66</v>
      </c>
      <c r="N994" s="2" t="s">
        <v>34</v>
      </c>
      <c r="O994" s="2">
        <v>58</v>
      </c>
      <c r="P994" s="2">
        <v>99</v>
      </c>
      <c r="Q994" s="2">
        <v>99</v>
      </c>
      <c r="R994" s="9" t="s">
        <v>30</v>
      </c>
      <c r="S994" s="9">
        <f t="shared" si="30"/>
        <v>116</v>
      </c>
      <c r="T994" s="10" t="str">
        <f t="shared" si="31"/>
        <v>High</v>
      </c>
    </row>
    <row r="995" spans="1:20">
      <c r="A995" s="2">
        <v>501006</v>
      </c>
      <c r="B995" s="2">
        <v>105616</v>
      </c>
      <c r="C995" s="8">
        <v>45390</v>
      </c>
      <c r="D995" s="2">
        <v>2020</v>
      </c>
      <c r="E995" s="2">
        <v>3</v>
      </c>
      <c r="F995" s="2">
        <v>30</v>
      </c>
      <c r="G995" s="2" t="s">
        <v>20</v>
      </c>
      <c r="H995" s="2" t="s">
        <v>21</v>
      </c>
      <c r="I995" s="2">
        <v>53</v>
      </c>
      <c r="J995" s="2" t="s">
        <v>45</v>
      </c>
      <c r="K995" s="8">
        <v>45835</v>
      </c>
      <c r="L995" s="2" t="s">
        <v>49</v>
      </c>
      <c r="M995" s="2" t="s">
        <v>62</v>
      </c>
      <c r="N995" s="2" t="s">
        <v>63</v>
      </c>
      <c r="O995" s="2">
        <v>68</v>
      </c>
      <c r="P995" s="2">
        <v>143</v>
      </c>
      <c r="Q995" s="2">
        <v>143</v>
      </c>
      <c r="R995" s="9" t="s">
        <v>30</v>
      </c>
      <c r="S995" s="9">
        <f t="shared" si="30"/>
        <v>204</v>
      </c>
      <c r="T995" s="10" t="str">
        <f t="shared" si="31"/>
        <v>High</v>
      </c>
    </row>
    <row r="996" spans="1:20">
      <c r="A996" s="2">
        <v>501007</v>
      </c>
      <c r="B996" s="2">
        <v>104658</v>
      </c>
      <c r="C996" s="8">
        <v>45767</v>
      </c>
      <c r="D996" s="2">
        <v>2002</v>
      </c>
      <c r="E996" s="2">
        <v>2</v>
      </c>
      <c r="F996" s="2">
        <v>15</v>
      </c>
      <c r="G996" s="2" t="s">
        <v>27</v>
      </c>
      <c r="H996" s="2" t="s">
        <v>21</v>
      </c>
      <c r="I996" s="2">
        <v>45</v>
      </c>
      <c r="J996" s="2" t="s">
        <v>32</v>
      </c>
      <c r="K996" s="8">
        <v>44992</v>
      </c>
      <c r="L996" s="2" t="s">
        <v>23</v>
      </c>
      <c r="M996" s="2" t="s">
        <v>33</v>
      </c>
      <c r="N996" s="2" t="s">
        <v>34</v>
      </c>
      <c r="O996" s="2">
        <v>62</v>
      </c>
      <c r="P996" s="2">
        <v>105</v>
      </c>
      <c r="Q996" s="2">
        <v>105</v>
      </c>
      <c r="R996" s="9" t="s">
        <v>26</v>
      </c>
      <c r="S996" s="9">
        <f t="shared" si="30"/>
        <v>124</v>
      </c>
      <c r="T996" s="10" t="str">
        <f t="shared" si="31"/>
        <v>High</v>
      </c>
    </row>
    <row r="997" spans="1:20">
      <c r="A997" s="2">
        <v>501008</v>
      </c>
      <c r="B997" s="2">
        <v>108805</v>
      </c>
      <c r="C997" s="8">
        <v>45295</v>
      </c>
      <c r="D997" s="2">
        <v>2015</v>
      </c>
      <c r="E997" s="2">
        <v>4</v>
      </c>
      <c r="F997" s="2">
        <v>15</v>
      </c>
      <c r="G997" s="2" t="s">
        <v>20</v>
      </c>
      <c r="H997" s="2" t="s">
        <v>21</v>
      </c>
      <c r="I997" s="2">
        <v>42</v>
      </c>
      <c r="J997" s="2" t="s">
        <v>35</v>
      </c>
      <c r="K997" s="8">
        <v>45217</v>
      </c>
      <c r="L997" s="2" t="s">
        <v>41</v>
      </c>
      <c r="M997" s="2" t="s">
        <v>66</v>
      </c>
      <c r="N997" s="2" t="s">
        <v>34</v>
      </c>
      <c r="O997" s="2">
        <v>58</v>
      </c>
      <c r="P997" s="2">
        <v>197</v>
      </c>
      <c r="Q997" s="2">
        <v>197</v>
      </c>
      <c r="R997" s="9" t="s">
        <v>30</v>
      </c>
      <c r="S997" s="9">
        <f t="shared" si="30"/>
        <v>232</v>
      </c>
      <c r="T997" s="10" t="str">
        <f t="shared" si="31"/>
        <v>High</v>
      </c>
    </row>
    <row r="998" spans="1:20">
      <c r="A998" s="2">
        <v>501009</v>
      </c>
      <c r="B998" s="2">
        <v>101159</v>
      </c>
      <c r="C998" s="8">
        <v>46195</v>
      </c>
      <c r="D998" s="2">
        <v>2010</v>
      </c>
      <c r="E998" s="2">
        <v>1</v>
      </c>
      <c r="F998" s="2">
        <v>5</v>
      </c>
      <c r="G998" s="2" t="s">
        <v>20</v>
      </c>
      <c r="H998" s="2" t="s">
        <v>21</v>
      </c>
      <c r="I998" s="2">
        <v>36</v>
      </c>
      <c r="J998" s="2" t="s">
        <v>32</v>
      </c>
      <c r="K998" s="8">
        <v>45222</v>
      </c>
      <c r="L998" s="2" t="s">
        <v>49</v>
      </c>
      <c r="M998" s="2" t="s">
        <v>58</v>
      </c>
      <c r="N998" s="2" t="s">
        <v>59</v>
      </c>
      <c r="O998" s="2">
        <v>55</v>
      </c>
      <c r="P998" s="2">
        <v>52</v>
      </c>
      <c r="Q998" s="2">
        <v>52</v>
      </c>
      <c r="R998" s="9" t="s">
        <v>26</v>
      </c>
      <c r="S998" s="9">
        <f t="shared" si="30"/>
        <v>55</v>
      </c>
      <c r="T998" s="10" t="str">
        <f t="shared" si="31"/>
        <v>Low</v>
      </c>
    </row>
    <row r="999" spans="1:20">
      <c r="A999" s="2">
        <v>501010</v>
      </c>
      <c r="B999" s="2">
        <v>101525</v>
      </c>
      <c r="C999" s="8">
        <v>45651</v>
      </c>
      <c r="D999" s="2">
        <v>2008</v>
      </c>
      <c r="E999" s="2">
        <v>4</v>
      </c>
      <c r="F999" s="2">
        <v>5</v>
      </c>
      <c r="G999" s="2" t="s">
        <v>31</v>
      </c>
      <c r="H999" s="2" t="s">
        <v>21</v>
      </c>
      <c r="I999" s="2">
        <v>46</v>
      </c>
      <c r="J999" s="2" t="s">
        <v>45</v>
      </c>
      <c r="K999" s="8">
        <v>45639</v>
      </c>
      <c r="L999" s="2" t="s">
        <v>23</v>
      </c>
      <c r="M999" s="2" t="s">
        <v>39</v>
      </c>
      <c r="N999" s="2" t="s">
        <v>25</v>
      </c>
      <c r="O999" s="2">
        <v>14</v>
      </c>
      <c r="P999" s="2">
        <v>53</v>
      </c>
      <c r="Q999" s="2">
        <v>53</v>
      </c>
      <c r="R999" s="9" t="s">
        <v>30</v>
      </c>
      <c r="S999" s="9">
        <f t="shared" si="30"/>
        <v>56</v>
      </c>
      <c r="T999" s="10" t="str">
        <f t="shared" si="31"/>
        <v>Low</v>
      </c>
    </row>
    <row r="1000" spans="1:20">
      <c r="A1000" s="2">
        <v>501011</v>
      </c>
      <c r="B1000" s="2">
        <v>100651</v>
      </c>
      <c r="C1000" s="8">
        <v>45835</v>
      </c>
      <c r="D1000" s="2">
        <v>2004</v>
      </c>
      <c r="E1000" s="2">
        <v>1</v>
      </c>
      <c r="F1000" s="2">
        <v>20</v>
      </c>
      <c r="G1000" s="2" t="s">
        <v>20</v>
      </c>
      <c r="H1000" s="2" t="s">
        <v>21</v>
      </c>
      <c r="I1000" s="2">
        <v>41</v>
      </c>
      <c r="J1000" s="2" t="s">
        <v>55</v>
      </c>
      <c r="K1000" s="8">
        <v>45880</v>
      </c>
      <c r="L1000" s="2" t="s">
        <v>41</v>
      </c>
      <c r="M1000" s="2" t="s">
        <v>46</v>
      </c>
      <c r="N1000" s="2" t="s">
        <v>34</v>
      </c>
      <c r="O1000" s="2">
        <v>35</v>
      </c>
      <c r="P1000" s="2">
        <v>28</v>
      </c>
      <c r="Q1000" s="2">
        <v>28</v>
      </c>
      <c r="R1000" s="9" t="s">
        <v>26</v>
      </c>
      <c r="S1000" s="9">
        <f t="shared" si="30"/>
        <v>35</v>
      </c>
      <c r="T1000" s="10" t="str">
        <f t="shared" si="31"/>
        <v>High</v>
      </c>
    </row>
    <row r="1001" spans="1:20">
      <c r="A1001" s="2">
        <v>501012</v>
      </c>
      <c r="B1001" s="2">
        <v>102399</v>
      </c>
      <c r="C1001" s="8">
        <v>45539</v>
      </c>
      <c r="D1001" s="2">
        <v>2020</v>
      </c>
      <c r="E1001" s="2">
        <v>4</v>
      </c>
      <c r="F1001" s="2">
        <v>0</v>
      </c>
      <c r="G1001" s="2" t="s">
        <v>20</v>
      </c>
      <c r="H1001" s="2" t="s">
        <v>21</v>
      </c>
      <c r="I1001" s="2">
        <v>30</v>
      </c>
      <c r="J1001" s="2" t="s">
        <v>28</v>
      </c>
      <c r="K1001" s="8">
        <v>45582</v>
      </c>
      <c r="L1001" s="2" t="s">
        <v>23</v>
      </c>
      <c r="M1001" s="2" t="s">
        <v>62</v>
      </c>
      <c r="N1001" s="2" t="s">
        <v>63</v>
      </c>
      <c r="O1001" s="2">
        <v>68</v>
      </c>
      <c r="P1001" s="2">
        <v>272</v>
      </c>
      <c r="Q1001" s="2">
        <v>272</v>
      </c>
      <c r="R1001" s="9" t="s">
        <v>30</v>
      </c>
      <c r="S1001" s="9">
        <f t="shared" si="30"/>
        <v>272</v>
      </c>
      <c r="T1001" s="10" t="str">
        <f t="shared" si="31"/>
        <v>Low</v>
      </c>
    </row>
    <row r="1002" spans="1:20">
      <c r="C1002" s="11"/>
      <c r="K1002" s="11"/>
    </row>
    <row r="1003" spans="1:20">
      <c r="C1003" s="11"/>
      <c r="K1003" s="11"/>
    </row>
    <row r="1004" spans="1:20">
      <c r="C1004" s="11"/>
      <c r="K1004" s="11"/>
    </row>
    <row r="1005" spans="1:20">
      <c r="C1005" s="11"/>
      <c r="K1005" s="11"/>
    </row>
    <row r="1006" spans="1:20">
      <c r="C1006" s="11"/>
      <c r="K1006" s="11"/>
    </row>
    <row r="1007" spans="1:20">
      <c r="C1007" s="11"/>
      <c r="K1007" s="11"/>
    </row>
    <row r="1008" spans="1:20">
      <c r="C1008" s="11"/>
      <c r="K1008" s="11"/>
    </row>
    <row r="1009" spans="3:11">
      <c r="C1009" s="11"/>
      <c r="K1009" s="11"/>
    </row>
    <row r="1010" spans="3:11">
      <c r="C1010" s="11"/>
      <c r="K1010" s="11"/>
    </row>
    <row r="1011" spans="3:11">
      <c r="C1011" s="11"/>
      <c r="K1011" s="11"/>
    </row>
    <row r="1012" spans="3:11">
      <c r="C1012" s="11"/>
      <c r="K1012" s="11"/>
    </row>
    <row r="1013" spans="3:11">
      <c r="C1013" s="11"/>
      <c r="K1013" s="11"/>
    </row>
    <row r="1014" spans="3:11">
      <c r="C1014" s="11"/>
      <c r="K1014" s="11"/>
    </row>
    <row r="1015" spans="3:11">
      <c r="C1015" s="11"/>
      <c r="K1015" s="11"/>
    </row>
    <row r="1016" spans="3:11">
      <c r="C1016" s="11"/>
      <c r="K1016" s="11"/>
    </row>
    <row r="1017" spans="3:11">
      <c r="C1017" s="11"/>
      <c r="K1017" s="11"/>
    </row>
    <row r="1018" spans="3:11">
      <c r="C1018" s="11"/>
      <c r="K1018" s="11"/>
    </row>
    <row r="1019" spans="3:11">
      <c r="C1019" s="11"/>
      <c r="K1019" s="11"/>
    </row>
    <row r="1020" spans="3:11">
      <c r="C1020" s="11"/>
      <c r="K1020" s="11"/>
    </row>
    <row r="1021" spans="3:11">
      <c r="C1021" s="11"/>
      <c r="K1021" s="11"/>
    </row>
    <row r="1022" spans="3:11">
      <c r="C1022" s="11"/>
      <c r="K1022" s="11"/>
    </row>
    <row r="1023" spans="3:11">
      <c r="C1023" s="11"/>
      <c r="K1023" s="11"/>
    </row>
    <row r="1024" spans="3:11">
      <c r="C1024" s="11"/>
      <c r="K1024" s="11"/>
    </row>
    <row r="1025" spans="3:11">
      <c r="C1025" s="11"/>
      <c r="K1025" s="11"/>
    </row>
    <row r="1026" spans="3:11">
      <c r="C1026" s="11"/>
      <c r="K1026" s="11"/>
    </row>
    <row r="1027" spans="3:11">
      <c r="C1027" s="11"/>
      <c r="K1027" s="11"/>
    </row>
    <row r="1028" spans="3:11">
      <c r="C1028" s="11"/>
      <c r="K1028" s="11"/>
    </row>
    <row r="1029" spans="3:11">
      <c r="C1029" s="11"/>
      <c r="K1029" s="11"/>
    </row>
    <row r="1030" spans="3:11">
      <c r="C1030" s="11"/>
      <c r="K1030" s="11"/>
    </row>
    <row r="1031" spans="3:11">
      <c r="C1031" s="11"/>
      <c r="K1031" s="11"/>
    </row>
    <row r="1032" spans="3:11">
      <c r="C1032" s="11"/>
      <c r="K1032" s="11"/>
    </row>
    <row r="1033" spans="3:11">
      <c r="C1033" s="11"/>
      <c r="K1033" s="11"/>
    </row>
    <row r="1034" spans="3:11">
      <c r="C1034" s="11"/>
      <c r="K1034" s="11"/>
    </row>
    <row r="1035" spans="3:11">
      <c r="C1035" s="11"/>
      <c r="K1035" s="11"/>
    </row>
    <row r="1036" spans="3:11">
      <c r="C1036" s="11"/>
      <c r="K1036" s="11"/>
    </row>
    <row r="1037" spans="3:11">
      <c r="C1037" s="11"/>
      <c r="K1037" s="11"/>
    </row>
    <row r="1038" spans="3:11">
      <c r="C1038" s="11"/>
      <c r="K1038" s="11"/>
    </row>
    <row r="1039" spans="3:11">
      <c r="C1039" s="11"/>
      <c r="K1039" s="11"/>
    </row>
    <row r="1040" spans="3:11">
      <c r="C1040" s="11"/>
      <c r="K1040" s="11"/>
    </row>
    <row r="1041" spans="3:11">
      <c r="C1041" s="11"/>
      <c r="K1041" s="11"/>
    </row>
    <row r="1042" spans="3:11">
      <c r="C1042" s="11"/>
      <c r="K1042" s="11"/>
    </row>
    <row r="1043" spans="3:11">
      <c r="C1043" s="11"/>
      <c r="K1043" s="11"/>
    </row>
    <row r="1044" spans="3:11">
      <c r="C1044" s="11"/>
      <c r="K1044" s="11"/>
    </row>
    <row r="1045" spans="3:11">
      <c r="C1045" s="11"/>
      <c r="K1045" s="11"/>
    </row>
    <row r="1046" spans="3:11">
      <c r="C1046" s="11"/>
      <c r="K1046" s="11"/>
    </row>
    <row r="1047" spans="3:11">
      <c r="C1047" s="11"/>
      <c r="K1047" s="11"/>
    </row>
    <row r="1048" spans="3:11">
      <c r="C1048" s="11"/>
      <c r="K1048" s="11"/>
    </row>
    <row r="1049" spans="3:11">
      <c r="C1049" s="11"/>
      <c r="K1049" s="11"/>
    </row>
    <row r="1050" spans="3:11">
      <c r="C1050" s="11"/>
      <c r="K1050" s="11"/>
    </row>
    <row r="1051" spans="3:11">
      <c r="C1051" s="11"/>
      <c r="K1051" s="11"/>
    </row>
    <row r="1052" spans="3:11">
      <c r="C1052" s="11"/>
      <c r="K1052" s="11"/>
    </row>
    <row r="1053" spans="3:11">
      <c r="C1053" s="11"/>
      <c r="K1053" s="11"/>
    </row>
    <row r="1054" spans="3:11">
      <c r="C1054" s="11"/>
      <c r="K1054" s="11"/>
    </row>
    <row r="1055" spans="3:11">
      <c r="C1055" s="11"/>
      <c r="K1055" s="11"/>
    </row>
    <row r="1056" spans="3:11">
      <c r="C1056" s="11"/>
      <c r="K1056" s="11"/>
    </row>
    <row r="1057" spans="3:11">
      <c r="C1057" s="11"/>
      <c r="K1057" s="11"/>
    </row>
    <row r="1058" spans="3:11">
      <c r="C1058" s="11"/>
      <c r="K1058" s="11"/>
    </row>
    <row r="1059" spans="3:11">
      <c r="C1059" s="11"/>
      <c r="K1059" s="11"/>
    </row>
    <row r="1060" spans="3:11">
      <c r="C1060" s="11"/>
      <c r="K1060" s="11"/>
    </row>
    <row r="1061" spans="3:11">
      <c r="C1061" s="11"/>
      <c r="K1061" s="11"/>
    </row>
    <row r="1062" spans="3:11">
      <c r="C1062" s="11"/>
      <c r="K1062" s="11"/>
    </row>
    <row r="1063" spans="3:11">
      <c r="C1063" s="11"/>
      <c r="K1063" s="11"/>
    </row>
    <row r="1064" spans="3:11">
      <c r="C1064" s="11"/>
      <c r="K1064" s="11"/>
    </row>
    <row r="1065" spans="3:11">
      <c r="C1065" s="11"/>
      <c r="K1065" s="11"/>
    </row>
    <row r="1066" spans="3:11">
      <c r="C1066" s="11"/>
      <c r="K1066" s="11"/>
    </row>
    <row r="1067" spans="3:11">
      <c r="C1067" s="11"/>
      <c r="K1067" s="11"/>
    </row>
    <row r="1068" spans="3:11">
      <c r="C1068" s="11"/>
      <c r="K1068" s="11"/>
    </row>
    <row r="1069" spans="3:11">
      <c r="C1069" s="11"/>
      <c r="K1069" s="11"/>
    </row>
    <row r="1070" spans="3:11">
      <c r="C1070" s="11"/>
      <c r="K1070" s="11"/>
    </row>
    <row r="1071" spans="3:11">
      <c r="C1071" s="11"/>
      <c r="K1071" s="11"/>
    </row>
    <row r="1072" spans="3:11">
      <c r="C1072" s="11"/>
      <c r="K1072" s="11"/>
    </row>
    <row r="1073" spans="3:11">
      <c r="C1073" s="11"/>
      <c r="K1073" s="11"/>
    </row>
    <row r="1074" spans="3:11">
      <c r="C1074" s="11"/>
      <c r="K1074" s="11"/>
    </row>
    <row r="1075" spans="3:11">
      <c r="C1075" s="11"/>
      <c r="K1075" s="11"/>
    </row>
    <row r="1076" spans="3:11">
      <c r="C1076" s="11"/>
      <c r="K1076" s="11"/>
    </row>
    <row r="1077" spans="3:11">
      <c r="C1077" s="11"/>
      <c r="K1077" s="11"/>
    </row>
    <row r="1078" spans="3:11">
      <c r="C1078" s="11"/>
      <c r="K1078" s="11"/>
    </row>
    <row r="1079" spans="3:11">
      <c r="C1079" s="11"/>
      <c r="K1079" s="11"/>
    </row>
    <row r="1080" spans="3:11">
      <c r="C1080" s="11"/>
      <c r="K1080" s="11"/>
    </row>
    <row r="1081" spans="3:11">
      <c r="C1081" s="11"/>
      <c r="K1081" s="11"/>
    </row>
    <row r="1082" spans="3:11">
      <c r="C1082" s="11"/>
      <c r="K1082" s="11"/>
    </row>
    <row r="1083" spans="3:11">
      <c r="C1083" s="11"/>
      <c r="K1083" s="11"/>
    </row>
    <row r="1084" spans="3:11">
      <c r="C1084" s="11"/>
      <c r="K1084" s="11"/>
    </row>
    <row r="1085" spans="3:11">
      <c r="C1085" s="11"/>
      <c r="K1085" s="11"/>
    </row>
    <row r="1086" spans="3:11">
      <c r="C1086" s="11"/>
      <c r="K1086" s="11"/>
    </row>
    <row r="1087" spans="3:11">
      <c r="C1087" s="11"/>
      <c r="K1087" s="11"/>
    </row>
    <row r="1088" spans="3:11">
      <c r="C1088" s="11"/>
      <c r="K1088" s="11"/>
    </row>
    <row r="1089" spans="3:11">
      <c r="C1089" s="11"/>
      <c r="K1089" s="11"/>
    </row>
    <row r="1090" spans="3:11">
      <c r="C1090" s="11"/>
      <c r="K1090" s="11"/>
    </row>
    <row r="1091" spans="3:11">
      <c r="C1091" s="11"/>
      <c r="K1091" s="11"/>
    </row>
    <row r="1092" spans="3:11">
      <c r="C1092" s="11"/>
      <c r="K1092" s="11"/>
    </row>
    <row r="1093" spans="3:11">
      <c r="C1093" s="11"/>
      <c r="K1093" s="11"/>
    </row>
    <row r="1094" spans="3:11">
      <c r="C1094" s="11"/>
      <c r="K1094" s="11"/>
    </row>
    <row r="1095" spans="3:11">
      <c r="C1095" s="11"/>
      <c r="K1095" s="11"/>
    </row>
    <row r="1096" spans="3:11">
      <c r="C1096" s="11"/>
      <c r="K1096" s="11"/>
    </row>
    <row r="1097" spans="3:11">
      <c r="C1097" s="11"/>
      <c r="K1097" s="11"/>
    </row>
    <row r="1098" spans="3:11">
      <c r="C1098" s="11"/>
      <c r="K1098" s="11"/>
    </row>
    <row r="1099" spans="3:11">
      <c r="C1099" s="11"/>
      <c r="K1099" s="11"/>
    </row>
    <row r="1100" spans="3:11">
      <c r="C1100" s="11"/>
      <c r="K1100" s="11"/>
    </row>
    <row r="1101" spans="3:11">
      <c r="C1101" s="11"/>
      <c r="K1101" s="11"/>
    </row>
    <row r="1102" spans="3:11">
      <c r="C1102" s="11"/>
      <c r="K1102" s="11"/>
    </row>
    <row r="1103" spans="3:11">
      <c r="C1103" s="11"/>
      <c r="K1103" s="11"/>
    </row>
    <row r="1104" spans="3:11">
      <c r="C1104" s="11"/>
      <c r="K1104" s="11"/>
    </row>
    <row r="1105" spans="3:11">
      <c r="C1105" s="11"/>
      <c r="K1105" s="11"/>
    </row>
    <row r="1106" spans="3:11">
      <c r="C1106" s="11"/>
      <c r="K1106" s="11"/>
    </row>
    <row r="1107" spans="3:11">
      <c r="C1107" s="11"/>
      <c r="K1107" s="11"/>
    </row>
    <row r="1108" spans="3:11">
      <c r="C1108" s="11"/>
      <c r="K1108" s="11"/>
    </row>
    <row r="1109" spans="3:11">
      <c r="C1109" s="11"/>
      <c r="K1109" s="11"/>
    </row>
    <row r="1110" spans="3:11">
      <c r="C1110" s="11"/>
      <c r="K1110" s="11"/>
    </row>
    <row r="1111" spans="3:11">
      <c r="C1111" s="11"/>
      <c r="K1111" s="11"/>
    </row>
    <row r="1112" spans="3:11">
      <c r="C1112" s="11"/>
      <c r="K1112" s="11"/>
    </row>
    <row r="1113" spans="3:11">
      <c r="C1113" s="11"/>
      <c r="K1113" s="11"/>
    </row>
    <row r="1114" spans="3:11">
      <c r="C1114" s="11"/>
      <c r="K1114" s="11"/>
    </row>
    <row r="1115" spans="3:11">
      <c r="C1115" s="11"/>
      <c r="K1115" s="11"/>
    </row>
    <row r="1116" spans="3:11">
      <c r="C1116" s="11"/>
      <c r="K1116" s="11"/>
    </row>
    <row r="1117" spans="3:11">
      <c r="C1117" s="11"/>
      <c r="K1117" s="11"/>
    </row>
    <row r="1118" spans="3:11">
      <c r="C1118" s="11"/>
      <c r="K1118" s="11"/>
    </row>
    <row r="1119" spans="3:11">
      <c r="C1119" s="11"/>
      <c r="K1119" s="11"/>
    </row>
    <row r="1120" spans="3:11">
      <c r="C1120" s="11"/>
      <c r="K1120" s="11"/>
    </row>
    <row r="1121" spans="3:11">
      <c r="C1121" s="11"/>
      <c r="K1121" s="11"/>
    </row>
    <row r="1122" spans="3:11">
      <c r="C1122" s="11"/>
      <c r="K1122" s="11"/>
    </row>
    <row r="1123" spans="3:11">
      <c r="C1123" s="11"/>
      <c r="K1123" s="11"/>
    </row>
    <row r="1124" spans="3:11">
      <c r="C1124" s="11"/>
      <c r="K1124" s="11"/>
    </row>
    <row r="1125" spans="3:11">
      <c r="C1125" s="11"/>
      <c r="K1125" s="11"/>
    </row>
    <row r="1126" spans="3:11">
      <c r="C1126" s="11"/>
      <c r="K1126" s="11"/>
    </row>
    <row r="1127" spans="3:11">
      <c r="C1127" s="11"/>
      <c r="K1127" s="11"/>
    </row>
    <row r="1128" spans="3:11">
      <c r="C1128" s="11"/>
      <c r="K1128" s="11"/>
    </row>
    <row r="1129" spans="3:11">
      <c r="C1129" s="11"/>
      <c r="K1129" s="11"/>
    </row>
    <row r="1130" spans="3:11">
      <c r="C1130" s="11"/>
      <c r="K1130" s="11"/>
    </row>
    <row r="1131" spans="3:11">
      <c r="C1131" s="11"/>
      <c r="K1131" s="11"/>
    </row>
    <row r="1132" spans="3:11">
      <c r="C1132" s="11"/>
      <c r="K1132" s="11"/>
    </row>
    <row r="1133" spans="3:11">
      <c r="C1133" s="11"/>
      <c r="K1133" s="11"/>
    </row>
    <row r="1134" spans="3:11">
      <c r="C1134" s="11"/>
      <c r="K1134" s="11"/>
    </row>
    <row r="1135" spans="3:11">
      <c r="C1135" s="11"/>
      <c r="K1135" s="11"/>
    </row>
    <row r="1136" spans="3:11">
      <c r="C1136" s="11"/>
      <c r="K1136" s="11"/>
    </row>
    <row r="1137" spans="3:11">
      <c r="C1137" s="11"/>
      <c r="K1137" s="11"/>
    </row>
    <row r="1138" spans="3:11">
      <c r="C1138" s="11"/>
      <c r="K1138" s="11"/>
    </row>
    <row r="1139" spans="3:11">
      <c r="C1139" s="11"/>
      <c r="K1139" s="11"/>
    </row>
    <row r="1140" spans="3:11">
      <c r="C1140" s="11"/>
      <c r="K1140" s="11"/>
    </row>
    <row r="1141" spans="3:11">
      <c r="C1141" s="11"/>
      <c r="K1141" s="11"/>
    </row>
    <row r="1142" spans="3:11">
      <c r="C1142" s="11"/>
      <c r="K1142" s="11"/>
    </row>
    <row r="1143" spans="3:11">
      <c r="C1143" s="11"/>
      <c r="K1143" s="11"/>
    </row>
    <row r="1144" spans="3:11">
      <c r="C1144" s="11"/>
      <c r="K1144" s="11"/>
    </row>
    <row r="1145" spans="3:11">
      <c r="C1145" s="11"/>
      <c r="K1145" s="11"/>
    </row>
    <row r="1146" spans="3:11">
      <c r="C1146" s="11"/>
      <c r="K1146" s="11"/>
    </row>
    <row r="1147" spans="3:11">
      <c r="C1147" s="11"/>
      <c r="K1147" s="11"/>
    </row>
    <row r="1148" spans="3:11">
      <c r="C1148" s="11"/>
      <c r="K1148" s="11"/>
    </row>
    <row r="1149" spans="3:11">
      <c r="C1149" s="11"/>
      <c r="K1149" s="11"/>
    </row>
    <row r="1150" spans="3:11">
      <c r="C1150" s="11"/>
      <c r="K1150" s="11"/>
    </row>
    <row r="1151" spans="3:11">
      <c r="C1151" s="11"/>
      <c r="K1151" s="11"/>
    </row>
    <row r="1152" spans="3:11">
      <c r="C1152" s="11"/>
      <c r="K1152" s="11"/>
    </row>
    <row r="1153" spans="3:11">
      <c r="C1153" s="11"/>
      <c r="K1153" s="11"/>
    </row>
    <row r="1154" spans="3:11">
      <c r="C1154" s="11"/>
      <c r="K1154" s="11"/>
    </row>
    <row r="1155" spans="3:11">
      <c r="C1155" s="11"/>
      <c r="K1155" s="11"/>
    </row>
    <row r="1156" spans="3:11">
      <c r="C1156" s="11"/>
      <c r="K1156" s="11"/>
    </row>
    <row r="1157" spans="3:11">
      <c r="C1157" s="11"/>
      <c r="K1157" s="11"/>
    </row>
    <row r="1158" spans="3:11">
      <c r="C1158" s="11"/>
      <c r="K1158" s="11"/>
    </row>
    <row r="1159" spans="3:11">
      <c r="C1159" s="11"/>
      <c r="K1159" s="11"/>
    </row>
    <row r="1160" spans="3:11">
      <c r="C1160" s="11"/>
      <c r="K1160" s="11"/>
    </row>
    <row r="1161" spans="3:11">
      <c r="C1161" s="11"/>
      <c r="K1161" s="11"/>
    </row>
    <row r="1162" spans="3:11">
      <c r="C1162" s="11"/>
      <c r="K1162" s="11"/>
    </row>
    <row r="1163" spans="3:11">
      <c r="C1163" s="11"/>
      <c r="K1163" s="11"/>
    </row>
    <row r="1164" spans="3:11">
      <c r="C1164" s="11"/>
      <c r="K1164" s="11"/>
    </row>
    <row r="1165" spans="3:11">
      <c r="C1165" s="11"/>
      <c r="K1165" s="11"/>
    </row>
    <row r="1166" spans="3:11">
      <c r="C1166" s="11"/>
      <c r="K1166" s="11"/>
    </row>
    <row r="1167" spans="3:11">
      <c r="C1167" s="11"/>
      <c r="K1167" s="11"/>
    </row>
    <row r="1168" spans="3:11">
      <c r="C1168" s="11"/>
      <c r="K1168" s="11"/>
    </row>
    <row r="1169" spans="3:11">
      <c r="C1169" s="11"/>
      <c r="K1169" s="11"/>
    </row>
    <row r="1170" spans="3:11">
      <c r="C1170" s="11"/>
      <c r="K1170" s="11"/>
    </row>
    <row r="1171" spans="3:11">
      <c r="C1171" s="11"/>
      <c r="K1171" s="11"/>
    </row>
    <row r="1172" spans="3:11">
      <c r="C1172" s="11"/>
      <c r="K1172" s="11"/>
    </row>
    <row r="1173" spans="3:11">
      <c r="C1173" s="11"/>
      <c r="K1173" s="11"/>
    </row>
    <row r="1174" spans="3:11">
      <c r="C1174" s="11"/>
      <c r="K1174" s="11"/>
    </row>
    <row r="1175" spans="3:11">
      <c r="C1175" s="11"/>
      <c r="K1175" s="11"/>
    </row>
    <row r="1176" spans="3:11">
      <c r="C1176" s="11"/>
      <c r="K1176" s="11"/>
    </row>
    <row r="1177" spans="3:11">
      <c r="C1177" s="11"/>
      <c r="K1177" s="11"/>
    </row>
    <row r="1178" spans="3:11">
      <c r="C1178" s="11"/>
      <c r="K1178" s="11"/>
    </row>
    <row r="1179" spans="3:11">
      <c r="C1179" s="11"/>
      <c r="K1179" s="11"/>
    </row>
    <row r="1180" spans="3:11">
      <c r="C1180" s="11"/>
      <c r="K1180" s="11"/>
    </row>
    <row r="1181" spans="3:11">
      <c r="C1181" s="11"/>
      <c r="K1181" s="11"/>
    </row>
    <row r="1182" spans="3:11">
      <c r="C1182" s="11"/>
      <c r="K1182" s="11"/>
    </row>
    <row r="1183" spans="3:11">
      <c r="C1183" s="11"/>
      <c r="K1183" s="11"/>
    </row>
    <row r="1184" spans="3:11">
      <c r="C1184" s="11"/>
      <c r="K1184" s="11"/>
    </row>
    <row r="1185" spans="3:11">
      <c r="C1185" s="11"/>
      <c r="K1185" s="11"/>
    </row>
    <row r="1186" spans="3:11">
      <c r="C1186" s="11"/>
      <c r="K1186" s="11"/>
    </row>
    <row r="1187" spans="3:11">
      <c r="C1187" s="11"/>
      <c r="K1187" s="11"/>
    </row>
    <row r="1188" spans="3:11">
      <c r="C1188" s="11"/>
      <c r="K1188" s="11"/>
    </row>
    <row r="1189" spans="3:11">
      <c r="C1189" s="11"/>
      <c r="K1189" s="11"/>
    </row>
    <row r="1190" spans="3:11">
      <c r="C1190" s="11"/>
      <c r="K1190" s="11"/>
    </row>
    <row r="1191" spans="3:11">
      <c r="C1191" s="11"/>
      <c r="K1191" s="11"/>
    </row>
    <row r="1192" spans="3:11">
      <c r="C1192" s="11"/>
      <c r="K1192" s="11"/>
    </row>
    <row r="1193" spans="3:11">
      <c r="C1193" s="11"/>
      <c r="K1193" s="11"/>
    </row>
    <row r="1194" spans="3:11">
      <c r="C1194" s="11"/>
      <c r="K1194" s="11"/>
    </row>
    <row r="1195" spans="3:11">
      <c r="C1195" s="11"/>
      <c r="K1195" s="11"/>
    </row>
    <row r="1196" spans="3:11">
      <c r="C1196" s="11"/>
      <c r="K1196" s="11"/>
    </row>
    <row r="1197" spans="3:11">
      <c r="C1197" s="11"/>
      <c r="K1197" s="11"/>
    </row>
    <row r="1198" spans="3:11">
      <c r="C1198" s="11"/>
      <c r="K1198" s="11"/>
    </row>
    <row r="1199" spans="3:11">
      <c r="C1199" s="11"/>
      <c r="K1199" s="11"/>
    </row>
    <row r="1200" spans="3:11">
      <c r="C1200" s="11"/>
      <c r="K1200" s="11"/>
    </row>
    <row r="1201" spans="3:11">
      <c r="C1201" s="11"/>
      <c r="K1201" s="11"/>
    </row>
    <row r="1202" spans="3:11">
      <c r="C1202" s="11"/>
      <c r="K1202" s="11"/>
    </row>
    <row r="1203" spans="3:11">
      <c r="C1203" s="11"/>
      <c r="K1203" s="11"/>
    </row>
    <row r="1204" spans="3:11">
      <c r="C1204" s="11"/>
      <c r="K1204" s="11"/>
    </row>
    <row r="1205" spans="3:11">
      <c r="C1205" s="11"/>
      <c r="K1205" s="11"/>
    </row>
    <row r="1206" spans="3:11">
      <c r="C1206" s="11"/>
      <c r="K1206" s="11"/>
    </row>
    <row r="1207" spans="3:11">
      <c r="C1207" s="11"/>
      <c r="K1207" s="11"/>
    </row>
    <row r="1208" spans="3:11">
      <c r="C1208" s="11"/>
      <c r="K1208" s="11"/>
    </row>
    <row r="1209" spans="3:11">
      <c r="C1209" s="11"/>
      <c r="K1209" s="11"/>
    </row>
    <row r="1210" spans="3:11">
      <c r="C1210" s="11"/>
      <c r="K1210" s="11"/>
    </row>
    <row r="1211" spans="3:11">
      <c r="C1211" s="11"/>
      <c r="K1211" s="11"/>
    </row>
    <row r="1212" spans="3:11">
      <c r="C1212" s="11"/>
      <c r="K1212" s="11"/>
    </row>
    <row r="1213" spans="3:11">
      <c r="C1213" s="11"/>
      <c r="K1213" s="11"/>
    </row>
    <row r="1214" spans="3:11">
      <c r="C1214" s="11"/>
      <c r="K1214" s="11"/>
    </row>
    <row r="1215" spans="3:11">
      <c r="C1215" s="11"/>
      <c r="K1215" s="11"/>
    </row>
    <row r="1216" spans="3:11">
      <c r="C1216" s="11"/>
      <c r="K1216" s="11"/>
    </row>
    <row r="1217" spans="3:11">
      <c r="C1217" s="11"/>
      <c r="K1217" s="11"/>
    </row>
    <row r="1218" spans="3:11">
      <c r="C1218" s="11"/>
      <c r="K1218" s="11"/>
    </row>
    <row r="1219" spans="3:11">
      <c r="C1219" s="11"/>
      <c r="K1219" s="11"/>
    </row>
    <row r="1220" spans="3:11">
      <c r="C1220" s="11"/>
      <c r="K1220" s="11"/>
    </row>
    <row r="1221" spans="3:11">
      <c r="C1221" s="11"/>
      <c r="K1221" s="11"/>
    </row>
    <row r="1222" spans="3:11">
      <c r="C1222" s="11"/>
      <c r="K1222" s="11"/>
    </row>
    <row r="1223" spans="3:11">
      <c r="C1223" s="11"/>
      <c r="K1223" s="11"/>
    </row>
    <row r="1224" spans="3:11">
      <c r="C1224" s="11"/>
      <c r="K1224" s="11"/>
    </row>
    <row r="1225" spans="3:11">
      <c r="C1225" s="11"/>
      <c r="K1225" s="11"/>
    </row>
    <row r="1226" spans="3:11">
      <c r="C1226" s="11"/>
      <c r="K1226" s="11"/>
    </row>
    <row r="1227" spans="3:11">
      <c r="C1227" s="11"/>
      <c r="K1227" s="11"/>
    </row>
    <row r="1228" spans="3:11">
      <c r="C1228" s="11"/>
      <c r="K1228" s="11"/>
    </row>
    <row r="1229" spans="3:11">
      <c r="C1229" s="11"/>
      <c r="K1229" s="11"/>
    </row>
    <row r="1230" spans="3:11">
      <c r="C1230" s="11"/>
      <c r="K1230" s="11"/>
    </row>
    <row r="1231" spans="3:11">
      <c r="C1231" s="11"/>
      <c r="K1231" s="11"/>
    </row>
    <row r="1232" spans="3:11">
      <c r="C1232" s="11"/>
      <c r="K1232" s="11"/>
    </row>
    <row r="1233" spans="3:11">
      <c r="C1233" s="11"/>
      <c r="K1233" s="11"/>
    </row>
    <row r="1234" spans="3:11">
      <c r="C1234" s="11"/>
      <c r="K1234" s="11"/>
    </row>
    <row r="1235" spans="3:11">
      <c r="C1235" s="11"/>
      <c r="K1235" s="11"/>
    </row>
    <row r="1236" spans="3:11">
      <c r="C1236" s="11"/>
      <c r="K1236" s="11"/>
    </row>
    <row r="1237" spans="3:11">
      <c r="C1237" s="11"/>
      <c r="K1237" s="11"/>
    </row>
    <row r="1238" spans="3:11">
      <c r="C1238" s="11"/>
      <c r="K1238" s="11"/>
    </row>
    <row r="1239" spans="3:11">
      <c r="C1239" s="11"/>
      <c r="K1239" s="11"/>
    </row>
    <row r="1240" spans="3:11">
      <c r="C1240" s="11"/>
      <c r="K1240" s="11"/>
    </row>
    <row r="1241" spans="3:11">
      <c r="C1241" s="11"/>
      <c r="K1241" s="11"/>
    </row>
    <row r="1242" spans="3:11">
      <c r="C1242" s="11"/>
      <c r="K1242" s="11"/>
    </row>
    <row r="1243" spans="3:11">
      <c r="C1243" s="11"/>
      <c r="K1243" s="11"/>
    </row>
    <row r="1244" spans="3:11">
      <c r="C1244" s="11"/>
      <c r="K1244" s="11"/>
    </row>
    <row r="1245" spans="3:11">
      <c r="C1245" s="11"/>
      <c r="K1245" s="11"/>
    </row>
    <row r="1246" spans="3:11">
      <c r="C1246" s="11"/>
      <c r="K1246" s="11"/>
    </row>
    <row r="1247" spans="3:11">
      <c r="C1247" s="11"/>
      <c r="K1247" s="11"/>
    </row>
    <row r="1248" spans="3:11">
      <c r="C1248" s="11"/>
      <c r="K1248" s="11"/>
    </row>
    <row r="1249" spans="3:11">
      <c r="C1249" s="11"/>
      <c r="K1249" s="11"/>
    </row>
    <row r="1250" spans="3:11">
      <c r="C1250" s="11"/>
      <c r="K1250" s="11"/>
    </row>
    <row r="1251" spans="3:11">
      <c r="C1251" s="11"/>
      <c r="K1251" s="11"/>
    </row>
    <row r="1252" spans="3:11">
      <c r="C1252" s="11"/>
      <c r="K1252" s="11"/>
    </row>
    <row r="1253" spans="3:11">
      <c r="C1253" s="11"/>
      <c r="K1253" s="11"/>
    </row>
    <row r="1254" spans="3:11">
      <c r="C1254" s="11"/>
      <c r="K1254" s="11"/>
    </row>
    <row r="1255" spans="3:11">
      <c r="C1255" s="11"/>
      <c r="K1255" s="11"/>
    </row>
    <row r="1256" spans="3:11">
      <c r="C1256" s="11"/>
      <c r="K1256" s="11"/>
    </row>
    <row r="1257" spans="3:11">
      <c r="C1257" s="11"/>
      <c r="K1257" s="11"/>
    </row>
    <row r="1258" spans="3:11">
      <c r="C1258" s="11"/>
      <c r="K1258" s="11"/>
    </row>
    <row r="1259" spans="3:11">
      <c r="C1259" s="11"/>
      <c r="K1259" s="11"/>
    </row>
    <row r="1260" spans="3:11">
      <c r="C1260" s="11"/>
      <c r="K1260" s="11"/>
    </row>
    <row r="1261" spans="3:11">
      <c r="C1261" s="11"/>
      <c r="K1261" s="11"/>
    </row>
    <row r="1262" spans="3:11">
      <c r="C1262" s="11"/>
      <c r="K1262" s="11"/>
    </row>
    <row r="1263" spans="3:11">
      <c r="C1263" s="11"/>
      <c r="K1263" s="11"/>
    </row>
    <row r="1264" spans="3:11">
      <c r="C1264" s="11"/>
      <c r="K1264" s="11"/>
    </row>
    <row r="1265" spans="3:11">
      <c r="C1265" s="11"/>
      <c r="K1265" s="11"/>
    </row>
    <row r="1266" spans="3:11">
      <c r="C1266" s="11"/>
      <c r="K1266" s="11"/>
    </row>
    <row r="1267" spans="3:11">
      <c r="C1267" s="11"/>
      <c r="K1267" s="11"/>
    </row>
    <row r="1268" spans="3:11">
      <c r="C1268" s="11"/>
      <c r="K1268" s="11"/>
    </row>
    <row r="1269" spans="3:11">
      <c r="C1269" s="11"/>
      <c r="K1269" s="11"/>
    </row>
    <row r="1270" spans="3:11">
      <c r="C1270" s="11"/>
      <c r="K1270" s="11"/>
    </row>
    <row r="1271" spans="3:11">
      <c r="C1271" s="11"/>
      <c r="K1271" s="11"/>
    </row>
    <row r="1272" spans="3:11">
      <c r="C1272" s="11"/>
      <c r="K1272" s="11"/>
    </row>
    <row r="1273" spans="3:11">
      <c r="C1273" s="11"/>
      <c r="K1273" s="11"/>
    </row>
    <row r="1274" spans="3:11">
      <c r="C1274" s="11"/>
      <c r="K1274" s="11"/>
    </row>
    <row r="1275" spans="3:11">
      <c r="C1275" s="11"/>
      <c r="K1275" s="11"/>
    </row>
    <row r="1276" spans="3:11">
      <c r="C1276" s="11"/>
      <c r="K1276" s="11"/>
    </row>
    <row r="1277" spans="3:11">
      <c r="C1277" s="11"/>
      <c r="K1277" s="11"/>
    </row>
    <row r="1278" spans="3:11">
      <c r="C1278" s="11"/>
      <c r="K1278" s="11"/>
    </row>
    <row r="1279" spans="3:11">
      <c r="C1279" s="11"/>
      <c r="K1279" s="11"/>
    </row>
    <row r="1280" spans="3:11">
      <c r="C1280" s="11"/>
      <c r="K1280" s="11"/>
    </row>
    <row r="1281" spans="3:11">
      <c r="C1281" s="11"/>
      <c r="K1281" s="11"/>
    </row>
    <row r="1282" spans="3:11">
      <c r="C1282" s="11"/>
      <c r="K1282" s="11"/>
    </row>
    <row r="1283" spans="3:11">
      <c r="C1283" s="11"/>
      <c r="K1283" s="11"/>
    </row>
    <row r="1284" spans="3:11">
      <c r="C1284" s="11"/>
      <c r="K1284" s="11"/>
    </row>
    <row r="1285" spans="3:11">
      <c r="C1285" s="11"/>
      <c r="K1285" s="11"/>
    </row>
    <row r="1286" spans="3:11">
      <c r="C1286" s="11"/>
      <c r="K1286" s="11"/>
    </row>
    <row r="1287" spans="3:11">
      <c r="C1287" s="11"/>
      <c r="K1287" s="11"/>
    </row>
    <row r="1288" spans="3:11">
      <c r="C1288" s="11"/>
      <c r="K1288" s="11"/>
    </row>
    <row r="1289" spans="3:11">
      <c r="C1289" s="11"/>
      <c r="K1289" s="11"/>
    </row>
    <row r="1290" spans="3:11">
      <c r="C1290" s="11"/>
      <c r="K1290" s="11"/>
    </row>
    <row r="1291" spans="3:11">
      <c r="C1291" s="11"/>
      <c r="K1291" s="11"/>
    </row>
    <row r="1292" spans="3:11">
      <c r="C1292" s="11"/>
      <c r="K1292" s="11"/>
    </row>
    <row r="1293" spans="3:11">
      <c r="C1293" s="11"/>
      <c r="K1293" s="11"/>
    </row>
    <row r="1294" spans="3:11">
      <c r="C1294" s="11"/>
      <c r="K1294" s="11"/>
    </row>
    <row r="1295" spans="3:11">
      <c r="C1295" s="11"/>
      <c r="K1295" s="11"/>
    </row>
    <row r="1296" spans="3:11">
      <c r="C1296" s="11"/>
      <c r="K1296" s="11"/>
    </row>
    <row r="1297" spans="3:11">
      <c r="C1297" s="11"/>
      <c r="K1297" s="11"/>
    </row>
    <row r="1298" spans="3:11">
      <c r="C1298" s="11"/>
      <c r="K1298" s="11"/>
    </row>
    <row r="1299" spans="3:11">
      <c r="C1299" s="11"/>
      <c r="K1299" s="11"/>
    </row>
    <row r="1300" spans="3:11">
      <c r="C1300" s="11"/>
      <c r="K1300" s="11"/>
    </row>
    <row r="1301" spans="3:11">
      <c r="C1301" s="11"/>
      <c r="K1301" s="11"/>
    </row>
    <row r="1302" spans="3:11">
      <c r="C1302" s="11"/>
      <c r="K1302" s="11"/>
    </row>
    <row r="1303" spans="3:11">
      <c r="C1303" s="11"/>
      <c r="K1303" s="11"/>
    </row>
    <row r="1304" spans="3:11">
      <c r="C1304" s="11"/>
      <c r="K1304" s="11"/>
    </row>
    <row r="1305" spans="3:11">
      <c r="C1305" s="11"/>
      <c r="K1305" s="11"/>
    </row>
    <row r="1306" spans="3:11">
      <c r="C1306" s="11"/>
      <c r="K1306" s="11"/>
    </row>
    <row r="1307" spans="3:11">
      <c r="C1307" s="11"/>
      <c r="K1307" s="11"/>
    </row>
    <row r="1308" spans="3:11">
      <c r="C1308" s="11"/>
      <c r="K1308" s="11"/>
    </row>
    <row r="1309" spans="3:11">
      <c r="C1309" s="11"/>
      <c r="K1309" s="11"/>
    </row>
    <row r="1310" spans="3:11">
      <c r="C1310" s="11"/>
      <c r="K1310" s="11"/>
    </row>
    <row r="1311" spans="3:11">
      <c r="C1311" s="11"/>
      <c r="K1311" s="11"/>
    </row>
    <row r="1312" spans="3:11">
      <c r="C1312" s="11"/>
      <c r="K1312" s="11"/>
    </row>
    <row r="1313" spans="3:11">
      <c r="C1313" s="11"/>
      <c r="K1313" s="11"/>
    </row>
    <row r="1314" spans="3:11">
      <c r="C1314" s="11"/>
      <c r="K1314" s="11"/>
    </row>
    <row r="1315" spans="3:11">
      <c r="C1315" s="11"/>
      <c r="K1315" s="11"/>
    </row>
    <row r="1316" spans="3:11">
      <c r="C1316" s="11"/>
      <c r="K1316" s="11"/>
    </row>
    <row r="1317" spans="3:11">
      <c r="C1317" s="11"/>
      <c r="K1317" s="11"/>
    </row>
    <row r="1318" spans="3:11">
      <c r="C1318" s="11"/>
      <c r="K1318" s="11"/>
    </row>
    <row r="1319" spans="3:11">
      <c r="C1319" s="11"/>
      <c r="K1319" s="11"/>
    </row>
    <row r="1320" spans="3:11">
      <c r="C1320" s="11"/>
      <c r="K1320" s="11"/>
    </row>
    <row r="1321" spans="3:11">
      <c r="C1321" s="11"/>
      <c r="K1321" s="11"/>
    </row>
    <row r="1322" spans="3:11">
      <c r="C1322" s="11"/>
      <c r="K1322" s="11"/>
    </row>
    <row r="1323" spans="3:11">
      <c r="C1323" s="11"/>
      <c r="K1323" s="11"/>
    </row>
    <row r="1324" spans="3:11">
      <c r="C1324" s="11"/>
      <c r="K1324" s="11"/>
    </row>
    <row r="1325" spans="3:11">
      <c r="C1325" s="11"/>
      <c r="K1325" s="11"/>
    </row>
    <row r="1326" spans="3:11">
      <c r="C1326" s="11"/>
      <c r="K1326" s="11"/>
    </row>
    <row r="1327" spans="3:11">
      <c r="C1327" s="11"/>
      <c r="K1327" s="11"/>
    </row>
    <row r="1328" spans="3:11">
      <c r="C1328" s="11"/>
      <c r="K1328" s="11"/>
    </row>
    <row r="1329" spans="3:11">
      <c r="C1329" s="11"/>
      <c r="K1329" s="11"/>
    </row>
    <row r="1330" spans="3:11">
      <c r="C1330" s="11"/>
      <c r="K1330" s="11"/>
    </row>
    <row r="1331" spans="3:11">
      <c r="C1331" s="11"/>
      <c r="K1331" s="11"/>
    </row>
    <row r="1332" spans="3:11">
      <c r="C1332" s="11"/>
      <c r="K1332" s="11"/>
    </row>
    <row r="1333" spans="3:11">
      <c r="C1333" s="11"/>
      <c r="K1333" s="11"/>
    </row>
    <row r="1334" spans="3:11">
      <c r="C1334" s="11"/>
      <c r="K1334" s="11"/>
    </row>
    <row r="1335" spans="3:11">
      <c r="C1335" s="11"/>
      <c r="K1335" s="11"/>
    </row>
    <row r="1336" spans="3:11">
      <c r="C1336" s="11"/>
      <c r="K1336" s="11"/>
    </row>
    <row r="1337" spans="3:11">
      <c r="C1337" s="11"/>
      <c r="K1337" s="11"/>
    </row>
    <row r="1338" spans="3:11">
      <c r="C1338" s="11"/>
      <c r="K1338" s="11"/>
    </row>
    <row r="1339" spans="3:11">
      <c r="C1339" s="11"/>
      <c r="K1339" s="11"/>
    </row>
    <row r="1340" spans="3:11">
      <c r="C1340" s="11"/>
      <c r="K1340" s="11"/>
    </row>
    <row r="1341" spans="3:11">
      <c r="C1341" s="11"/>
      <c r="K1341" s="11"/>
    </row>
    <row r="1342" spans="3:11">
      <c r="C1342" s="11"/>
      <c r="K1342" s="11"/>
    </row>
    <row r="1343" spans="3:11">
      <c r="C1343" s="11"/>
      <c r="K1343" s="11"/>
    </row>
    <row r="1344" spans="3:11">
      <c r="C1344" s="11"/>
      <c r="K1344" s="11"/>
    </row>
    <row r="1345" spans="3:11">
      <c r="C1345" s="11"/>
      <c r="K1345" s="11"/>
    </row>
    <row r="1346" spans="3:11">
      <c r="C1346" s="11"/>
      <c r="K1346" s="11"/>
    </row>
    <row r="1347" spans="3:11">
      <c r="C1347" s="11"/>
      <c r="K1347" s="11"/>
    </row>
    <row r="1348" spans="3:11">
      <c r="C1348" s="11"/>
      <c r="K1348" s="11"/>
    </row>
    <row r="1349" spans="3:11">
      <c r="C1349" s="11"/>
      <c r="K1349" s="11"/>
    </row>
    <row r="1350" spans="3:11">
      <c r="C1350" s="11"/>
      <c r="K1350" s="11"/>
    </row>
    <row r="1351" spans="3:11">
      <c r="C1351" s="11"/>
      <c r="K1351" s="11"/>
    </row>
    <row r="1352" spans="3:11">
      <c r="C1352" s="11"/>
      <c r="K1352" s="11"/>
    </row>
    <row r="1353" spans="3:11">
      <c r="C1353" s="11"/>
      <c r="K1353" s="11"/>
    </row>
    <row r="1354" spans="3:11">
      <c r="C1354" s="11"/>
      <c r="K1354" s="11"/>
    </row>
    <row r="1355" spans="3:11">
      <c r="C1355" s="11"/>
      <c r="K1355" s="11"/>
    </row>
    <row r="1356" spans="3:11">
      <c r="C1356" s="11"/>
      <c r="K1356" s="11"/>
    </row>
    <row r="1357" spans="3:11">
      <c r="C1357" s="11"/>
      <c r="K1357" s="11"/>
    </row>
    <row r="1358" spans="3:11">
      <c r="C1358" s="11"/>
      <c r="K1358" s="11"/>
    </row>
    <row r="1359" spans="3:11">
      <c r="C1359" s="11"/>
      <c r="K1359" s="11"/>
    </row>
    <row r="1360" spans="3:11">
      <c r="C1360" s="11"/>
      <c r="K1360" s="11"/>
    </row>
    <row r="1361" spans="3:11">
      <c r="C1361" s="11"/>
      <c r="K1361" s="11"/>
    </row>
    <row r="1362" spans="3:11">
      <c r="C1362" s="11"/>
      <c r="K1362" s="11"/>
    </row>
    <row r="1363" spans="3:11">
      <c r="C1363" s="11"/>
      <c r="K1363" s="11"/>
    </row>
    <row r="1364" spans="3:11">
      <c r="C1364" s="11"/>
      <c r="K1364" s="11"/>
    </row>
    <row r="1365" spans="3:11">
      <c r="C1365" s="11"/>
      <c r="K1365" s="11"/>
    </row>
    <row r="1366" spans="3:11">
      <c r="C1366" s="11"/>
      <c r="K1366" s="11"/>
    </row>
    <row r="1367" spans="3:11">
      <c r="C1367" s="11"/>
      <c r="K1367" s="11"/>
    </row>
    <row r="1368" spans="3:11">
      <c r="C1368" s="11"/>
      <c r="K1368" s="11"/>
    </row>
    <row r="1369" spans="3:11">
      <c r="C1369" s="11"/>
      <c r="K1369" s="11"/>
    </row>
    <row r="1370" spans="3:11">
      <c r="C1370" s="11"/>
      <c r="K1370" s="11"/>
    </row>
    <row r="1371" spans="3:11">
      <c r="C1371" s="11"/>
      <c r="K1371" s="11"/>
    </row>
    <row r="1372" spans="3:11">
      <c r="C1372" s="11"/>
      <c r="K1372" s="11"/>
    </row>
    <row r="1373" spans="3:11">
      <c r="C1373" s="11"/>
      <c r="K1373" s="11"/>
    </row>
    <row r="1374" spans="3:11">
      <c r="C1374" s="11"/>
      <c r="K1374" s="11"/>
    </row>
    <row r="1375" spans="3:11">
      <c r="C1375" s="11"/>
      <c r="K1375" s="11"/>
    </row>
    <row r="1376" spans="3:11">
      <c r="C1376" s="11"/>
      <c r="K1376" s="11"/>
    </row>
    <row r="1377" spans="3:11">
      <c r="C1377" s="11"/>
      <c r="K1377" s="11"/>
    </row>
    <row r="1378" spans="3:11">
      <c r="C1378" s="11"/>
      <c r="K1378" s="11"/>
    </row>
    <row r="1379" spans="3:11">
      <c r="C1379" s="11"/>
      <c r="K1379" s="11"/>
    </row>
    <row r="1380" spans="3:11">
      <c r="C1380" s="11"/>
      <c r="K1380" s="11"/>
    </row>
    <row r="1381" spans="3:11">
      <c r="C1381" s="11"/>
      <c r="K1381" s="11"/>
    </row>
    <row r="1382" spans="3:11">
      <c r="C1382" s="11"/>
      <c r="K1382" s="11"/>
    </row>
    <row r="1383" spans="3:11">
      <c r="C1383" s="11"/>
      <c r="K1383" s="11"/>
    </row>
    <row r="1384" spans="3:11">
      <c r="C1384" s="11"/>
      <c r="K1384" s="11"/>
    </row>
    <row r="1385" spans="3:11">
      <c r="C1385" s="11"/>
      <c r="K1385" s="11"/>
    </row>
    <row r="1386" spans="3:11">
      <c r="C1386" s="11"/>
      <c r="K1386" s="11"/>
    </row>
    <row r="1387" spans="3:11">
      <c r="C1387" s="11"/>
      <c r="K1387" s="11"/>
    </row>
    <row r="1388" spans="3:11">
      <c r="C1388" s="11"/>
      <c r="K1388" s="11"/>
    </row>
    <row r="1389" spans="3:11">
      <c r="C1389" s="11"/>
      <c r="K1389" s="11"/>
    </row>
    <row r="1390" spans="3:11">
      <c r="C1390" s="11"/>
      <c r="K1390" s="11"/>
    </row>
    <row r="1391" spans="3:11">
      <c r="C1391" s="11"/>
      <c r="K1391" s="11"/>
    </row>
    <row r="1392" spans="3:11">
      <c r="C1392" s="11"/>
      <c r="K1392" s="11"/>
    </row>
    <row r="1393" spans="3:11">
      <c r="C1393" s="11"/>
      <c r="K1393" s="11"/>
    </row>
    <row r="1394" spans="3:11">
      <c r="C1394" s="11"/>
      <c r="K1394" s="11"/>
    </row>
    <row r="1395" spans="3:11">
      <c r="C1395" s="11"/>
      <c r="K1395" s="11"/>
    </row>
    <row r="1396" spans="3:11">
      <c r="C1396" s="11"/>
      <c r="K1396" s="11"/>
    </row>
    <row r="1397" spans="3:11">
      <c r="C1397" s="11"/>
      <c r="K1397" s="11"/>
    </row>
    <row r="1398" spans="3:11">
      <c r="C1398" s="11"/>
      <c r="K1398" s="11"/>
    </row>
    <row r="1399" spans="3:11">
      <c r="C1399" s="11"/>
      <c r="K1399" s="11"/>
    </row>
    <row r="1400" spans="3:11">
      <c r="C1400" s="11"/>
      <c r="K1400" s="11"/>
    </row>
    <row r="1401" spans="3:11">
      <c r="C1401" s="11"/>
      <c r="K1401" s="11"/>
    </row>
    <row r="1402" spans="3:11">
      <c r="C1402" s="11"/>
      <c r="K1402" s="11"/>
    </row>
    <row r="1403" spans="3:11">
      <c r="C1403" s="11"/>
      <c r="K1403" s="11"/>
    </row>
    <row r="1404" spans="3:11">
      <c r="C1404" s="11"/>
      <c r="K1404" s="11"/>
    </row>
    <row r="1405" spans="3:11">
      <c r="C1405" s="11"/>
      <c r="K1405" s="11"/>
    </row>
    <row r="1406" spans="3:11">
      <c r="C1406" s="11"/>
      <c r="K1406" s="11"/>
    </row>
    <row r="1407" spans="3:11">
      <c r="C1407" s="11"/>
      <c r="K1407" s="11"/>
    </row>
    <row r="1408" spans="3:11">
      <c r="C1408" s="11"/>
      <c r="K1408" s="11"/>
    </row>
    <row r="1409" spans="3:11">
      <c r="C1409" s="11"/>
      <c r="K1409" s="11"/>
    </row>
    <row r="1410" spans="3:11">
      <c r="C1410" s="11"/>
      <c r="K1410" s="11"/>
    </row>
    <row r="1411" spans="3:11">
      <c r="C1411" s="11"/>
      <c r="K1411" s="11"/>
    </row>
    <row r="1412" spans="3:11">
      <c r="C1412" s="11"/>
      <c r="K1412" s="11"/>
    </row>
    <row r="1413" spans="3:11">
      <c r="C1413" s="11"/>
      <c r="K1413" s="11"/>
    </row>
    <row r="1414" spans="3:11">
      <c r="C1414" s="11"/>
      <c r="K1414" s="11"/>
    </row>
    <row r="1415" spans="3:11">
      <c r="C1415" s="11"/>
      <c r="K1415" s="11"/>
    </row>
    <row r="1416" spans="3:11">
      <c r="C1416" s="11"/>
      <c r="K1416" s="11"/>
    </row>
    <row r="1417" spans="3:11">
      <c r="C1417" s="11"/>
      <c r="K1417" s="11"/>
    </row>
    <row r="1418" spans="3:11">
      <c r="C1418" s="11"/>
      <c r="K1418" s="11"/>
    </row>
    <row r="1419" spans="3:11">
      <c r="C1419" s="11"/>
      <c r="K1419" s="11"/>
    </row>
    <row r="1420" spans="3:11">
      <c r="C1420" s="11"/>
      <c r="K1420" s="11"/>
    </row>
    <row r="1421" spans="3:11">
      <c r="C1421" s="11"/>
      <c r="K1421" s="11"/>
    </row>
    <row r="1422" spans="3:11">
      <c r="C1422" s="11"/>
      <c r="K1422" s="11"/>
    </row>
    <row r="1423" spans="3:11">
      <c r="C1423" s="11"/>
      <c r="K1423" s="11"/>
    </row>
    <row r="1424" spans="3:11">
      <c r="C1424" s="11"/>
      <c r="K1424" s="11"/>
    </row>
    <row r="1425" spans="3:11">
      <c r="C1425" s="11"/>
      <c r="K1425" s="11"/>
    </row>
    <row r="1426" spans="3:11">
      <c r="C1426" s="11"/>
      <c r="K1426" s="11"/>
    </row>
    <row r="1427" spans="3:11">
      <c r="C1427" s="11"/>
      <c r="K1427" s="11"/>
    </row>
    <row r="1428" spans="3:11">
      <c r="C1428" s="11"/>
      <c r="K1428" s="11"/>
    </row>
    <row r="1429" spans="3:11">
      <c r="C1429" s="11"/>
      <c r="K1429" s="11"/>
    </row>
    <row r="1430" spans="3:11">
      <c r="C1430" s="11"/>
      <c r="K1430" s="11"/>
    </row>
    <row r="1431" spans="3:11">
      <c r="C1431" s="11"/>
      <c r="K1431" s="11"/>
    </row>
    <row r="1432" spans="3:11">
      <c r="C1432" s="11"/>
      <c r="K1432" s="11"/>
    </row>
    <row r="1433" spans="3:11">
      <c r="C1433" s="11"/>
      <c r="K1433" s="11"/>
    </row>
    <row r="1434" spans="3:11">
      <c r="C1434" s="11"/>
      <c r="K1434" s="11"/>
    </row>
    <row r="1435" spans="3:11">
      <c r="C1435" s="11"/>
      <c r="K1435" s="11"/>
    </row>
    <row r="1436" spans="3:11">
      <c r="C1436" s="11"/>
      <c r="K1436" s="11"/>
    </row>
    <row r="1437" spans="3:11">
      <c r="C1437" s="11"/>
      <c r="K1437" s="11"/>
    </row>
    <row r="1438" spans="3:11">
      <c r="C1438" s="11"/>
      <c r="K1438" s="11"/>
    </row>
    <row r="1439" spans="3:11">
      <c r="C1439" s="11"/>
      <c r="K1439" s="11"/>
    </row>
    <row r="1440" spans="3:11">
      <c r="C1440" s="11"/>
      <c r="K1440" s="11"/>
    </row>
    <row r="1441" spans="3:11">
      <c r="C1441" s="11"/>
      <c r="K1441" s="11"/>
    </row>
    <row r="1442" spans="3:11">
      <c r="C1442" s="11"/>
      <c r="K1442" s="11"/>
    </row>
    <row r="1443" spans="3:11">
      <c r="C1443" s="11"/>
      <c r="K1443" s="11"/>
    </row>
    <row r="1444" spans="3:11">
      <c r="C1444" s="11"/>
      <c r="K1444" s="11"/>
    </row>
    <row r="1445" spans="3:11">
      <c r="C1445" s="11"/>
      <c r="K1445" s="11"/>
    </row>
    <row r="1446" spans="3:11">
      <c r="C1446" s="11"/>
      <c r="K1446" s="11"/>
    </row>
    <row r="1447" spans="3:11">
      <c r="C1447" s="11"/>
      <c r="K1447" s="11"/>
    </row>
    <row r="1448" spans="3:11">
      <c r="C1448" s="11"/>
      <c r="K1448" s="11"/>
    </row>
    <row r="1449" spans="3:11">
      <c r="C1449" s="11"/>
      <c r="K1449" s="11"/>
    </row>
    <row r="1450" spans="3:11">
      <c r="C1450" s="11"/>
      <c r="K1450" s="11"/>
    </row>
    <row r="1451" spans="3:11">
      <c r="C1451" s="11"/>
      <c r="K1451" s="11"/>
    </row>
    <row r="1452" spans="3:11">
      <c r="C1452" s="11"/>
      <c r="K1452" s="11"/>
    </row>
    <row r="1453" spans="3:11">
      <c r="C1453" s="11"/>
      <c r="K1453" s="11"/>
    </row>
    <row r="1454" spans="3:11">
      <c r="C1454" s="11"/>
      <c r="K1454" s="11"/>
    </row>
    <row r="1455" spans="3:11">
      <c r="C1455" s="11"/>
      <c r="K1455" s="11"/>
    </row>
    <row r="1456" spans="3:11">
      <c r="C1456" s="11"/>
      <c r="K1456" s="11"/>
    </row>
    <row r="1457" spans="3:11">
      <c r="C1457" s="11"/>
      <c r="K1457" s="11"/>
    </row>
    <row r="1458" spans="3:11">
      <c r="C1458" s="11"/>
      <c r="K1458" s="11"/>
    </row>
    <row r="1459" spans="3:11">
      <c r="C1459" s="11"/>
      <c r="K1459" s="11"/>
    </row>
    <row r="1460" spans="3:11">
      <c r="C1460" s="11"/>
      <c r="K1460" s="11"/>
    </row>
    <row r="1461" spans="3:11">
      <c r="C1461" s="11"/>
      <c r="K1461" s="11"/>
    </row>
    <row r="1462" spans="3:11">
      <c r="C1462" s="11"/>
      <c r="K1462" s="11"/>
    </row>
    <row r="1463" spans="3:11">
      <c r="C1463" s="11"/>
      <c r="K1463" s="11"/>
    </row>
    <row r="1464" spans="3:11">
      <c r="C1464" s="11"/>
      <c r="K1464" s="11"/>
    </row>
    <row r="1465" spans="3:11">
      <c r="C1465" s="11"/>
      <c r="K1465" s="11"/>
    </row>
    <row r="1466" spans="3:11">
      <c r="C1466" s="11"/>
      <c r="K1466" s="11"/>
    </row>
    <row r="1467" spans="3:11">
      <c r="C1467" s="11"/>
      <c r="K1467" s="11"/>
    </row>
    <row r="1468" spans="3:11">
      <c r="C1468" s="11"/>
      <c r="K1468" s="11"/>
    </row>
    <row r="1469" spans="3:11">
      <c r="C1469" s="11"/>
      <c r="K1469" s="11"/>
    </row>
    <row r="1470" spans="3:11">
      <c r="C1470" s="11"/>
      <c r="K1470" s="11"/>
    </row>
    <row r="1471" spans="3:11">
      <c r="C1471" s="11"/>
      <c r="K1471" s="11"/>
    </row>
    <row r="1472" spans="3:11">
      <c r="C1472" s="11"/>
      <c r="K1472" s="11"/>
    </row>
    <row r="1473" spans="3:11">
      <c r="C1473" s="11"/>
      <c r="K1473" s="11"/>
    </row>
    <row r="1474" spans="3:11">
      <c r="C1474" s="11"/>
      <c r="K1474" s="11"/>
    </row>
    <row r="1475" spans="3:11">
      <c r="C1475" s="11"/>
      <c r="K1475" s="11"/>
    </row>
    <row r="1476" spans="3:11">
      <c r="C1476" s="11"/>
      <c r="K1476" s="11"/>
    </row>
    <row r="1477" spans="3:11">
      <c r="C1477" s="11"/>
      <c r="K1477" s="11"/>
    </row>
    <row r="1478" spans="3:11">
      <c r="C1478" s="11"/>
      <c r="K1478" s="11"/>
    </row>
    <row r="1479" spans="3:11">
      <c r="C1479" s="11"/>
      <c r="K1479" s="11"/>
    </row>
    <row r="1480" spans="3:11">
      <c r="C1480" s="11"/>
      <c r="K1480" s="11"/>
    </row>
    <row r="1481" spans="3:11">
      <c r="C1481" s="11"/>
      <c r="K1481" s="11"/>
    </row>
    <row r="1482" spans="3:11">
      <c r="C1482" s="11"/>
      <c r="K1482" s="11"/>
    </row>
    <row r="1483" spans="3:11">
      <c r="C1483" s="11"/>
      <c r="K1483" s="11"/>
    </row>
    <row r="1484" spans="3:11">
      <c r="C1484" s="11"/>
      <c r="K1484" s="11"/>
    </row>
    <row r="1485" spans="3:11">
      <c r="C1485" s="11"/>
      <c r="K1485" s="11"/>
    </row>
    <row r="1486" spans="3:11">
      <c r="C1486" s="11"/>
      <c r="K1486" s="11"/>
    </row>
    <row r="1487" spans="3:11">
      <c r="C1487" s="11"/>
      <c r="K1487" s="11"/>
    </row>
    <row r="1488" spans="3:11">
      <c r="C1488" s="11"/>
      <c r="K1488" s="11"/>
    </row>
    <row r="1489" spans="3:11">
      <c r="C1489" s="11"/>
      <c r="K1489" s="11"/>
    </row>
    <row r="1490" spans="3:11">
      <c r="C1490" s="11"/>
      <c r="K1490" s="11"/>
    </row>
    <row r="1491" spans="3:11">
      <c r="C1491" s="11"/>
      <c r="K1491" s="11"/>
    </row>
    <row r="1492" spans="3:11">
      <c r="C1492" s="11"/>
      <c r="K1492" s="11"/>
    </row>
    <row r="1493" spans="3:11">
      <c r="C1493" s="11"/>
      <c r="K1493" s="11"/>
    </row>
    <row r="1494" spans="3:11">
      <c r="C1494" s="11"/>
      <c r="K1494" s="11"/>
    </row>
    <row r="1495" spans="3:11">
      <c r="C1495" s="11"/>
      <c r="K1495" s="11"/>
    </row>
    <row r="1496" spans="3:11">
      <c r="C1496" s="11"/>
      <c r="K1496" s="11"/>
    </row>
    <row r="1497" spans="3:11">
      <c r="C1497" s="11"/>
      <c r="K1497" s="11"/>
    </row>
    <row r="1498" spans="3:11">
      <c r="C1498" s="11"/>
      <c r="K1498" s="11"/>
    </row>
    <row r="1499" spans="3:11">
      <c r="C1499" s="11"/>
      <c r="K1499" s="11"/>
    </row>
    <row r="1500" spans="3:11">
      <c r="C1500" s="11"/>
      <c r="K1500" s="11"/>
    </row>
    <row r="1501" spans="3:11">
      <c r="C1501" s="11"/>
      <c r="K1501" s="11"/>
    </row>
    <row r="1502" spans="3:11">
      <c r="C1502" s="11"/>
      <c r="K1502" s="11"/>
    </row>
    <row r="1503" spans="3:11">
      <c r="C1503" s="11"/>
      <c r="K1503" s="11"/>
    </row>
    <row r="1504" spans="3:11">
      <c r="C1504" s="11"/>
      <c r="K1504" s="11"/>
    </row>
    <row r="1505" spans="3:11">
      <c r="C1505" s="11"/>
      <c r="K1505" s="11"/>
    </row>
    <row r="1506" spans="3:11">
      <c r="C1506" s="11"/>
      <c r="K1506" s="11"/>
    </row>
    <row r="1507" spans="3:11">
      <c r="C1507" s="11"/>
      <c r="K1507" s="11"/>
    </row>
    <row r="1508" spans="3:11">
      <c r="C1508" s="11"/>
      <c r="K1508" s="11"/>
    </row>
    <row r="1509" spans="3:11">
      <c r="C1509" s="11"/>
      <c r="K1509" s="11"/>
    </row>
    <row r="1510" spans="3:11">
      <c r="C1510" s="11"/>
      <c r="K1510" s="11"/>
    </row>
    <row r="1511" spans="3:11">
      <c r="C1511" s="11"/>
      <c r="K1511" s="11"/>
    </row>
    <row r="1512" spans="3:11">
      <c r="C1512" s="11"/>
      <c r="K1512" s="11"/>
    </row>
    <row r="1513" spans="3:11">
      <c r="C1513" s="11"/>
      <c r="K1513" s="11"/>
    </row>
    <row r="1514" spans="3:11">
      <c r="C1514" s="11"/>
      <c r="K1514" s="11"/>
    </row>
    <row r="1515" spans="3:11">
      <c r="C1515" s="11"/>
      <c r="K1515" s="11"/>
    </row>
    <row r="1516" spans="3:11">
      <c r="C1516" s="11"/>
      <c r="K1516" s="11"/>
    </row>
    <row r="1517" spans="3:11">
      <c r="C1517" s="11"/>
      <c r="K1517" s="11"/>
    </row>
    <row r="1518" spans="3:11">
      <c r="C1518" s="11"/>
      <c r="K1518" s="11"/>
    </row>
    <row r="1519" spans="3:11">
      <c r="C1519" s="11"/>
      <c r="K1519" s="11"/>
    </row>
    <row r="1520" spans="3:11">
      <c r="C1520" s="11"/>
      <c r="K1520" s="11"/>
    </row>
    <row r="1521" spans="3:11">
      <c r="C1521" s="11"/>
      <c r="K1521" s="11"/>
    </row>
    <row r="1522" spans="3:11">
      <c r="C1522" s="11"/>
      <c r="K1522" s="11"/>
    </row>
    <row r="1523" spans="3:11">
      <c r="C1523" s="11"/>
      <c r="K1523" s="11"/>
    </row>
    <row r="1524" spans="3:11">
      <c r="C1524" s="11"/>
      <c r="K1524" s="11"/>
    </row>
    <row r="1525" spans="3:11">
      <c r="C1525" s="11"/>
      <c r="K1525" s="11"/>
    </row>
    <row r="1526" spans="3:11">
      <c r="C1526" s="11"/>
      <c r="K1526" s="11"/>
    </row>
    <row r="1527" spans="3:11">
      <c r="C1527" s="11"/>
      <c r="K1527" s="11"/>
    </row>
    <row r="1528" spans="3:11">
      <c r="C1528" s="11"/>
      <c r="K1528" s="11"/>
    </row>
    <row r="1529" spans="3:11">
      <c r="C1529" s="11"/>
      <c r="K1529" s="11"/>
    </row>
    <row r="1530" spans="3:11">
      <c r="C1530" s="11"/>
      <c r="K1530" s="11"/>
    </row>
    <row r="1531" spans="3:11">
      <c r="C1531" s="11"/>
      <c r="K1531" s="11"/>
    </row>
    <row r="1532" spans="3:11">
      <c r="C1532" s="11"/>
      <c r="K1532" s="11"/>
    </row>
    <row r="1533" spans="3:11">
      <c r="C1533" s="11"/>
      <c r="K1533" s="11"/>
    </row>
    <row r="1534" spans="3:11">
      <c r="C1534" s="11"/>
      <c r="K1534" s="11"/>
    </row>
    <row r="1535" spans="3:11">
      <c r="C1535" s="11"/>
      <c r="K1535" s="11"/>
    </row>
    <row r="1536" spans="3:11">
      <c r="C1536" s="11"/>
      <c r="K1536" s="11"/>
    </row>
    <row r="1537" spans="3:11">
      <c r="C1537" s="11"/>
      <c r="K1537" s="11"/>
    </row>
    <row r="1538" spans="3:11">
      <c r="C1538" s="11"/>
      <c r="K1538" s="11"/>
    </row>
    <row r="1539" spans="3:11">
      <c r="C1539" s="11"/>
      <c r="K1539" s="11"/>
    </row>
    <row r="1540" spans="3:11">
      <c r="C1540" s="11"/>
      <c r="K1540" s="11"/>
    </row>
    <row r="1541" spans="3:11">
      <c r="C1541" s="11"/>
      <c r="K1541" s="11"/>
    </row>
    <row r="1542" spans="3:11">
      <c r="C1542" s="11"/>
      <c r="K1542" s="11"/>
    </row>
    <row r="1543" spans="3:11">
      <c r="C1543" s="11"/>
      <c r="K1543" s="11"/>
    </row>
    <row r="1544" spans="3:11">
      <c r="C1544" s="11"/>
      <c r="K1544" s="11"/>
    </row>
    <row r="1545" spans="3:11">
      <c r="C1545" s="11"/>
      <c r="K1545" s="11"/>
    </row>
    <row r="1546" spans="3:11">
      <c r="C1546" s="11"/>
      <c r="K1546" s="11"/>
    </row>
    <row r="1547" spans="3:11">
      <c r="C1547" s="11"/>
      <c r="K1547" s="11"/>
    </row>
    <row r="1548" spans="3:11">
      <c r="C1548" s="11"/>
      <c r="K1548" s="11"/>
    </row>
    <row r="1549" spans="3:11">
      <c r="C1549" s="11"/>
      <c r="K1549" s="11"/>
    </row>
    <row r="1550" spans="3:11">
      <c r="C1550" s="11"/>
      <c r="K1550" s="11"/>
    </row>
    <row r="1551" spans="3:11">
      <c r="C1551" s="11"/>
      <c r="K1551" s="11"/>
    </row>
    <row r="1552" spans="3:11">
      <c r="C1552" s="11"/>
      <c r="K1552" s="11"/>
    </row>
    <row r="1553" spans="3:11">
      <c r="C1553" s="11"/>
      <c r="K1553" s="11"/>
    </row>
    <row r="1554" spans="3:11">
      <c r="C1554" s="11"/>
      <c r="K1554" s="11"/>
    </row>
    <row r="1555" spans="3:11">
      <c r="C1555" s="11"/>
      <c r="K1555" s="11"/>
    </row>
    <row r="1556" spans="3:11">
      <c r="C1556" s="11"/>
      <c r="K1556" s="11"/>
    </row>
    <row r="1557" spans="3:11">
      <c r="C1557" s="11"/>
      <c r="K1557" s="11"/>
    </row>
    <row r="1558" spans="3:11">
      <c r="C1558" s="11"/>
      <c r="K1558" s="11"/>
    </row>
    <row r="1559" spans="3:11">
      <c r="C1559" s="11"/>
      <c r="K1559" s="11"/>
    </row>
    <row r="1560" spans="3:11">
      <c r="C1560" s="11"/>
      <c r="K1560" s="11"/>
    </row>
    <row r="1561" spans="3:11">
      <c r="C1561" s="11"/>
      <c r="K1561" s="11"/>
    </row>
    <row r="1562" spans="3:11">
      <c r="C1562" s="11"/>
      <c r="K1562" s="11"/>
    </row>
    <row r="1563" spans="3:11">
      <c r="C1563" s="11"/>
      <c r="K1563" s="11"/>
    </row>
    <row r="1564" spans="3:11">
      <c r="C1564" s="11"/>
      <c r="K1564" s="11"/>
    </row>
    <row r="1565" spans="3:11">
      <c r="C1565" s="11"/>
      <c r="K1565" s="11"/>
    </row>
    <row r="1566" spans="3:11">
      <c r="C1566" s="11"/>
      <c r="K1566" s="11"/>
    </row>
    <row r="1567" spans="3:11">
      <c r="C1567" s="11"/>
      <c r="K1567" s="11"/>
    </row>
    <row r="1568" spans="3:11">
      <c r="C1568" s="11"/>
      <c r="K1568" s="11"/>
    </row>
    <row r="1569" spans="3:11">
      <c r="C1569" s="11"/>
      <c r="K1569" s="11"/>
    </row>
    <row r="1570" spans="3:11">
      <c r="C1570" s="11"/>
      <c r="K1570" s="11"/>
    </row>
    <row r="1571" spans="3:11">
      <c r="C1571" s="11"/>
      <c r="K1571" s="11"/>
    </row>
    <row r="1572" spans="3:11">
      <c r="C1572" s="11"/>
      <c r="K1572" s="11"/>
    </row>
    <row r="1573" spans="3:11">
      <c r="C1573" s="11"/>
      <c r="K1573" s="11"/>
    </row>
    <row r="1574" spans="3:11">
      <c r="C1574" s="11"/>
      <c r="K1574" s="11"/>
    </row>
    <row r="1575" spans="3:11">
      <c r="C1575" s="11"/>
      <c r="K1575" s="11"/>
    </row>
    <row r="1576" spans="3:11">
      <c r="C1576" s="11"/>
      <c r="K1576" s="11"/>
    </row>
    <row r="1577" spans="3:11">
      <c r="C1577" s="11"/>
      <c r="K1577" s="11"/>
    </row>
    <row r="1578" spans="3:11">
      <c r="C1578" s="11"/>
      <c r="K1578" s="11"/>
    </row>
    <row r="1579" spans="3:11">
      <c r="C1579" s="11"/>
      <c r="K1579" s="11"/>
    </row>
    <row r="1580" spans="3:11">
      <c r="C1580" s="11"/>
      <c r="K1580" s="11"/>
    </row>
    <row r="1581" spans="3:11">
      <c r="C1581" s="11"/>
      <c r="K1581" s="11"/>
    </row>
    <row r="1582" spans="3:11">
      <c r="C1582" s="11"/>
      <c r="K1582" s="11"/>
    </row>
    <row r="1583" spans="3:11">
      <c r="C1583" s="11"/>
      <c r="K1583" s="11"/>
    </row>
    <row r="1584" spans="3:11">
      <c r="C1584" s="11"/>
      <c r="K1584" s="11"/>
    </row>
    <row r="1585" spans="3:11">
      <c r="C1585" s="11"/>
      <c r="K1585" s="11"/>
    </row>
    <row r="1586" spans="3:11">
      <c r="C1586" s="11"/>
      <c r="K1586" s="11"/>
    </row>
    <row r="1587" spans="3:11">
      <c r="C1587" s="11"/>
      <c r="K1587" s="11"/>
    </row>
    <row r="1588" spans="3:11">
      <c r="C1588" s="11"/>
      <c r="K1588" s="11"/>
    </row>
    <row r="1589" spans="3:11">
      <c r="C1589" s="11"/>
      <c r="K1589" s="11"/>
    </row>
    <row r="1590" spans="3:11">
      <c r="C1590" s="11"/>
      <c r="K1590" s="11"/>
    </row>
    <row r="1591" spans="3:11">
      <c r="C1591" s="11"/>
      <c r="K1591" s="11"/>
    </row>
    <row r="1592" spans="3:11">
      <c r="C1592" s="11"/>
      <c r="K1592" s="11"/>
    </row>
    <row r="1593" spans="3:11">
      <c r="C1593" s="11"/>
      <c r="K1593" s="11"/>
    </row>
    <row r="1594" spans="3:11">
      <c r="C1594" s="11"/>
      <c r="K1594" s="11"/>
    </row>
    <row r="1595" spans="3:11">
      <c r="C1595" s="11"/>
      <c r="K1595" s="11"/>
    </row>
    <row r="1596" spans="3:11">
      <c r="C1596" s="11"/>
      <c r="K1596" s="11"/>
    </row>
    <row r="1597" spans="3:11">
      <c r="C1597" s="11"/>
      <c r="K1597" s="11"/>
    </row>
    <row r="1598" spans="3:11">
      <c r="C1598" s="11"/>
      <c r="K1598" s="11"/>
    </row>
    <row r="1599" spans="3:11">
      <c r="C1599" s="11"/>
      <c r="K1599" s="11"/>
    </row>
    <row r="1600" spans="3:11">
      <c r="C1600" s="11"/>
      <c r="K1600" s="11"/>
    </row>
    <row r="1601" spans="3:11">
      <c r="C1601" s="11"/>
      <c r="K1601" s="11"/>
    </row>
    <row r="1602" spans="3:11">
      <c r="C1602" s="11"/>
      <c r="K1602" s="11"/>
    </row>
    <row r="1603" spans="3:11">
      <c r="C1603" s="11"/>
      <c r="K1603" s="11"/>
    </row>
    <row r="1604" spans="3:11">
      <c r="C1604" s="11"/>
      <c r="K1604" s="11"/>
    </row>
    <row r="1605" spans="3:11">
      <c r="C1605" s="11"/>
      <c r="K1605" s="11"/>
    </row>
    <row r="1606" spans="3:11">
      <c r="C1606" s="11"/>
      <c r="K1606" s="11"/>
    </row>
    <row r="1607" spans="3:11">
      <c r="C1607" s="11"/>
      <c r="K1607" s="11"/>
    </row>
    <row r="1608" spans="3:11">
      <c r="C1608" s="11"/>
      <c r="K1608" s="11"/>
    </row>
    <row r="1609" spans="3:11">
      <c r="C1609" s="11"/>
      <c r="K1609" s="11"/>
    </row>
    <row r="1610" spans="3:11">
      <c r="C1610" s="11"/>
      <c r="K1610" s="11"/>
    </row>
    <row r="1611" spans="3:11">
      <c r="C1611" s="11"/>
      <c r="K1611" s="11"/>
    </row>
    <row r="1612" spans="3:11">
      <c r="C1612" s="11"/>
      <c r="K1612" s="11"/>
    </row>
    <row r="1613" spans="3:11">
      <c r="C1613" s="11"/>
      <c r="K1613" s="11"/>
    </row>
    <row r="1614" spans="3:11">
      <c r="C1614" s="11"/>
      <c r="K1614" s="11"/>
    </row>
    <row r="1615" spans="3:11">
      <c r="C1615" s="11"/>
      <c r="K1615" s="11"/>
    </row>
    <row r="1616" spans="3:11">
      <c r="C1616" s="11"/>
      <c r="K1616" s="11"/>
    </row>
    <row r="1617" spans="3:11">
      <c r="C1617" s="11"/>
      <c r="K1617" s="11"/>
    </row>
    <row r="1618" spans="3:11">
      <c r="C1618" s="11"/>
      <c r="K1618" s="11"/>
    </row>
    <row r="1619" spans="3:11">
      <c r="C1619" s="11"/>
      <c r="K1619" s="11"/>
    </row>
    <row r="1620" spans="3:11">
      <c r="C1620" s="11"/>
      <c r="K1620" s="11"/>
    </row>
    <row r="1621" spans="3:11">
      <c r="C1621" s="11"/>
      <c r="K1621" s="11"/>
    </row>
    <row r="1622" spans="3:11">
      <c r="C1622" s="11"/>
      <c r="K1622" s="11"/>
    </row>
    <row r="1623" spans="3:11">
      <c r="C1623" s="11"/>
      <c r="K1623" s="11"/>
    </row>
    <row r="1624" spans="3:11">
      <c r="C1624" s="11"/>
      <c r="K1624" s="11"/>
    </row>
    <row r="1625" spans="3:11">
      <c r="C1625" s="11"/>
      <c r="K1625" s="11"/>
    </row>
    <row r="1626" spans="3:11">
      <c r="C1626" s="11"/>
      <c r="K1626" s="11"/>
    </row>
    <row r="1627" spans="3:11">
      <c r="C1627" s="11"/>
      <c r="K1627" s="11"/>
    </row>
    <row r="1628" spans="3:11">
      <c r="C1628" s="11"/>
      <c r="K1628" s="11"/>
    </row>
    <row r="1629" spans="3:11">
      <c r="C1629" s="11"/>
      <c r="K1629" s="11"/>
    </row>
    <row r="1630" spans="3:11">
      <c r="C1630" s="11"/>
      <c r="K1630" s="11"/>
    </row>
    <row r="1631" spans="3:11">
      <c r="C1631" s="11"/>
      <c r="K1631" s="11"/>
    </row>
    <row r="1632" spans="3:11">
      <c r="C1632" s="11"/>
      <c r="K1632" s="11"/>
    </row>
    <row r="1633" spans="3:11">
      <c r="C1633" s="11"/>
      <c r="K1633" s="11"/>
    </row>
    <row r="1634" spans="3:11">
      <c r="C1634" s="11"/>
      <c r="K1634" s="11"/>
    </row>
    <row r="1635" spans="3:11">
      <c r="C1635" s="11"/>
      <c r="K1635" s="11"/>
    </row>
    <row r="1636" spans="3:11">
      <c r="C1636" s="11"/>
      <c r="K1636" s="11"/>
    </row>
    <row r="1637" spans="3:11">
      <c r="C1637" s="11"/>
      <c r="K1637" s="11"/>
    </row>
    <row r="1638" spans="3:11">
      <c r="C1638" s="11"/>
      <c r="K1638" s="11"/>
    </row>
    <row r="1639" spans="3:11">
      <c r="C1639" s="11"/>
      <c r="K1639" s="11"/>
    </row>
    <row r="1640" spans="3:11">
      <c r="C1640" s="11"/>
      <c r="K1640" s="11"/>
    </row>
    <row r="1641" spans="3:11">
      <c r="C1641" s="11"/>
      <c r="K1641" s="11"/>
    </row>
    <row r="1642" spans="3:11">
      <c r="C1642" s="11"/>
      <c r="K1642" s="11"/>
    </row>
    <row r="1643" spans="3:11">
      <c r="C1643" s="11"/>
      <c r="K1643" s="11"/>
    </row>
    <row r="1644" spans="3:11">
      <c r="C1644" s="11"/>
      <c r="K1644" s="11"/>
    </row>
    <row r="1645" spans="3:11">
      <c r="C1645" s="11"/>
      <c r="K1645" s="11"/>
    </row>
    <row r="1646" spans="3:11">
      <c r="C1646" s="11"/>
      <c r="K1646" s="11"/>
    </row>
    <row r="1647" spans="3:11">
      <c r="C1647" s="11"/>
      <c r="K1647" s="11"/>
    </row>
    <row r="1648" spans="3:11">
      <c r="C1648" s="11"/>
      <c r="K1648" s="11"/>
    </row>
    <row r="1649" spans="3:11">
      <c r="C1649" s="11"/>
      <c r="K1649" s="11"/>
    </row>
    <row r="1650" spans="3:11">
      <c r="C1650" s="11"/>
      <c r="K1650" s="11"/>
    </row>
    <row r="1651" spans="3:11">
      <c r="C1651" s="11"/>
      <c r="K1651" s="11"/>
    </row>
    <row r="1652" spans="3:11">
      <c r="C1652" s="11"/>
      <c r="K1652" s="11"/>
    </row>
    <row r="1653" spans="3:11">
      <c r="C1653" s="11"/>
      <c r="K1653" s="11"/>
    </row>
    <row r="1654" spans="3:11">
      <c r="C1654" s="11"/>
      <c r="K1654" s="11"/>
    </row>
    <row r="1655" spans="3:11">
      <c r="C1655" s="11"/>
      <c r="K1655" s="11"/>
    </row>
    <row r="1656" spans="3:11">
      <c r="C1656" s="11"/>
      <c r="K1656" s="11"/>
    </row>
    <row r="1657" spans="3:11">
      <c r="C1657" s="11"/>
      <c r="K1657" s="11"/>
    </row>
    <row r="1658" spans="3:11">
      <c r="C1658" s="11"/>
      <c r="K1658" s="11"/>
    </row>
    <row r="1659" spans="3:11">
      <c r="C1659" s="11"/>
      <c r="K1659" s="11"/>
    </row>
    <row r="1660" spans="3:11">
      <c r="C1660" s="11"/>
      <c r="K1660" s="11"/>
    </row>
    <row r="1661" spans="3:11">
      <c r="C1661" s="11"/>
      <c r="K1661" s="11"/>
    </row>
    <row r="1662" spans="3:11">
      <c r="C1662" s="11"/>
      <c r="K1662" s="11"/>
    </row>
    <row r="1663" spans="3:11">
      <c r="C1663" s="11"/>
      <c r="K1663" s="11"/>
    </row>
    <row r="1664" spans="3:11">
      <c r="C1664" s="11"/>
      <c r="K1664" s="11"/>
    </row>
    <row r="1665" spans="3:11">
      <c r="C1665" s="11"/>
      <c r="K1665" s="11"/>
    </row>
    <row r="1666" spans="3:11">
      <c r="C1666" s="11"/>
      <c r="K1666" s="11"/>
    </row>
    <row r="1667" spans="3:11">
      <c r="C1667" s="11"/>
      <c r="K1667" s="11"/>
    </row>
    <row r="1668" spans="3:11">
      <c r="C1668" s="11"/>
      <c r="K1668" s="11"/>
    </row>
    <row r="1669" spans="3:11">
      <c r="C1669" s="11"/>
      <c r="K1669" s="11"/>
    </row>
    <row r="1670" spans="3:11">
      <c r="C1670" s="11"/>
      <c r="K1670" s="11"/>
    </row>
    <row r="1671" spans="3:11">
      <c r="C1671" s="11"/>
      <c r="K1671" s="11"/>
    </row>
    <row r="1672" spans="3:11">
      <c r="C1672" s="11"/>
      <c r="K1672" s="11"/>
    </row>
    <row r="1673" spans="3:11">
      <c r="C1673" s="11"/>
      <c r="K1673" s="11"/>
    </row>
    <row r="1674" spans="3:11">
      <c r="C1674" s="11"/>
      <c r="K1674" s="11"/>
    </row>
    <row r="1675" spans="3:11">
      <c r="C1675" s="11"/>
      <c r="K1675" s="11"/>
    </row>
    <row r="1676" spans="3:11">
      <c r="C1676" s="11"/>
      <c r="K1676" s="11"/>
    </row>
    <row r="1677" spans="3:11">
      <c r="C1677" s="11"/>
      <c r="K1677" s="11"/>
    </row>
    <row r="1678" spans="3:11">
      <c r="C1678" s="11"/>
      <c r="K1678" s="11"/>
    </row>
    <row r="1679" spans="3:11">
      <c r="C1679" s="11"/>
      <c r="K1679" s="11"/>
    </row>
    <row r="1680" spans="3:11">
      <c r="C1680" s="11"/>
      <c r="K1680" s="11"/>
    </row>
    <row r="1681" spans="3:11">
      <c r="C1681" s="11"/>
      <c r="K1681" s="11"/>
    </row>
    <row r="1682" spans="3:11">
      <c r="C1682" s="11"/>
      <c r="K1682" s="11"/>
    </row>
    <row r="1683" spans="3:11">
      <c r="C1683" s="11"/>
      <c r="K1683" s="11"/>
    </row>
    <row r="1684" spans="3:11">
      <c r="C1684" s="11"/>
      <c r="K1684" s="11"/>
    </row>
    <row r="1685" spans="3:11">
      <c r="C1685" s="11"/>
      <c r="K1685" s="11"/>
    </row>
    <row r="1686" spans="3:11">
      <c r="C1686" s="11"/>
      <c r="K1686" s="11"/>
    </row>
    <row r="1687" spans="3:11">
      <c r="C1687" s="11"/>
      <c r="K1687" s="11"/>
    </row>
    <row r="1688" spans="3:11">
      <c r="C1688" s="11"/>
      <c r="K1688" s="11"/>
    </row>
    <row r="1689" spans="3:11">
      <c r="C1689" s="11"/>
      <c r="K1689" s="11"/>
    </row>
    <row r="1690" spans="3:11">
      <c r="C1690" s="11"/>
      <c r="K1690" s="11"/>
    </row>
    <row r="1691" spans="3:11">
      <c r="C1691" s="11"/>
      <c r="K1691" s="11"/>
    </row>
    <row r="1692" spans="3:11">
      <c r="C1692" s="11"/>
      <c r="K1692" s="11"/>
    </row>
    <row r="1693" spans="3:11">
      <c r="C1693" s="11"/>
      <c r="K1693" s="11"/>
    </row>
    <row r="1694" spans="3:11">
      <c r="C1694" s="11"/>
      <c r="K1694" s="11"/>
    </row>
    <row r="1695" spans="3:11">
      <c r="C1695" s="11"/>
      <c r="K1695" s="11"/>
    </row>
    <row r="1696" spans="3:11">
      <c r="C1696" s="11"/>
      <c r="K1696" s="11"/>
    </row>
    <row r="1697" spans="3:11">
      <c r="C1697" s="11"/>
      <c r="K1697" s="11"/>
    </row>
    <row r="1698" spans="3:11">
      <c r="C1698" s="11"/>
      <c r="K1698" s="11"/>
    </row>
    <row r="1699" spans="3:11">
      <c r="C1699" s="11"/>
      <c r="K1699" s="11"/>
    </row>
    <row r="1700" spans="3:11">
      <c r="C1700" s="11"/>
      <c r="K1700" s="11"/>
    </row>
    <row r="1701" spans="3:11">
      <c r="C1701" s="11"/>
      <c r="K1701" s="11"/>
    </row>
    <row r="1702" spans="3:11">
      <c r="C1702" s="11"/>
      <c r="K1702" s="11"/>
    </row>
    <row r="1703" spans="3:11">
      <c r="C1703" s="11"/>
      <c r="K1703" s="11"/>
    </row>
    <row r="1704" spans="3:11">
      <c r="C1704" s="11"/>
      <c r="K1704" s="11"/>
    </row>
    <row r="1705" spans="3:11">
      <c r="C1705" s="11"/>
      <c r="K1705" s="11"/>
    </row>
    <row r="1706" spans="3:11">
      <c r="C1706" s="11"/>
      <c r="K1706" s="11"/>
    </row>
    <row r="1707" spans="3:11">
      <c r="C1707" s="11"/>
      <c r="K1707" s="11"/>
    </row>
    <row r="1708" spans="3:11">
      <c r="C1708" s="11"/>
      <c r="K1708" s="11"/>
    </row>
    <row r="1709" spans="3:11">
      <c r="C1709" s="11"/>
      <c r="K1709" s="11"/>
    </row>
    <row r="1710" spans="3:11">
      <c r="C1710" s="11"/>
      <c r="K1710" s="11"/>
    </row>
    <row r="1711" spans="3:11">
      <c r="C1711" s="11"/>
      <c r="K1711" s="11"/>
    </row>
    <row r="1712" spans="3:11">
      <c r="C1712" s="11"/>
      <c r="K1712" s="11"/>
    </row>
    <row r="1713" spans="3:11">
      <c r="C1713" s="11"/>
      <c r="K1713" s="11"/>
    </row>
    <row r="1714" spans="3:11">
      <c r="C1714" s="11"/>
      <c r="K1714" s="11"/>
    </row>
    <row r="1715" spans="3:11">
      <c r="C1715" s="11"/>
      <c r="K1715" s="11"/>
    </row>
    <row r="1716" spans="3:11">
      <c r="C1716" s="11"/>
      <c r="K1716" s="11"/>
    </row>
    <row r="1717" spans="3:11">
      <c r="C1717" s="11"/>
      <c r="K1717" s="11"/>
    </row>
    <row r="1718" spans="3:11">
      <c r="C1718" s="11"/>
      <c r="K1718" s="11"/>
    </row>
    <row r="1719" spans="3:11">
      <c r="C1719" s="11"/>
      <c r="K1719" s="11"/>
    </row>
    <row r="1720" spans="3:11">
      <c r="C1720" s="11"/>
      <c r="K1720" s="11"/>
    </row>
    <row r="1721" spans="3:11">
      <c r="C1721" s="11"/>
      <c r="K1721" s="11"/>
    </row>
    <row r="1722" spans="3:11">
      <c r="C1722" s="11"/>
      <c r="K1722" s="11"/>
    </row>
    <row r="1723" spans="3:11">
      <c r="C1723" s="11"/>
      <c r="K1723" s="11"/>
    </row>
    <row r="1724" spans="3:11">
      <c r="C1724" s="11"/>
      <c r="K1724" s="11"/>
    </row>
    <row r="1725" spans="3:11">
      <c r="C1725" s="11"/>
      <c r="K1725" s="11"/>
    </row>
    <row r="1726" spans="3:11">
      <c r="C1726" s="11"/>
      <c r="K1726" s="11"/>
    </row>
    <row r="1727" spans="3:11">
      <c r="C1727" s="11"/>
      <c r="K1727" s="11"/>
    </row>
    <row r="1728" spans="3:11">
      <c r="C1728" s="11"/>
      <c r="K1728" s="11"/>
    </row>
    <row r="1729" spans="3:11">
      <c r="C1729" s="11"/>
      <c r="K1729" s="11"/>
    </row>
    <row r="1730" spans="3:11">
      <c r="C1730" s="11"/>
      <c r="K1730" s="11"/>
    </row>
    <row r="1731" spans="3:11">
      <c r="C1731" s="11"/>
      <c r="K1731" s="11"/>
    </row>
    <row r="1732" spans="3:11">
      <c r="C1732" s="11"/>
      <c r="K1732" s="11"/>
    </row>
    <row r="1733" spans="3:11">
      <c r="C1733" s="11"/>
      <c r="K1733" s="11"/>
    </row>
    <row r="1734" spans="3:11">
      <c r="C1734" s="11"/>
      <c r="K1734" s="11"/>
    </row>
    <row r="1735" spans="3:11">
      <c r="C1735" s="11"/>
      <c r="K1735" s="11"/>
    </row>
    <row r="1736" spans="3:11">
      <c r="C1736" s="11"/>
      <c r="K1736" s="11"/>
    </row>
    <row r="1737" spans="3:11">
      <c r="C1737" s="11"/>
      <c r="K1737" s="11"/>
    </row>
    <row r="1738" spans="3:11">
      <c r="C1738" s="11"/>
      <c r="K1738" s="11"/>
    </row>
    <row r="1739" spans="3:11">
      <c r="C1739" s="11"/>
      <c r="K1739" s="11"/>
    </row>
    <row r="1740" spans="3:11">
      <c r="C1740" s="11"/>
      <c r="K1740" s="11"/>
    </row>
    <row r="1741" spans="3:11">
      <c r="C1741" s="11"/>
      <c r="K1741" s="11"/>
    </row>
    <row r="1742" spans="3:11">
      <c r="C1742" s="11"/>
      <c r="K1742" s="11"/>
    </row>
    <row r="1743" spans="3:11">
      <c r="C1743" s="11"/>
      <c r="K1743" s="11"/>
    </row>
    <row r="1744" spans="3:11">
      <c r="C1744" s="11"/>
      <c r="K1744" s="11"/>
    </row>
    <row r="1745" spans="3:11">
      <c r="C1745" s="11"/>
      <c r="K1745" s="11"/>
    </row>
    <row r="1746" spans="3:11">
      <c r="C1746" s="11"/>
      <c r="K1746" s="11"/>
    </row>
    <row r="1747" spans="3:11">
      <c r="C1747" s="11"/>
      <c r="K1747" s="11"/>
    </row>
    <row r="1748" spans="3:11">
      <c r="C1748" s="11"/>
      <c r="K1748" s="11"/>
    </row>
    <row r="1749" spans="3:11">
      <c r="C1749" s="11"/>
      <c r="K1749" s="11"/>
    </row>
    <row r="1750" spans="3:11">
      <c r="C1750" s="11"/>
      <c r="K1750" s="11"/>
    </row>
    <row r="1751" spans="3:11">
      <c r="C1751" s="11"/>
      <c r="K1751" s="11"/>
    </row>
    <row r="1752" spans="3:11">
      <c r="C1752" s="11"/>
      <c r="K1752" s="11"/>
    </row>
    <row r="1753" spans="3:11">
      <c r="C1753" s="11"/>
      <c r="K1753" s="11"/>
    </row>
    <row r="1754" spans="3:11">
      <c r="C1754" s="11"/>
      <c r="K1754" s="11"/>
    </row>
    <row r="1755" spans="3:11">
      <c r="C1755" s="11"/>
      <c r="K1755" s="11"/>
    </row>
    <row r="1756" spans="3:11">
      <c r="C1756" s="11"/>
      <c r="K1756" s="11"/>
    </row>
    <row r="1757" spans="3:11">
      <c r="C1757" s="11"/>
      <c r="K1757" s="11"/>
    </row>
    <row r="1758" spans="3:11">
      <c r="C1758" s="11"/>
      <c r="K1758" s="11"/>
    </row>
    <row r="1759" spans="3:11">
      <c r="C1759" s="11"/>
      <c r="K1759" s="11"/>
    </row>
    <row r="1760" spans="3:11">
      <c r="C1760" s="11"/>
      <c r="K1760" s="11"/>
    </row>
    <row r="1761" spans="3:11">
      <c r="C1761" s="11"/>
      <c r="K1761" s="11"/>
    </row>
    <row r="1762" spans="3:11">
      <c r="C1762" s="11"/>
      <c r="K1762" s="11"/>
    </row>
    <row r="1763" spans="3:11">
      <c r="C1763" s="11"/>
      <c r="K1763" s="11"/>
    </row>
    <row r="1764" spans="3:11">
      <c r="C1764" s="11"/>
      <c r="K1764" s="11"/>
    </row>
    <row r="1765" spans="3:11">
      <c r="C1765" s="11"/>
      <c r="K1765" s="11"/>
    </row>
    <row r="1766" spans="3:11">
      <c r="C1766" s="11"/>
      <c r="K1766" s="11"/>
    </row>
    <row r="1767" spans="3:11">
      <c r="C1767" s="11"/>
      <c r="K1767" s="11"/>
    </row>
    <row r="1768" spans="3:11">
      <c r="C1768" s="11"/>
      <c r="K1768" s="11"/>
    </row>
    <row r="1769" spans="3:11">
      <c r="C1769" s="11"/>
      <c r="K1769" s="11"/>
    </row>
    <row r="1770" spans="3:11">
      <c r="C1770" s="11"/>
      <c r="K1770" s="11"/>
    </row>
    <row r="1771" spans="3:11">
      <c r="C1771" s="11"/>
      <c r="K1771" s="11"/>
    </row>
    <row r="1772" spans="3:11">
      <c r="C1772" s="11"/>
      <c r="K1772" s="11"/>
    </row>
    <row r="1773" spans="3:11">
      <c r="C1773" s="11"/>
      <c r="K1773" s="11"/>
    </row>
    <row r="1774" spans="3:11">
      <c r="C1774" s="11"/>
      <c r="K1774" s="11"/>
    </row>
    <row r="1775" spans="3:11">
      <c r="C1775" s="11"/>
      <c r="K1775" s="11"/>
    </row>
    <row r="1776" spans="3:11">
      <c r="C1776" s="11"/>
      <c r="K1776" s="11"/>
    </row>
    <row r="1777" spans="3:11">
      <c r="C1777" s="11"/>
      <c r="K1777" s="11"/>
    </row>
    <row r="1778" spans="3:11">
      <c r="C1778" s="11"/>
      <c r="K1778" s="11"/>
    </row>
    <row r="1779" spans="3:11">
      <c r="C1779" s="11"/>
      <c r="K1779" s="11"/>
    </row>
    <row r="1780" spans="3:11">
      <c r="C1780" s="11"/>
      <c r="K1780" s="11"/>
    </row>
    <row r="1781" spans="3:11">
      <c r="C1781" s="11"/>
      <c r="K1781" s="11"/>
    </row>
    <row r="1782" spans="3:11">
      <c r="C1782" s="11"/>
      <c r="K1782" s="11"/>
    </row>
    <row r="1783" spans="3:11">
      <c r="C1783" s="11"/>
      <c r="K1783" s="11"/>
    </row>
    <row r="1784" spans="3:11">
      <c r="C1784" s="11"/>
      <c r="K1784" s="11"/>
    </row>
    <row r="1785" spans="3:11">
      <c r="C1785" s="11"/>
      <c r="K1785" s="11"/>
    </row>
    <row r="1786" spans="3:11">
      <c r="C1786" s="11"/>
      <c r="K1786" s="11"/>
    </row>
    <row r="1787" spans="3:11">
      <c r="C1787" s="11"/>
      <c r="K1787" s="11"/>
    </row>
    <row r="1788" spans="3:11">
      <c r="C1788" s="11"/>
      <c r="K1788" s="11"/>
    </row>
    <row r="1789" spans="3:11">
      <c r="C1789" s="11"/>
      <c r="K1789" s="11"/>
    </row>
    <row r="1790" spans="3:11">
      <c r="C1790" s="11"/>
      <c r="K1790" s="11"/>
    </row>
    <row r="1791" spans="3:11">
      <c r="C1791" s="11"/>
      <c r="K1791" s="11"/>
    </row>
    <row r="1792" spans="3:11">
      <c r="C1792" s="11"/>
      <c r="K1792" s="11"/>
    </row>
    <row r="1793" spans="3:11">
      <c r="C1793" s="11"/>
      <c r="K1793" s="11"/>
    </row>
    <row r="1794" spans="3:11">
      <c r="C1794" s="11"/>
      <c r="K1794" s="11"/>
    </row>
    <row r="1795" spans="3:11">
      <c r="C1795" s="11"/>
      <c r="K1795" s="11"/>
    </row>
    <row r="1796" spans="3:11">
      <c r="C1796" s="11"/>
      <c r="K1796" s="11"/>
    </row>
    <row r="1797" spans="3:11">
      <c r="C1797" s="11"/>
      <c r="K1797" s="11"/>
    </row>
    <row r="1798" spans="3:11">
      <c r="C1798" s="11"/>
      <c r="K1798" s="11"/>
    </row>
    <row r="1799" spans="3:11">
      <c r="C1799" s="11"/>
      <c r="K1799" s="11"/>
    </row>
    <row r="1800" spans="3:11">
      <c r="C1800" s="11"/>
      <c r="K1800" s="11"/>
    </row>
    <row r="1801" spans="3:11">
      <c r="C1801" s="11"/>
      <c r="K1801" s="11"/>
    </row>
    <row r="1802" spans="3:11">
      <c r="C1802" s="11"/>
      <c r="K1802" s="11"/>
    </row>
    <row r="1803" spans="3:11">
      <c r="C1803" s="11"/>
      <c r="K1803" s="11"/>
    </row>
    <row r="1804" spans="3:11">
      <c r="C1804" s="11"/>
      <c r="K1804" s="11"/>
    </row>
    <row r="1805" spans="3:11">
      <c r="C1805" s="11"/>
      <c r="K1805" s="11"/>
    </row>
    <row r="1806" spans="3:11">
      <c r="C1806" s="11"/>
      <c r="K1806" s="11"/>
    </row>
    <row r="1807" spans="3:11">
      <c r="C1807" s="11"/>
      <c r="K1807" s="11"/>
    </row>
    <row r="1808" spans="3:11">
      <c r="C1808" s="11"/>
      <c r="K1808" s="11"/>
    </row>
    <row r="1809" spans="3:11">
      <c r="C1809" s="11"/>
      <c r="K1809" s="11"/>
    </row>
    <row r="1810" spans="3:11">
      <c r="C1810" s="11"/>
      <c r="K1810" s="11"/>
    </row>
    <row r="1811" spans="3:11">
      <c r="C1811" s="11"/>
      <c r="K1811" s="11"/>
    </row>
    <row r="1812" spans="3:11">
      <c r="C1812" s="11"/>
      <c r="K1812" s="11"/>
    </row>
    <row r="1813" spans="3:11">
      <c r="C1813" s="11"/>
      <c r="K1813" s="11"/>
    </row>
    <row r="1814" spans="3:11">
      <c r="C1814" s="11"/>
      <c r="K1814" s="11"/>
    </row>
    <row r="1815" spans="3:11">
      <c r="C1815" s="11"/>
      <c r="K1815" s="11"/>
    </row>
    <row r="1816" spans="3:11">
      <c r="C1816" s="11"/>
      <c r="K1816" s="11"/>
    </row>
    <row r="1817" spans="3:11">
      <c r="C1817" s="11"/>
      <c r="K1817" s="11"/>
    </row>
    <row r="1818" spans="3:11">
      <c r="C1818" s="11"/>
      <c r="K1818" s="11"/>
    </row>
    <row r="1819" spans="3:11">
      <c r="C1819" s="11"/>
      <c r="K1819" s="11"/>
    </row>
    <row r="1820" spans="3:11">
      <c r="C1820" s="11"/>
      <c r="K1820" s="11"/>
    </row>
    <row r="1821" spans="3:11">
      <c r="C1821" s="11"/>
      <c r="K1821" s="11"/>
    </row>
    <row r="1822" spans="3:11">
      <c r="C1822" s="11"/>
      <c r="K1822" s="11"/>
    </row>
    <row r="1823" spans="3:11">
      <c r="C1823" s="11"/>
      <c r="K1823" s="11"/>
    </row>
    <row r="1824" spans="3:11">
      <c r="C1824" s="11"/>
      <c r="K1824" s="11"/>
    </row>
    <row r="1825" spans="3:11">
      <c r="C1825" s="11"/>
      <c r="K1825" s="11"/>
    </row>
    <row r="1826" spans="3:11">
      <c r="C1826" s="11"/>
      <c r="K1826" s="11"/>
    </row>
    <row r="1827" spans="3:11">
      <c r="C1827" s="11"/>
      <c r="K1827" s="11"/>
    </row>
    <row r="1828" spans="3:11">
      <c r="C1828" s="11"/>
      <c r="K1828" s="11"/>
    </row>
    <row r="1829" spans="3:11">
      <c r="C1829" s="11"/>
      <c r="K1829" s="11"/>
    </row>
    <row r="1830" spans="3:11">
      <c r="C1830" s="11"/>
      <c r="K1830" s="11"/>
    </row>
    <row r="1831" spans="3:11">
      <c r="C1831" s="11"/>
      <c r="K1831" s="11"/>
    </row>
    <row r="1832" spans="3:11">
      <c r="C1832" s="11"/>
      <c r="K1832" s="11"/>
    </row>
    <row r="1833" spans="3:11">
      <c r="C1833" s="11"/>
      <c r="K1833" s="11"/>
    </row>
    <row r="1834" spans="3:11">
      <c r="C1834" s="11"/>
      <c r="K1834" s="11"/>
    </row>
    <row r="1835" spans="3:11">
      <c r="C1835" s="11"/>
      <c r="K1835" s="11"/>
    </row>
    <row r="1836" spans="3:11">
      <c r="C1836" s="11"/>
      <c r="K1836" s="11"/>
    </row>
    <row r="1837" spans="3:11">
      <c r="C1837" s="11"/>
      <c r="K1837" s="11"/>
    </row>
    <row r="1838" spans="3:11">
      <c r="C1838" s="11"/>
      <c r="K1838" s="11"/>
    </row>
    <row r="1839" spans="3:11">
      <c r="C1839" s="11"/>
      <c r="K1839" s="11"/>
    </row>
    <row r="1840" spans="3:11">
      <c r="C1840" s="11"/>
      <c r="K1840" s="11"/>
    </row>
    <row r="1841" spans="3:11">
      <c r="C1841" s="11"/>
      <c r="K1841" s="11"/>
    </row>
    <row r="1842" spans="3:11">
      <c r="C1842" s="11"/>
      <c r="K1842" s="11"/>
    </row>
    <row r="1843" spans="3:11">
      <c r="C1843" s="11"/>
      <c r="K1843" s="11"/>
    </row>
    <row r="1844" spans="3:11">
      <c r="C1844" s="11"/>
      <c r="K1844" s="11"/>
    </row>
    <row r="1845" spans="3:11">
      <c r="C1845" s="11"/>
      <c r="K1845" s="11"/>
    </row>
    <row r="1846" spans="3:11">
      <c r="C1846" s="11"/>
      <c r="K1846" s="11"/>
    </row>
    <row r="1847" spans="3:11">
      <c r="C1847" s="11"/>
      <c r="K1847" s="11"/>
    </row>
    <row r="1848" spans="3:11">
      <c r="C1848" s="11"/>
      <c r="K1848" s="11"/>
    </row>
    <row r="1849" spans="3:11">
      <c r="C1849" s="11"/>
      <c r="K1849" s="11"/>
    </row>
    <row r="1850" spans="3:11">
      <c r="C1850" s="11"/>
      <c r="K1850" s="11"/>
    </row>
    <row r="1851" spans="3:11">
      <c r="C1851" s="11"/>
      <c r="K1851" s="11"/>
    </row>
    <row r="1852" spans="3:11">
      <c r="C1852" s="11"/>
      <c r="K1852" s="11"/>
    </row>
    <row r="1853" spans="3:11">
      <c r="C1853" s="11"/>
      <c r="K1853" s="11"/>
    </row>
    <row r="1854" spans="3:11">
      <c r="C1854" s="11"/>
      <c r="K1854" s="11"/>
    </row>
    <row r="1855" spans="3:11">
      <c r="C1855" s="11"/>
      <c r="K1855" s="11"/>
    </row>
    <row r="1856" spans="3:11">
      <c r="C1856" s="11"/>
      <c r="K1856" s="11"/>
    </row>
    <row r="1857" spans="3:11">
      <c r="C1857" s="11"/>
      <c r="K1857" s="11"/>
    </row>
    <row r="1858" spans="3:11">
      <c r="C1858" s="11"/>
      <c r="K1858" s="11"/>
    </row>
    <row r="1859" spans="3:11">
      <c r="C1859" s="11"/>
      <c r="K1859" s="11"/>
    </row>
    <row r="1860" spans="3:11">
      <c r="C1860" s="11"/>
      <c r="K1860" s="11"/>
    </row>
    <row r="1861" spans="3:11">
      <c r="C1861" s="11"/>
      <c r="K1861" s="11"/>
    </row>
    <row r="1862" spans="3:11">
      <c r="C1862" s="11"/>
      <c r="K1862" s="11"/>
    </row>
    <row r="1863" spans="3:11">
      <c r="C1863" s="11"/>
      <c r="K1863" s="11"/>
    </row>
    <row r="1864" spans="3:11">
      <c r="C1864" s="11"/>
      <c r="K1864" s="11"/>
    </row>
    <row r="1865" spans="3:11">
      <c r="C1865" s="11"/>
      <c r="K1865" s="11"/>
    </row>
    <row r="1866" spans="3:11">
      <c r="C1866" s="11"/>
      <c r="K1866" s="11"/>
    </row>
    <row r="1867" spans="3:11">
      <c r="C1867" s="11"/>
      <c r="K1867" s="11"/>
    </row>
    <row r="1868" spans="3:11">
      <c r="C1868" s="11"/>
      <c r="K1868" s="11"/>
    </row>
    <row r="1869" spans="3:11">
      <c r="C1869" s="11"/>
      <c r="K1869" s="11"/>
    </row>
    <row r="1870" spans="3:11">
      <c r="C1870" s="11"/>
      <c r="K1870" s="11"/>
    </row>
    <row r="1871" spans="3:11">
      <c r="C1871" s="11"/>
      <c r="K1871" s="11"/>
    </row>
    <row r="1872" spans="3:11">
      <c r="C1872" s="11"/>
      <c r="K1872" s="11"/>
    </row>
    <row r="1873" spans="3:11">
      <c r="C1873" s="11"/>
      <c r="K1873" s="11"/>
    </row>
    <row r="1874" spans="3:11">
      <c r="C1874" s="11"/>
      <c r="K1874" s="11"/>
    </row>
    <row r="1875" spans="3:11">
      <c r="C1875" s="11"/>
      <c r="K1875" s="11"/>
    </row>
    <row r="1876" spans="3:11">
      <c r="C1876" s="11"/>
      <c r="K1876" s="11"/>
    </row>
    <row r="1877" spans="3:11">
      <c r="C1877" s="11"/>
      <c r="K1877" s="11"/>
    </row>
    <row r="1878" spans="3:11">
      <c r="C1878" s="11"/>
      <c r="K1878" s="11"/>
    </row>
    <row r="1879" spans="3:11">
      <c r="C1879" s="11"/>
      <c r="K1879" s="11"/>
    </row>
    <row r="1880" spans="3:11">
      <c r="C1880" s="11"/>
      <c r="K1880" s="11"/>
    </row>
    <row r="1881" spans="3:11">
      <c r="C1881" s="11"/>
      <c r="K1881" s="11"/>
    </row>
    <row r="1882" spans="3:11">
      <c r="C1882" s="11"/>
      <c r="K1882" s="11"/>
    </row>
    <row r="1883" spans="3:11">
      <c r="C1883" s="11"/>
      <c r="K1883" s="11"/>
    </row>
    <row r="1884" spans="3:11">
      <c r="C1884" s="11"/>
      <c r="K1884" s="11"/>
    </row>
    <row r="1885" spans="3:11">
      <c r="C1885" s="11"/>
      <c r="K1885" s="11"/>
    </row>
    <row r="1886" spans="3:11">
      <c r="C1886" s="11"/>
      <c r="K1886" s="11"/>
    </row>
    <row r="1887" spans="3:11">
      <c r="C1887" s="11"/>
      <c r="K1887" s="11"/>
    </row>
    <row r="1888" spans="3:11">
      <c r="C1888" s="11"/>
      <c r="K1888" s="11"/>
    </row>
    <row r="1889" spans="3:11">
      <c r="C1889" s="11"/>
      <c r="K1889" s="11"/>
    </row>
    <row r="1890" spans="3:11">
      <c r="C1890" s="11"/>
      <c r="K1890" s="11"/>
    </row>
    <row r="1891" spans="3:11">
      <c r="C1891" s="11"/>
      <c r="K1891" s="11"/>
    </row>
    <row r="1892" spans="3:11">
      <c r="C1892" s="11"/>
      <c r="K1892" s="11"/>
    </row>
    <row r="1893" spans="3:11">
      <c r="C1893" s="11"/>
      <c r="K1893" s="11"/>
    </row>
    <row r="1894" spans="3:11">
      <c r="C1894" s="11"/>
      <c r="K1894" s="11"/>
    </row>
    <row r="1895" spans="3:11">
      <c r="C1895" s="11"/>
      <c r="K1895" s="11"/>
    </row>
    <row r="1896" spans="3:11">
      <c r="C1896" s="11"/>
      <c r="K1896" s="11"/>
    </row>
    <row r="1897" spans="3:11">
      <c r="C1897" s="11"/>
      <c r="K1897" s="11"/>
    </row>
    <row r="1898" spans="3:11">
      <c r="C1898" s="11"/>
      <c r="K1898" s="11"/>
    </row>
    <row r="1899" spans="3:11">
      <c r="C1899" s="11"/>
      <c r="K1899" s="11"/>
    </row>
    <row r="1900" spans="3:11">
      <c r="C1900" s="11"/>
      <c r="K1900" s="11"/>
    </row>
    <row r="1901" spans="3:11">
      <c r="C1901" s="11"/>
      <c r="K1901" s="11"/>
    </row>
    <row r="1902" spans="3:11">
      <c r="C1902" s="11"/>
      <c r="K1902" s="11"/>
    </row>
    <row r="1903" spans="3:11">
      <c r="C1903" s="11"/>
      <c r="K1903" s="11"/>
    </row>
    <row r="1904" spans="3:11">
      <c r="C1904" s="11"/>
      <c r="K1904" s="11"/>
    </row>
    <row r="1905" spans="3:11">
      <c r="C1905" s="11"/>
      <c r="K1905" s="11"/>
    </row>
    <row r="1906" spans="3:11">
      <c r="C1906" s="11"/>
      <c r="K1906" s="11"/>
    </row>
    <row r="1907" spans="3:11">
      <c r="C1907" s="11"/>
      <c r="K1907" s="11"/>
    </row>
    <row r="1908" spans="3:11">
      <c r="C1908" s="11"/>
      <c r="K1908" s="11"/>
    </row>
    <row r="1909" spans="3:11">
      <c r="C1909" s="11"/>
      <c r="K1909" s="11"/>
    </row>
    <row r="1910" spans="3:11">
      <c r="C1910" s="11"/>
      <c r="K1910" s="11"/>
    </row>
    <row r="1911" spans="3:11">
      <c r="C1911" s="11"/>
      <c r="K1911" s="11"/>
    </row>
    <row r="1912" spans="3:11">
      <c r="C1912" s="11"/>
      <c r="K1912" s="11"/>
    </row>
    <row r="1913" spans="3:11">
      <c r="C1913" s="11"/>
      <c r="K1913" s="11"/>
    </row>
    <row r="1914" spans="3:11">
      <c r="C1914" s="11"/>
      <c r="K1914" s="11"/>
    </row>
    <row r="1915" spans="3:11">
      <c r="C1915" s="11"/>
      <c r="K1915" s="11"/>
    </row>
    <row r="1916" spans="3:11">
      <c r="C1916" s="11"/>
      <c r="K1916" s="11"/>
    </row>
    <row r="1917" spans="3:11">
      <c r="C1917" s="11"/>
      <c r="K1917" s="11"/>
    </row>
    <row r="1918" spans="3:11">
      <c r="C1918" s="11"/>
      <c r="K1918" s="11"/>
    </row>
    <row r="1919" spans="3:11">
      <c r="C1919" s="11"/>
      <c r="K1919" s="11"/>
    </row>
    <row r="1920" spans="3:11">
      <c r="C1920" s="11"/>
      <c r="K1920" s="11"/>
    </row>
    <row r="1921" spans="3:11">
      <c r="C1921" s="11"/>
      <c r="K1921" s="11"/>
    </row>
    <row r="1922" spans="3:11">
      <c r="C1922" s="11"/>
      <c r="K1922" s="11"/>
    </row>
    <row r="1923" spans="3:11">
      <c r="C1923" s="11"/>
      <c r="K1923" s="11"/>
    </row>
    <row r="1924" spans="3:11">
      <c r="C1924" s="11"/>
      <c r="K1924" s="11"/>
    </row>
    <row r="1925" spans="3:11">
      <c r="C1925" s="11"/>
      <c r="K1925" s="11"/>
    </row>
    <row r="1926" spans="3:11">
      <c r="C1926" s="11"/>
      <c r="K1926" s="11"/>
    </row>
    <row r="1927" spans="3:11">
      <c r="C1927" s="11"/>
      <c r="K1927" s="11"/>
    </row>
    <row r="1928" spans="3:11">
      <c r="C1928" s="11"/>
      <c r="K1928" s="11"/>
    </row>
    <row r="1929" spans="3:11">
      <c r="C1929" s="11"/>
      <c r="K1929" s="11"/>
    </row>
    <row r="1930" spans="3:11">
      <c r="C1930" s="11"/>
      <c r="K1930" s="11"/>
    </row>
    <row r="1931" spans="3:11">
      <c r="C1931" s="11"/>
      <c r="K1931" s="11"/>
    </row>
    <row r="1932" spans="3:11">
      <c r="C1932" s="11"/>
      <c r="K1932" s="11"/>
    </row>
    <row r="1933" spans="3:11">
      <c r="C1933" s="11"/>
      <c r="K1933" s="11"/>
    </row>
    <row r="1934" spans="3:11">
      <c r="C1934" s="11"/>
      <c r="K1934" s="11"/>
    </row>
    <row r="1935" spans="3:11">
      <c r="C1935" s="11"/>
      <c r="K1935" s="11"/>
    </row>
    <row r="1936" spans="3:11">
      <c r="C1936" s="11"/>
      <c r="K1936" s="11"/>
    </row>
    <row r="1937" spans="3:11">
      <c r="C1937" s="11"/>
      <c r="K1937" s="11"/>
    </row>
    <row r="1938" spans="3:11">
      <c r="C1938" s="11"/>
      <c r="K1938" s="11"/>
    </row>
    <row r="1939" spans="3:11">
      <c r="C1939" s="11"/>
      <c r="K1939" s="11"/>
    </row>
    <row r="1940" spans="3:11">
      <c r="C1940" s="11"/>
      <c r="K1940" s="11"/>
    </row>
    <row r="1941" spans="3:11">
      <c r="C1941" s="11"/>
      <c r="K1941" s="11"/>
    </row>
    <row r="1942" spans="3:11">
      <c r="C1942" s="11"/>
      <c r="K1942" s="11"/>
    </row>
    <row r="1943" spans="3:11">
      <c r="C1943" s="11"/>
      <c r="K1943" s="11"/>
    </row>
    <row r="1944" spans="3:11">
      <c r="C1944" s="11"/>
      <c r="K1944" s="11"/>
    </row>
    <row r="1945" spans="3:11">
      <c r="C1945" s="11"/>
      <c r="K1945" s="11"/>
    </row>
    <row r="1946" spans="3:11">
      <c r="C1946" s="11"/>
      <c r="K1946" s="11"/>
    </row>
    <row r="1947" spans="3:11">
      <c r="C1947" s="11"/>
      <c r="K1947" s="11"/>
    </row>
    <row r="1948" spans="3:11">
      <c r="C1948" s="11"/>
      <c r="K1948" s="11"/>
    </row>
    <row r="1949" spans="3:11">
      <c r="C1949" s="11"/>
      <c r="K1949" s="11"/>
    </row>
    <row r="1950" spans="3:11">
      <c r="C1950" s="11"/>
      <c r="K1950" s="11"/>
    </row>
    <row r="1951" spans="3:11">
      <c r="C1951" s="11"/>
      <c r="K1951" s="11"/>
    </row>
    <row r="1952" spans="3:11">
      <c r="C1952" s="11"/>
      <c r="K1952" s="11"/>
    </row>
    <row r="1953" spans="3:11">
      <c r="C1953" s="11"/>
      <c r="K1953" s="11"/>
    </row>
    <row r="1954" spans="3:11">
      <c r="C1954" s="11"/>
      <c r="K1954" s="11"/>
    </row>
    <row r="1955" spans="3:11">
      <c r="C1955" s="11"/>
      <c r="K1955" s="11"/>
    </row>
    <row r="1956" spans="3:11">
      <c r="C1956" s="11"/>
      <c r="K1956" s="11"/>
    </row>
    <row r="1957" spans="3:11">
      <c r="C1957" s="11"/>
      <c r="K1957" s="11"/>
    </row>
    <row r="1958" spans="3:11">
      <c r="C1958" s="11"/>
      <c r="K1958" s="11"/>
    </row>
    <row r="1959" spans="3:11">
      <c r="C1959" s="11"/>
      <c r="K1959" s="11"/>
    </row>
    <row r="1960" spans="3:11">
      <c r="C1960" s="11"/>
      <c r="K1960" s="11"/>
    </row>
    <row r="1961" spans="3:11">
      <c r="C1961" s="11"/>
      <c r="K1961" s="11"/>
    </row>
    <row r="1962" spans="3:11">
      <c r="C1962" s="11"/>
      <c r="K1962" s="11"/>
    </row>
    <row r="1963" spans="3:11">
      <c r="C1963" s="11"/>
      <c r="K1963" s="11"/>
    </row>
    <row r="1964" spans="3:11">
      <c r="C1964" s="11"/>
      <c r="K1964" s="11"/>
    </row>
    <row r="1965" spans="3:11">
      <c r="C1965" s="11"/>
      <c r="K1965" s="11"/>
    </row>
    <row r="1966" spans="3:11">
      <c r="C1966" s="11"/>
      <c r="K1966" s="11"/>
    </row>
    <row r="1967" spans="3:11">
      <c r="C1967" s="11"/>
      <c r="K1967" s="11"/>
    </row>
    <row r="1968" spans="3:11">
      <c r="C1968" s="11"/>
      <c r="K1968" s="11"/>
    </row>
    <row r="1969" spans="3:11">
      <c r="C1969" s="11"/>
      <c r="K1969" s="11"/>
    </row>
    <row r="1970" spans="3:11">
      <c r="C1970" s="11"/>
      <c r="K1970" s="11"/>
    </row>
    <row r="1971" spans="3:11">
      <c r="C1971" s="11"/>
      <c r="K1971" s="11"/>
    </row>
    <row r="1972" spans="3:11">
      <c r="C1972" s="11"/>
      <c r="K1972" s="11"/>
    </row>
    <row r="1973" spans="3:11">
      <c r="C1973" s="11"/>
      <c r="K1973" s="11"/>
    </row>
    <row r="1974" spans="3:11">
      <c r="C1974" s="11"/>
      <c r="K1974" s="11"/>
    </row>
    <row r="1975" spans="3:11">
      <c r="C1975" s="11"/>
      <c r="K1975" s="11"/>
    </row>
    <row r="1976" spans="3:11">
      <c r="C1976" s="11"/>
      <c r="K1976" s="11"/>
    </row>
    <row r="1977" spans="3:11">
      <c r="C1977" s="11"/>
      <c r="K1977" s="11"/>
    </row>
    <row r="1978" spans="3:11">
      <c r="C1978" s="11"/>
      <c r="K1978" s="11"/>
    </row>
    <row r="1979" spans="3:11">
      <c r="C1979" s="11"/>
      <c r="K1979" s="11"/>
    </row>
    <row r="1980" spans="3:11">
      <c r="C1980" s="11"/>
      <c r="K1980" s="11"/>
    </row>
    <row r="1981" spans="3:11">
      <c r="C1981" s="11"/>
      <c r="K1981" s="11"/>
    </row>
    <row r="1982" spans="3:11">
      <c r="C1982" s="11"/>
      <c r="K1982" s="11"/>
    </row>
    <row r="1983" spans="3:11">
      <c r="C1983" s="11"/>
      <c r="K1983" s="11"/>
    </row>
    <row r="1984" spans="3:11">
      <c r="C1984" s="11"/>
      <c r="K1984" s="11"/>
    </row>
    <row r="1985" spans="3:11">
      <c r="C1985" s="11"/>
      <c r="K1985" s="11"/>
    </row>
    <row r="1986" spans="3:11">
      <c r="C1986" s="11"/>
      <c r="K1986" s="11"/>
    </row>
    <row r="1987" spans="3:11">
      <c r="C1987" s="11"/>
      <c r="K1987" s="11"/>
    </row>
    <row r="1988" spans="3:11">
      <c r="C1988" s="11"/>
      <c r="K1988" s="11"/>
    </row>
    <row r="1989" spans="3:11">
      <c r="C1989" s="11"/>
      <c r="K1989" s="11"/>
    </row>
    <row r="1990" spans="3:11">
      <c r="C1990" s="11"/>
      <c r="K1990" s="11"/>
    </row>
    <row r="1991" spans="3:11">
      <c r="C1991" s="11"/>
      <c r="K1991" s="11"/>
    </row>
    <row r="1992" spans="3:11">
      <c r="C1992" s="11"/>
      <c r="K1992" s="11"/>
    </row>
    <row r="1993" spans="3:11">
      <c r="C1993" s="11"/>
      <c r="K1993" s="11"/>
    </row>
    <row r="1994" spans="3:11">
      <c r="C1994" s="11"/>
      <c r="K1994" s="11"/>
    </row>
    <row r="1995" spans="3:11">
      <c r="C1995" s="11"/>
      <c r="K1995" s="11"/>
    </row>
    <row r="1996" spans="3:11">
      <c r="C1996" s="11"/>
      <c r="K1996" s="11"/>
    </row>
    <row r="1997" spans="3:11">
      <c r="C1997" s="11"/>
      <c r="K1997" s="11"/>
    </row>
    <row r="1998" spans="3:11">
      <c r="C1998" s="11"/>
      <c r="K1998" s="11"/>
    </row>
    <row r="1999" spans="3:11">
      <c r="C1999" s="11"/>
      <c r="K1999" s="11"/>
    </row>
    <row r="2000" spans="3:11">
      <c r="C2000" s="11"/>
      <c r="K2000" s="11"/>
    </row>
    <row r="2001" spans="3:11">
      <c r="C2001" s="11"/>
      <c r="K2001" s="11"/>
    </row>
    <row r="2002" spans="3:11">
      <c r="C2002" s="11"/>
      <c r="K2002" s="11"/>
    </row>
    <row r="2003" spans="3:11">
      <c r="C2003" s="11"/>
      <c r="K2003" s="11"/>
    </row>
    <row r="2004" spans="3:11">
      <c r="C2004" s="11"/>
      <c r="K2004" s="11"/>
    </row>
    <row r="2005" spans="3:11">
      <c r="C2005" s="11"/>
      <c r="K2005" s="11"/>
    </row>
    <row r="2006" spans="3:11">
      <c r="C2006" s="11"/>
      <c r="K2006" s="11"/>
    </row>
    <row r="2007" spans="3:11">
      <c r="C2007" s="11"/>
      <c r="K2007" s="11"/>
    </row>
    <row r="2008" spans="3:11">
      <c r="C2008" s="11"/>
      <c r="K2008" s="11"/>
    </row>
    <row r="2009" spans="3:11">
      <c r="C2009" s="11"/>
      <c r="K2009" s="11"/>
    </row>
    <row r="2010" spans="3:11">
      <c r="C2010" s="11"/>
      <c r="K2010" s="11"/>
    </row>
    <row r="2011" spans="3:11">
      <c r="C2011" s="11"/>
      <c r="K2011" s="11"/>
    </row>
    <row r="2012" spans="3:11">
      <c r="C2012" s="11"/>
      <c r="K2012" s="11"/>
    </row>
    <row r="2013" spans="3:11">
      <c r="C2013" s="11"/>
      <c r="K2013" s="11"/>
    </row>
    <row r="2014" spans="3:11">
      <c r="C2014" s="11"/>
      <c r="K2014" s="11"/>
    </row>
    <row r="2015" spans="3:11">
      <c r="C2015" s="11"/>
      <c r="K2015" s="11"/>
    </row>
    <row r="2016" spans="3:11">
      <c r="C2016" s="11"/>
      <c r="K2016" s="11"/>
    </row>
    <row r="2017" spans="3:11">
      <c r="C2017" s="11"/>
      <c r="K2017" s="11"/>
    </row>
    <row r="2018" spans="3:11">
      <c r="C2018" s="11"/>
      <c r="K2018" s="11"/>
    </row>
    <row r="2019" spans="3:11">
      <c r="C2019" s="11"/>
      <c r="K2019" s="11"/>
    </row>
    <row r="2020" spans="3:11">
      <c r="C2020" s="11"/>
      <c r="K2020" s="11"/>
    </row>
    <row r="2021" spans="3:11">
      <c r="C2021" s="11"/>
      <c r="K2021" s="11"/>
    </row>
    <row r="2022" spans="3:11">
      <c r="C2022" s="11"/>
      <c r="K2022" s="11"/>
    </row>
    <row r="2023" spans="3:11">
      <c r="C2023" s="11"/>
      <c r="K2023" s="11"/>
    </row>
    <row r="2024" spans="3:11">
      <c r="C2024" s="11"/>
      <c r="K2024" s="11"/>
    </row>
    <row r="2025" spans="3:11">
      <c r="C2025" s="11"/>
      <c r="K2025" s="11"/>
    </row>
    <row r="2026" spans="3:11">
      <c r="C2026" s="11"/>
      <c r="K2026" s="11"/>
    </row>
    <row r="2027" spans="3:11">
      <c r="C2027" s="11"/>
      <c r="K2027" s="11"/>
    </row>
    <row r="2028" spans="3:11">
      <c r="C2028" s="11"/>
      <c r="K2028" s="11"/>
    </row>
    <row r="2029" spans="3:11">
      <c r="C2029" s="11"/>
      <c r="K2029" s="11"/>
    </row>
    <row r="2030" spans="3:11">
      <c r="C2030" s="11"/>
      <c r="K2030" s="11"/>
    </row>
    <row r="2031" spans="3:11">
      <c r="C2031" s="11"/>
      <c r="K2031" s="11"/>
    </row>
    <row r="2032" spans="3:11">
      <c r="C2032" s="11"/>
      <c r="K2032" s="11"/>
    </row>
    <row r="2033" spans="3:11">
      <c r="C2033" s="11"/>
      <c r="K2033" s="11"/>
    </row>
    <row r="2034" spans="3:11">
      <c r="C2034" s="11"/>
      <c r="K2034" s="11"/>
    </row>
    <row r="2035" spans="3:11">
      <c r="C2035" s="11"/>
      <c r="K2035" s="11"/>
    </row>
    <row r="2036" spans="3:11">
      <c r="C2036" s="11"/>
      <c r="K2036" s="11"/>
    </row>
    <row r="2037" spans="3:11">
      <c r="C2037" s="11"/>
      <c r="K2037" s="11"/>
    </row>
    <row r="2038" spans="3:11">
      <c r="C2038" s="11"/>
      <c r="K2038" s="11"/>
    </row>
    <row r="2039" spans="3:11">
      <c r="C2039" s="11"/>
      <c r="K2039" s="11"/>
    </row>
    <row r="2040" spans="3:11">
      <c r="C2040" s="11"/>
      <c r="K2040" s="11"/>
    </row>
    <row r="2041" spans="3:11">
      <c r="C2041" s="11"/>
      <c r="K2041" s="11"/>
    </row>
    <row r="2042" spans="3:11">
      <c r="C2042" s="11"/>
      <c r="K2042" s="11"/>
    </row>
    <row r="2043" spans="3:11">
      <c r="C2043" s="11"/>
      <c r="K2043" s="11"/>
    </row>
    <row r="2044" spans="3:11">
      <c r="C2044" s="11"/>
      <c r="K2044" s="11"/>
    </row>
    <row r="2045" spans="3:11">
      <c r="C2045" s="11"/>
      <c r="K2045" s="11"/>
    </row>
    <row r="2046" spans="3:11">
      <c r="C2046" s="11"/>
      <c r="K2046" s="11"/>
    </row>
    <row r="2047" spans="3:11">
      <c r="C2047" s="11"/>
      <c r="K2047" s="11"/>
    </row>
    <row r="2048" spans="3:11">
      <c r="C2048" s="11"/>
      <c r="K2048" s="11"/>
    </row>
    <row r="2049" spans="3:11">
      <c r="C2049" s="11"/>
      <c r="K2049" s="11"/>
    </row>
    <row r="2050" spans="3:11">
      <c r="C2050" s="11"/>
      <c r="K2050" s="11"/>
    </row>
    <row r="2051" spans="3:11">
      <c r="C2051" s="11"/>
      <c r="K2051" s="11"/>
    </row>
    <row r="2052" spans="3:11">
      <c r="C2052" s="11"/>
      <c r="K2052" s="11"/>
    </row>
    <row r="2053" spans="3:11">
      <c r="C2053" s="11"/>
      <c r="K2053" s="11"/>
    </row>
    <row r="2054" spans="3:11">
      <c r="C2054" s="11"/>
      <c r="K2054" s="11"/>
    </row>
    <row r="2055" spans="3:11">
      <c r="C2055" s="11"/>
      <c r="K2055" s="11"/>
    </row>
    <row r="2056" spans="3:11">
      <c r="C2056" s="11"/>
      <c r="K2056" s="11"/>
    </row>
    <row r="2057" spans="3:11">
      <c r="C2057" s="11"/>
      <c r="K2057" s="11"/>
    </row>
    <row r="2058" spans="3:11">
      <c r="C2058" s="11"/>
      <c r="K2058" s="11"/>
    </row>
    <row r="2059" spans="3:11">
      <c r="C2059" s="11"/>
      <c r="K2059" s="11"/>
    </row>
    <row r="2060" spans="3:11">
      <c r="C2060" s="11"/>
      <c r="K2060" s="11"/>
    </row>
    <row r="2061" spans="3:11">
      <c r="C2061" s="11"/>
      <c r="K2061" s="11"/>
    </row>
    <row r="2062" spans="3:11">
      <c r="C2062" s="11"/>
      <c r="K2062" s="11"/>
    </row>
    <row r="2063" spans="3:11">
      <c r="C2063" s="11"/>
      <c r="K2063" s="11"/>
    </row>
    <row r="2064" spans="3:11">
      <c r="C2064" s="11"/>
      <c r="K2064" s="11"/>
    </row>
    <row r="2065" spans="3:11">
      <c r="C2065" s="11"/>
      <c r="K2065" s="11"/>
    </row>
    <row r="2066" spans="3:11">
      <c r="C2066" s="11"/>
      <c r="K2066" s="11"/>
    </row>
    <row r="2067" spans="3:11">
      <c r="C2067" s="11"/>
      <c r="K2067" s="11"/>
    </row>
    <row r="2068" spans="3:11">
      <c r="C2068" s="11"/>
      <c r="K2068" s="11"/>
    </row>
    <row r="2069" spans="3:11">
      <c r="C2069" s="11"/>
      <c r="K2069" s="11"/>
    </row>
    <row r="2070" spans="3:11">
      <c r="C2070" s="11"/>
      <c r="K2070" s="11"/>
    </row>
    <row r="2071" spans="3:11">
      <c r="C2071" s="11"/>
      <c r="K2071" s="11"/>
    </row>
    <row r="2072" spans="3:11">
      <c r="C2072" s="11"/>
      <c r="K2072" s="11"/>
    </row>
    <row r="2073" spans="3:11">
      <c r="C2073" s="11"/>
      <c r="K2073" s="11"/>
    </row>
    <row r="2074" spans="3:11">
      <c r="C2074" s="11"/>
      <c r="K2074" s="11"/>
    </row>
    <row r="2075" spans="3:11">
      <c r="C2075" s="11"/>
      <c r="K2075" s="11"/>
    </row>
    <row r="2076" spans="3:11">
      <c r="C2076" s="11"/>
      <c r="K2076" s="11"/>
    </row>
    <row r="2077" spans="3:11">
      <c r="C2077" s="11"/>
      <c r="K2077" s="11"/>
    </row>
    <row r="2078" spans="3:11">
      <c r="C2078" s="11"/>
      <c r="K2078" s="11"/>
    </row>
    <row r="2079" spans="3:11">
      <c r="C2079" s="11"/>
      <c r="K2079" s="11"/>
    </row>
    <row r="2080" spans="3:11">
      <c r="C2080" s="11"/>
      <c r="K2080" s="11"/>
    </row>
    <row r="2081" spans="3:11">
      <c r="C2081" s="11"/>
      <c r="K2081" s="11"/>
    </row>
    <row r="2082" spans="3:11">
      <c r="C2082" s="11"/>
      <c r="K2082" s="11"/>
    </row>
    <row r="2083" spans="3:11">
      <c r="C2083" s="11"/>
      <c r="K2083" s="11"/>
    </row>
    <row r="2084" spans="3:11">
      <c r="C2084" s="11"/>
      <c r="K2084" s="11"/>
    </row>
    <row r="2085" spans="3:11">
      <c r="C2085" s="11"/>
      <c r="K2085" s="11"/>
    </row>
    <row r="2086" spans="3:11">
      <c r="C2086" s="11"/>
      <c r="K2086" s="11"/>
    </row>
    <row r="2087" spans="3:11">
      <c r="C2087" s="11"/>
      <c r="K2087" s="11"/>
    </row>
    <row r="2088" spans="3:11">
      <c r="C2088" s="11"/>
      <c r="K2088" s="11"/>
    </row>
    <row r="2089" spans="3:11">
      <c r="C2089" s="11"/>
      <c r="K2089" s="11"/>
    </row>
    <row r="2090" spans="3:11">
      <c r="C2090" s="11"/>
      <c r="K2090" s="11"/>
    </row>
    <row r="2091" spans="3:11">
      <c r="C2091" s="11"/>
      <c r="K2091" s="11"/>
    </row>
    <row r="2092" spans="3:11">
      <c r="C2092" s="11"/>
      <c r="K2092" s="11"/>
    </row>
    <row r="2093" spans="3:11">
      <c r="C2093" s="11"/>
      <c r="K2093" s="11"/>
    </row>
    <row r="2094" spans="3:11">
      <c r="C2094" s="11"/>
      <c r="K2094" s="11"/>
    </row>
    <row r="2095" spans="3:11">
      <c r="C2095" s="11"/>
      <c r="K2095" s="11"/>
    </row>
    <row r="2096" spans="3:11">
      <c r="C2096" s="11"/>
      <c r="K2096" s="11"/>
    </row>
    <row r="2097" spans="3:11">
      <c r="C2097" s="11"/>
      <c r="K2097" s="11"/>
    </row>
    <row r="2098" spans="3:11">
      <c r="C2098" s="11"/>
      <c r="K2098" s="11"/>
    </row>
    <row r="2099" spans="3:11">
      <c r="C2099" s="11"/>
      <c r="K2099" s="11"/>
    </row>
    <row r="2100" spans="3:11">
      <c r="C2100" s="11"/>
      <c r="K2100" s="11"/>
    </row>
    <row r="2101" spans="3:11">
      <c r="C2101" s="11"/>
      <c r="K2101" s="11"/>
    </row>
    <row r="2102" spans="3:11">
      <c r="C2102" s="11"/>
      <c r="K2102" s="11"/>
    </row>
    <row r="2103" spans="3:11">
      <c r="C2103" s="11"/>
      <c r="K2103" s="11"/>
    </row>
    <row r="2104" spans="3:11">
      <c r="C2104" s="11"/>
      <c r="K2104" s="11"/>
    </row>
    <row r="2105" spans="3:11">
      <c r="C2105" s="11"/>
      <c r="K2105" s="11"/>
    </row>
    <row r="2106" spans="3:11">
      <c r="C2106" s="11"/>
      <c r="K2106" s="11"/>
    </row>
    <row r="2107" spans="3:11">
      <c r="C2107" s="11"/>
      <c r="K2107" s="11"/>
    </row>
    <row r="2108" spans="3:11">
      <c r="C2108" s="11"/>
      <c r="K2108" s="11"/>
    </row>
    <row r="2109" spans="3:11">
      <c r="C2109" s="11"/>
      <c r="K2109" s="11"/>
    </row>
    <row r="2110" spans="3:11">
      <c r="C2110" s="11"/>
      <c r="K2110" s="11"/>
    </row>
    <row r="2111" spans="3:11">
      <c r="C2111" s="11"/>
      <c r="K2111" s="11"/>
    </row>
    <row r="2112" spans="3:11">
      <c r="C2112" s="11"/>
      <c r="K2112" s="11"/>
    </row>
    <row r="2113" spans="3:11">
      <c r="C2113" s="11"/>
      <c r="K2113" s="11"/>
    </row>
    <row r="2114" spans="3:11">
      <c r="C2114" s="11"/>
      <c r="K2114" s="11"/>
    </row>
    <row r="2115" spans="3:11">
      <c r="C2115" s="11"/>
      <c r="K2115" s="11"/>
    </row>
    <row r="2116" spans="3:11">
      <c r="C2116" s="11"/>
      <c r="K2116" s="11"/>
    </row>
    <row r="2117" spans="3:11">
      <c r="C2117" s="11"/>
      <c r="K2117" s="11"/>
    </row>
    <row r="2118" spans="3:11">
      <c r="C2118" s="11"/>
      <c r="K2118" s="11"/>
    </row>
    <row r="2119" spans="3:11">
      <c r="C2119" s="11"/>
      <c r="K2119" s="11"/>
    </row>
    <row r="2120" spans="3:11">
      <c r="C2120" s="11"/>
      <c r="K2120" s="11"/>
    </row>
    <row r="2121" spans="3:11">
      <c r="C2121" s="11"/>
      <c r="K2121" s="11"/>
    </row>
    <row r="2122" spans="3:11">
      <c r="C2122" s="11"/>
      <c r="K2122" s="11"/>
    </row>
    <row r="2123" spans="3:11">
      <c r="C2123" s="11"/>
      <c r="K2123" s="11"/>
    </row>
    <row r="2124" spans="3:11">
      <c r="C2124" s="11"/>
      <c r="K2124" s="11"/>
    </row>
    <row r="2125" spans="3:11">
      <c r="C2125" s="11"/>
      <c r="K2125" s="11"/>
    </row>
    <row r="2126" spans="3:11">
      <c r="C2126" s="11"/>
      <c r="K2126" s="11"/>
    </row>
    <row r="2127" spans="3:11">
      <c r="C2127" s="11"/>
      <c r="K2127" s="11"/>
    </row>
    <row r="2128" spans="3:11">
      <c r="C2128" s="11"/>
      <c r="K2128" s="11"/>
    </row>
    <row r="2129" spans="3:11">
      <c r="C2129" s="11"/>
      <c r="K2129" s="11"/>
    </row>
    <row r="2130" spans="3:11">
      <c r="C2130" s="11"/>
      <c r="K2130" s="11"/>
    </row>
    <row r="2131" spans="3:11">
      <c r="C2131" s="11"/>
      <c r="K2131" s="11"/>
    </row>
    <row r="2132" spans="3:11">
      <c r="C2132" s="11"/>
      <c r="K2132" s="11"/>
    </row>
    <row r="2133" spans="3:11">
      <c r="C2133" s="11"/>
      <c r="K2133" s="11"/>
    </row>
    <row r="2134" spans="3:11">
      <c r="C2134" s="11"/>
      <c r="K2134" s="11"/>
    </row>
    <row r="2135" spans="3:11">
      <c r="C2135" s="11"/>
      <c r="K2135" s="11"/>
    </row>
    <row r="2136" spans="3:11">
      <c r="C2136" s="11"/>
      <c r="K2136" s="11"/>
    </row>
    <row r="2137" spans="3:11">
      <c r="C2137" s="11"/>
      <c r="K2137" s="11"/>
    </row>
    <row r="2138" spans="3:11">
      <c r="C2138" s="11"/>
      <c r="K2138" s="11"/>
    </row>
    <row r="2139" spans="3:11">
      <c r="C2139" s="11"/>
      <c r="K2139" s="11"/>
    </row>
    <row r="2140" spans="3:11">
      <c r="C2140" s="11"/>
      <c r="K2140" s="11"/>
    </row>
    <row r="2141" spans="3:11">
      <c r="C2141" s="11"/>
      <c r="K2141" s="11"/>
    </row>
    <row r="2142" spans="3:11">
      <c r="C2142" s="11"/>
      <c r="K2142" s="11"/>
    </row>
    <row r="2143" spans="3:11">
      <c r="C2143" s="11"/>
      <c r="K2143" s="11"/>
    </row>
    <row r="2144" spans="3:11">
      <c r="C2144" s="11"/>
      <c r="K2144" s="11"/>
    </row>
    <row r="2145" spans="3:11">
      <c r="C2145" s="11"/>
      <c r="K2145" s="11"/>
    </row>
    <row r="2146" spans="3:11">
      <c r="C2146" s="11"/>
      <c r="K2146" s="11"/>
    </row>
    <row r="2147" spans="3:11">
      <c r="C2147" s="11"/>
      <c r="K2147" s="11"/>
    </row>
    <row r="2148" spans="3:11">
      <c r="C2148" s="11"/>
      <c r="K2148" s="11"/>
    </row>
    <row r="2149" spans="3:11">
      <c r="C2149" s="11"/>
      <c r="K2149" s="11"/>
    </row>
    <row r="2150" spans="3:11">
      <c r="C2150" s="11"/>
      <c r="K2150" s="11"/>
    </row>
    <row r="2151" spans="3:11">
      <c r="C2151" s="11"/>
      <c r="K2151" s="11"/>
    </row>
    <row r="2152" spans="3:11">
      <c r="C2152" s="11"/>
      <c r="K2152" s="11"/>
    </row>
    <row r="2153" spans="3:11">
      <c r="C2153" s="11"/>
      <c r="K2153" s="11"/>
    </row>
    <row r="2154" spans="3:11">
      <c r="C2154" s="11"/>
      <c r="K2154" s="11"/>
    </row>
    <row r="2155" spans="3:11">
      <c r="C2155" s="11"/>
      <c r="K2155" s="11"/>
    </row>
    <row r="2156" spans="3:11">
      <c r="C2156" s="11"/>
      <c r="K2156" s="11"/>
    </row>
    <row r="2157" spans="3:11">
      <c r="C2157" s="11"/>
      <c r="K2157" s="11"/>
    </row>
    <row r="2158" spans="3:11">
      <c r="C2158" s="11"/>
      <c r="K2158" s="11"/>
    </row>
    <row r="2159" spans="3:11">
      <c r="C2159" s="11"/>
      <c r="K2159" s="11"/>
    </row>
    <row r="2160" spans="3:11">
      <c r="C2160" s="11"/>
      <c r="K2160" s="11"/>
    </row>
    <row r="2161" spans="3:11">
      <c r="C2161" s="11"/>
      <c r="K2161" s="11"/>
    </row>
    <row r="2162" spans="3:11">
      <c r="C2162" s="11"/>
      <c r="K2162" s="11"/>
    </row>
    <row r="2163" spans="3:11">
      <c r="C2163" s="11"/>
      <c r="K2163" s="11"/>
    </row>
    <row r="2164" spans="3:11">
      <c r="C2164" s="11"/>
      <c r="K2164" s="11"/>
    </row>
    <row r="2165" spans="3:11">
      <c r="C2165" s="11"/>
      <c r="K2165" s="11"/>
    </row>
    <row r="2166" spans="3:11">
      <c r="C2166" s="11"/>
      <c r="K2166" s="11"/>
    </row>
    <row r="2167" spans="3:11">
      <c r="C2167" s="11"/>
      <c r="K2167" s="11"/>
    </row>
    <row r="2168" spans="3:11">
      <c r="C2168" s="11"/>
      <c r="K2168" s="11"/>
    </row>
    <row r="2169" spans="3:11">
      <c r="C2169" s="11"/>
      <c r="K2169" s="11"/>
    </row>
    <row r="2170" spans="3:11">
      <c r="C2170" s="11"/>
      <c r="K2170" s="11"/>
    </row>
    <row r="2171" spans="3:11">
      <c r="C2171" s="11"/>
      <c r="K2171" s="11"/>
    </row>
    <row r="2172" spans="3:11">
      <c r="C2172" s="11"/>
      <c r="K2172" s="11"/>
    </row>
    <row r="2173" spans="3:11">
      <c r="C2173" s="11"/>
      <c r="K2173" s="11"/>
    </row>
    <row r="2174" spans="3:11">
      <c r="C2174" s="11"/>
      <c r="K2174" s="11"/>
    </row>
    <row r="2175" spans="3:11">
      <c r="C2175" s="11"/>
      <c r="K2175" s="11"/>
    </row>
    <row r="2176" spans="3:11">
      <c r="C2176" s="11"/>
      <c r="K2176" s="11"/>
    </row>
    <row r="2177" spans="3:11">
      <c r="C2177" s="11"/>
      <c r="K2177" s="11"/>
    </row>
    <row r="2178" spans="3:11">
      <c r="C2178" s="11"/>
      <c r="K2178" s="11"/>
    </row>
    <row r="2179" spans="3:11">
      <c r="C2179" s="11"/>
      <c r="K2179" s="11"/>
    </row>
    <row r="2180" spans="3:11">
      <c r="C2180" s="11"/>
      <c r="K2180" s="11"/>
    </row>
    <row r="2181" spans="3:11">
      <c r="C2181" s="11"/>
      <c r="K2181" s="11"/>
    </row>
    <row r="2182" spans="3:11">
      <c r="C2182" s="11"/>
      <c r="K2182" s="11"/>
    </row>
    <row r="2183" spans="3:11">
      <c r="C2183" s="11"/>
      <c r="K2183" s="11"/>
    </row>
    <row r="2184" spans="3:11">
      <c r="C2184" s="11"/>
      <c r="K2184" s="11"/>
    </row>
    <row r="2185" spans="3:11">
      <c r="C2185" s="11"/>
      <c r="K2185" s="11"/>
    </row>
    <row r="2186" spans="3:11">
      <c r="C2186" s="11"/>
      <c r="K2186" s="11"/>
    </row>
    <row r="2187" spans="3:11">
      <c r="C2187" s="11"/>
      <c r="K2187" s="11"/>
    </row>
    <row r="2188" spans="3:11">
      <c r="C2188" s="11"/>
      <c r="K2188" s="11"/>
    </row>
    <row r="2189" spans="3:11">
      <c r="C2189" s="11"/>
      <c r="K2189" s="11"/>
    </row>
    <row r="2190" spans="3:11">
      <c r="C2190" s="11"/>
      <c r="K2190" s="11"/>
    </row>
    <row r="2191" spans="3:11">
      <c r="C2191" s="11"/>
      <c r="K2191" s="11"/>
    </row>
    <row r="2192" spans="3:11">
      <c r="C2192" s="11"/>
      <c r="K2192" s="11"/>
    </row>
    <row r="2193" spans="3:11">
      <c r="C2193" s="11"/>
      <c r="K2193" s="11"/>
    </row>
    <row r="2194" spans="3:11">
      <c r="C2194" s="11"/>
      <c r="K2194" s="11"/>
    </row>
    <row r="2195" spans="3:11">
      <c r="C2195" s="11"/>
      <c r="K2195" s="11"/>
    </row>
    <row r="2196" spans="3:11">
      <c r="C2196" s="11"/>
      <c r="K2196" s="11"/>
    </row>
    <row r="2197" spans="3:11">
      <c r="C2197" s="11"/>
      <c r="K2197" s="11"/>
    </row>
    <row r="2198" spans="3:11">
      <c r="C2198" s="11"/>
      <c r="K2198" s="11"/>
    </row>
    <row r="2199" spans="3:11">
      <c r="C2199" s="11"/>
      <c r="K2199" s="11"/>
    </row>
    <row r="2200" spans="3:11">
      <c r="C2200" s="11"/>
      <c r="K2200" s="11"/>
    </row>
    <row r="2201" spans="3:11">
      <c r="C2201" s="11"/>
      <c r="K2201" s="11"/>
    </row>
    <row r="2202" spans="3:11">
      <c r="C2202" s="11"/>
      <c r="K2202" s="11"/>
    </row>
    <row r="2203" spans="3:11">
      <c r="C2203" s="11"/>
      <c r="K2203" s="11"/>
    </row>
    <row r="2204" spans="3:11">
      <c r="C2204" s="11"/>
      <c r="K2204" s="11"/>
    </row>
    <row r="2205" spans="3:11">
      <c r="C2205" s="11"/>
      <c r="K2205" s="11"/>
    </row>
    <row r="2206" spans="3:11">
      <c r="C2206" s="11"/>
      <c r="K2206" s="11"/>
    </row>
    <row r="2207" spans="3:11">
      <c r="C2207" s="11"/>
      <c r="K2207" s="11"/>
    </row>
    <row r="2208" spans="3:11">
      <c r="C2208" s="11"/>
      <c r="K2208" s="11"/>
    </row>
    <row r="2209" spans="3:11">
      <c r="C2209" s="11"/>
      <c r="K2209" s="11"/>
    </row>
    <row r="2210" spans="3:11">
      <c r="C2210" s="11"/>
      <c r="K2210" s="11"/>
    </row>
    <row r="2211" spans="3:11">
      <c r="C2211" s="11"/>
      <c r="K2211" s="11"/>
    </row>
    <row r="2212" spans="3:11">
      <c r="C2212" s="11"/>
      <c r="K2212" s="11"/>
    </row>
    <row r="2213" spans="3:11">
      <c r="C2213" s="11"/>
      <c r="K2213" s="11"/>
    </row>
    <row r="2214" spans="3:11">
      <c r="C2214" s="11"/>
      <c r="K2214" s="11"/>
    </row>
    <row r="2215" spans="3:11">
      <c r="C2215" s="11"/>
      <c r="K2215" s="11"/>
    </row>
    <row r="2216" spans="3:11">
      <c r="C2216" s="11"/>
      <c r="K2216" s="11"/>
    </row>
    <row r="2217" spans="3:11">
      <c r="C2217" s="11"/>
      <c r="K2217" s="11"/>
    </row>
    <row r="2218" spans="3:11">
      <c r="C2218" s="11"/>
      <c r="K2218" s="11"/>
    </row>
    <row r="2219" spans="3:11">
      <c r="C2219" s="11"/>
      <c r="K2219" s="11"/>
    </row>
    <row r="2220" spans="3:11">
      <c r="C2220" s="11"/>
      <c r="K2220" s="11"/>
    </row>
    <row r="2221" spans="3:11">
      <c r="C2221" s="11"/>
      <c r="K2221" s="11"/>
    </row>
    <row r="2222" spans="3:11">
      <c r="C2222" s="11"/>
      <c r="K2222" s="11"/>
    </row>
    <row r="2223" spans="3:11">
      <c r="C2223" s="11"/>
      <c r="K2223" s="11"/>
    </row>
    <row r="2224" spans="3:11">
      <c r="C2224" s="11"/>
      <c r="K2224" s="11"/>
    </row>
    <row r="2225" spans="3:11">
      <c r="C2225" s="11"/>
      <c r="K2225" s="11"/>
    </row>
    <row r="2226" spans="3:11">
      <c r="C2226" s="11"/>
      <c r="K2226" s="11"/>
    </row>
    <row r="2227" spans="3:11">
      <c r="C2227" s="11"/>
      <c r="K2227" s="11"/>
    </row>
    <row r="2228" spans="3:11">
      <c r="C2228" s="11"/>
      <c r="K2228" s="11"/>
    </row>
    <row r="2229" spans="3:11">
      <c r="C2229" s="11"/>
      <c r="K2229" s="11"/>
    </row>
    <row r="2230" spans="3:11">
      <c r="C2230" s="11"/>
      <c r="K2230" s="11"/>
    </row>
    <row r="2231" spans="3:11">
      <c r="C2231" s="11"/>
      <c r="K2231" s="11"/>
    </row>
    <row r="2232" spans="3:11">
      <c r="C2232" s="11"/>
      <c r="K2232" s="11"/>
    </row>
    <row r="2233" spans="3:11">
      <c r="C2233" s="11"/>
      <c r="K2233" s="11"/>
    </row>
    <row r="2234" spans="3:11">
      <c r="C2234" s="11"/>
      <c r="K2234" s="11"/>
    </row>
    <row r="2235" spans="3:11">
      <c r="C2235" s="11"/>
      <c r="K2235" s="11"/>
    </row>
    <row r="2236" spans="3:11">
      <c r="C2236" s="11"/>
      <c r="K2236" s="11"/>
    </row>
    <row r="2237" spans="3:11">
      <c r="C2237" s="11"/>
      <c r="K2237" s="11"/>
    </row>
    <row r="2238" spans="3:11">
      <c r="C2238" s="11"/>
      <c r="K2238" s="11"/>
    </row>
    <row r="2239" spans="3:11">
      <c r="C2239" s="11"/>
      <c r="K2239" s="11"/>
    </row>
    <row r="2240" spans="3:11">
      <c r="C2240" s="11"/>
      <c r="K2240" s="11"/>
    </row>
    <row r="2241" spans="3:11">
      <c r="C2241" s="11"/>
      <c r="K2241" s="11"/>
    </row>
    <row r="2242" spans="3:11">
      <c r="C2242" s="11"/>
      <c r="K2242" s="11"/>
    </row>
    <row r="2243" spans="3:11">
      <c r="C2243" s="11"/>
      <c r="K2243" s="11"/>
    </row>
    <row r="2244" spans="3:11">
      <c r="C2244" s="11"/>
      <c r="K2244" s="11"/>
    </row>
    <row r="2245" spans="3:11">
      <c r="C2245" s="11"/>
      <c r="K2245" s="11"/>
    </row>
    <row r="2246" spans="3:11">
      <c r="C2246" s="11"/>
      <c r="K2246" s="11"/>
    </row>
    <row r="2247" spans="3:11">
      <c r="C2247" s="11"/>
      <c r="K2247" s="11"/>
    </row>
    <row r="2248" spans="3:11">
      <c r="C2248" s="11"/>
      <c r="K2248" s="11"/>
    </row>
    <row r="2249" spans="3:11">
      <c r="C2249" s="11"/>
      <c r="K2249" s="11"/>
    </row>
    <row r="2250" spans="3:11">
      <c r="C2250" s="11"/>
      <c r="K2250" s="11"/>
    </row>
    <row r="2251" spans="3:11">
      <c r="C2251" s="11"/>
      <c r="K2251" s="11"/>
    </row>
    <row r="2252" spans="3:11">
      <c r="C2252" s="11"/>
      <c r="K2252" s="11"/>
    </row>
    <row r="2253" spans="3:11">
      <c r="C2253" s="11"/>
      <c r="K2253" s="11"/>
    </row>
    <row r="2254" spans="3:11">
      <c r="C2254" s="11"/>
      <c r="K2254" s="11"/>
    </row>
    <row r="2255" spans="3:11">
      <c r="C2255" s="11"/>
      <c r="K2255" s="11"/>
    </row>
    <row r="2256" spans="3:11">
      <c r="C2256" s="11"/>
      <c r="K2256" s="11"/>
    </row>
    <row r="2257" spans="3:11">
      <c r="C2257" s="11"/>
      <c r="K2257" s="11"/>
    </row>
    <row r="2258" spans="3:11">
      <c r="C2258" s="11"/>
      <c r="K2258" s="11"/>
    </row>
    <row r="2259" spans="3:11">
      <c r="C2259" s="11"/>
      <c r="K2259" s="11"/>
    </row>
    <row r="2260" spans="3:11">
      <c r="C2260" s="11"/>
      <c r="K2260" s="11"/>
    </row>
    <row r="2261" spans="3:11">
      <c r="C2261" s="11"/>
      <c r="K2261" s="11"/>
    </row>
    <row r="2262" spans="3:11">
      <c r="C2262" s="11"/>
      <c r="K2262" s="11"/>
    </row>
    <row r="2263" spans="3:11">
      <c r="C2263" s="11"/>
      <c r="K2263" s="11"/>
    </row>
    <row r="2264" spans="3:11">
      <c r="C2264" s="11"/>
      <c r="K2264" s="11"/>
    </row>
    <row r="2265" spans="3:11">
      <c r="C2265" s="11"/>
      <c r="K2265" s="11"/>
    </row>
    <row r="2266" spans="3:11">
      <c r="C2266" s="11"/>
      <c r="K2266" s="11"/>
    </row>
    <row r="2267" spans="3:11">
      <c r="C2267" s="11"/>
      <c r="K2267" s="11"/>
    </row>
    <row r="2268" spans="3:11">
      <c r="C2268" s="11"/>
      <c r="K2268" s="11"/>
    </row>
    <row r="2269" spans="3:11">
      <c r="C2269" s="11"/>
      <c r="K2269" s="11"/>
    </row>
    <row r="2270" spans="3:11">
      <c r="C2270" s="11"/>
      <c r="K2270" s="11"/>
    </row>
    <row r="2271" spans="3:11">
      <c r="C2271" s="11"/>
      <c r="K2271" s="11"/>
    </row>
    <row r="2272" spans="3:11">
      <c r="C2272" s="11"/>
      <c r="K2272" s="11"/>
    </row>
    <row r="2273" spans="3:11">
      <c r="C2273" s="11"/>
      <c r="K2273" s="11"/>
    </row>
    <row r="2274" spans="3:11">
      <c r="C2274" s="11"/>
      <c r="K2274" s="11"/>
    </row>
    <row r="2275" spans="3:11">
      <c r="C2275" s="11"/>
      <c r="K2275" s="11"/>
    </row>
    <row r="2276" spans="3:11">
      <c r="C2276" s="11"/>
      <c r="K2276" s="11"/>
    </row>
    <row r="2277" spans="3:11">
      <c r="C2277" s="11"/>
      <c r="K2277" s="11"/>
    </row>
    <row r="2278" spans="3:11">
      <c r="C2278" s="11"/>
      <c r="K2278" s="11"/>
    </row>
    <row r="2279" spans="3:11">
      <c r="C2279" s="11"/>
      <c r="K2279" s="11"/>
    </row>
    <row r="2280" spans="3:11">
      <c r="C2280" s="11"/>
      <c r="K2280" s="11"/>
    </row>
    <row r="2281" spans="3:11">
      <c r="C2281" s="11"/>
      <c r="K2281" s="11"/>
    </row>
    <row r="2282" spans="3:11">
      <c r="C2282" s="11"/>
      <c r="K2282" s="11"/>
    </row>
    <row r="2283" spans="3:11">
      <c r="C2283" s="11"/>
      <c r="K2283" s="11"/>
    </row>
    <row r="2284" spans="3:11">
      <c r="C2284" s="11"/>
      <c r="K2284" s="11"/>
    </row>
    <row r="2285" spans="3:11">
      <c r="C2285" s="11"/>
      <c r="K2285" s="11"/>
    </row>
    <row r="2286" spans="3:11">
      <c r="C2286" s="11"/>
      <c r="K2286" s="11"/>
    </row>
    <row r="2287" spans="3:11">
      <c r="C2287" s="11"/>
      <c r="K2287" s="11"/>
    </row>
    <row r="2288" spans="3:11">
      <c r="C2288" s="11"/>
      <c r="K2288" s="11"/>
    </row>
    <row r="2289" spans="3:11">
      <c r="C2289" s="11"/>
      <c r="K2289" s="11"/>
    </row>
    <row r="2290" spans="3:11">
      <c r="C2290" s="11"/>
      <c r="K2290" s="11"/>
    </row>
    <row r="2291" spans="3:11">
      <c r="C2291" s="11"/>
      <c r="K2291" s="11"/>
    </row>
    <row r="2292" spans="3:11">
      <c r="C2292" s="11"/>
      <c r="K2292" s="11"/>
    </row>
    <row r="2293" spans="3:11">
      <c r="C2293" s="11"/>
      <c r="K2293" s="11"/>
    </row>
    <row r="2294" spans="3:11">
      <c r="C2294" s="11"/>
      <c r="K2294" s="11"/>
    </row>
    <row r="2295" spans="3:11">
      <c r="C2295" s="11"/>
      <c r="K2295" s="11"/>
    </row>
    <row r="2296" spans="3:11">
      <c r="C2296" s="11"/>
      <c r="K2296" s="11"/>
    </row>
    <row r="2297" spans="3:11">
      <c r="C2297" s="11"/>
      <c r="K2297" s="11"/>
    </row>
    <row r="2298" spans="3:11">
      <c r="C2298" s="11"/>
      <c r="K2298" s="11"/>
    </row>
    <row r="2299" spans="3:11">
      <c r="C2299" s="11"/>
      <c r="K2299" s="11"/>
    </row>
    <row r="2300" spans="3:11">
      <c r="C2300" s="11"/>
      <c r="K2300" s="11"/>
    </row>
    <row r="2301" spans="3:11">
      <c r="C2301" s="11"/>
      <c r="K2301" s="11"/>
    </row>
    <row r="2302" spans="3:11">
      <c r="C2302" s="11"/>
      <c r="K2302" s="11"/>
    </row>
    <row r="2303" spans="3:11">
      <c r="C2303" s="11"/>
      <c r="K2303" s="11"/>
    </row>
    <row r="2304" spans="3:11">
      <c r="C2304" s="11"/>
      <c r="K2304" s="11"/>
    </row>
    <row r="2305" spans="3:11">
      <c r="C2305" s="11"/>
      <c r="K2305" s="11"/>
    </row>
    <row r="2306" spans="3:11">
      <c r="C2306" s="11"/>
      <c r="K2306" s="11"/>
    </row>
    <row r="2307" spans="3:11">
      <c r="C2307" s="11"/>
      <c r="K2307" s="11"/>
    </row>
    <row r="2308" spans="3:11">
      <c r="C2308" s="11"/>
      <c r="K2308" s="11"/>
    </row>
    <row r="2309" spans="3:11">
      <c r="C2309" s="11"/>
      <c r="K2309" s="11"/>
    </row>
    <row r="2310" spans="3:11">
      <c r="C2310" s="11"/>
      <c r="K2310" s="11"/>
    </row>
    <row r="2311" spans="3:11">
      <c r="C2311" s="11"/>
      <c r="K2311" s="11"/>
    </row>
    <row r="2312" spans="3:11">
      <c r="C2312" s="11"/>
      <c r="K2312" s="11"/>
    </row>
    <row r="2313" spans="3:11">
      <c r="C2313" s="11"/>
      <c r="K2313" s="11"/>
    </row>
    <row r="2314" spans="3:11">
      <c r="C2314" s="11"/>
      <c r="K2314" s="11"/>
    </row>
    <row r="2315" spans="3:11">
      <c r="C2315" s="11"/>
      <c r="K2315" s="11"/>
    </row>
    <row r="2316" spans="3:11">
      <c r="C2316" s="11"/>
      <c r="K2316" s="11"/>
    </row>
    <row r="2317" spans="3:11">
      <c r="C2317" s="11"/>
      <c r="K2317" s="11"/>
    </row>
    <row r="2318" spans="3:11">
      <c r="C2318" s="11"/>
      <c r="K2318" s="11"/>
    </row>
    <row r="2319" spans="3:11">
      <c r="C2319" s="11"/>
      <c r="K2319" s="11"/>
    </row>
    <row r="2320" spans="3:11">
      <c r="C2320" s="11"/>
      <c r="K2320" s="11"/>
    </row>
    <row r="2321" spans="3:11">
      <c r="C2321" s="11"/>
      <c r="K2321" s="11"/>
    </row>
    <row r="2322" spans="3:11">
      <c r="C2322" s="11"/>
      <c r="K2322" s="11"/>
    </row>
    <row r="2323" spans="3:11">
      <c r="C2323" s="11"/>
      <c r="K2323" s="11"/>
    </row>
    <row r="2324" spans="3:11">
      <c r="C2324" s="11"/>
      <c r="K2324" s="11"/>
    </row>
    <row r="2325" spans="3:11">
      <c r="C2325" s="11"/>
      <c r="K2325" s="11"/>
    </row>
    <row r="2326" spans="3:11">
      <c r="C2326" s="11"/>
      <c r="K2326" s="11"/>
    </row>
    <row r="2327" spans="3:11">
      <c r="C2327" s="11"/>
      <c r="K2327" s="11"/>
    </row>
    <row r="2328" spans="3:11">
      <c r="C2328" s="11"/>
      <c r="K2328" s="11"/>
    </row>
    <row r="2329" spans="3:11">
      <c r="C2329" s="11"/>
      <c r="K2329" s="11"/>
    </row>
    <row r="2330" spans="3:11">
      <c r="C2330" s="11"/>
      <c r="K2330" s="11"/>
    </row>
    <row r="2331" spans="3:11">
      <c r="C2331" s="11"/>
      <c r="K2331" s="11"/>
    </row>
    <row r="2332" spans="3:11">
      <c r="C2332" s="11"/>
      <c r="K2332" s="11"/>
    </row>
    <row r="2333" spans="3:11">
      <c r="C2333" s="11"/>
      <c r="K2333" s="11"/>
    </row>
    <row r="2334" spans="3:11">
      <c r="C2334" s="11"/>
      <c r="K2334" s="11"/>
    </row>
    <row r="2335" spans="3:11">
      <c r="C2335" s="11"/>
      <c r="K2335" s="11"/>
    </row>
    <row r="2336" spans="3:11">
      <c r="C2336" s="11"/>
      <c r="K2336" s="11"/>
    </row>
    <row r="2337" spans="3:11">
      <c r="C2337" s="11"/>
      <c r="K2337" s="11"/>
    </row>
    <row r="2338" spans="3:11">
      <c r="C2338" s="11"/>
      <c r="K2338" s="11"/>
    </row>
    <row r="2339" spans="3:11">
      <c r="C2339" s="11"/>
      <c r="K2339" s="11"/>
    </row>
    <row r="2340" spans="3:11">
      <c r="C2340" s="11"/>
      <c r="K2340" s="11"/>
    </row>
    <row r="2341" spans="3:11">
      <c r="C2341" s="11"/>
      <c r="K2341" s="11"/>
    </row>
    <row r="2342" spans="3:11">
      <c r="C2342" s="11"/>
      <c r="K2342" s="11"/>
    </row>
    <row r="2343" spans="3:11">
      <c r="C2343" s="11"/>
      <c r="K2343" s="11"/>
    </row>
    <row r="2344" spans="3:11">
      <c r="C2344" s="11"/>
      <c r="K2344" s="11"/>
    </row>
    <row r="2345" spans="3:11">
      <c r="C2345" s="11"/>
      <c r="K2345" s="11"/>
    </row>
    <row r="2346" spans="3:11">
      <c r="C2346" s="11"/>
      <c r="K2346" s="11"/>
    </row>
    <row r="2347" spans="3:11">
      <c r="C2347" s="11"/>
      <c r="K2347" s="11"/>
    </row>
    <row r="2348" spans="3:11">
      <c r="C2348" s="11"/>
      <c r="K2348" s="11"/>
    </row>
    <row r="2349" spans="3:11">
      <c r="C2349" s="11"/>
      <c r="K2349" s="11"/>
    </row>
    <row r="2350" spans="3:11">
      <c r="C2350" s="11"/>
      <c r="K2350" s="11"/>
    </row>
    <row r="2351" spans="3:11">
      <c r="C2351" s="11"/>
      <c r="K2351" s="11"/>
    </row>
    <row r="2352" spans="3:11">
      <c r="C2352" s="11"/>
      <c r="K2352" s="11"/>
    </row>
    <row r="2353" spans="3:11">
      <c r="C2353" s="11"/>
      <c r="K2353" s="11"/>
    </row>
    <row r="2354" spans="3:11">
      <c r="C2354" s="11"/>
      <c r="K2354" s="11"/>
    </row>
    <row r="2355" spans="3:11">
      <c r="C2355" s="11"/>
      <c r="K2355" s="11"/>
    </row>
    <row r="2356" spans="3:11">
      <c r="C2356" s="11"/>
      <c r="K2356" s="11"/>
    </row>
    <row r="2357" spans="3:11">
      <c r="C2357" s="11"/>
      <c r="K2357" s="11"/>
    </row>
    <row r="2358" spans="3:11">
      <c r="C2358" s="11"/>
      <c r="K2358" s="11"/>
    </row>
    <row r="2359" spans="3:11">
      <c r="C2359" s="11"/>
      <c r="K2359" s="11"/>
    </row>
    <row r="2360" spans="3:11">
      <c r="C2360" s="11"/>
      <c r="K2360" s="11"/>
    </row>
    <row r="2361" spans="3:11">
      <c r="C2361" s="11"/>
      <c r="K2361" s="11"/>
    </row>
    <row r="2362" spans="3:11">
      <c r="C2362" s="11"/>
      <c r="K2362" s="11"/>
    </row>
    <row r="2363" spans="3:11">
      <c r="C2363" s="11"/>
      <c r="K2363" s="11"/>
    </row>
    <row r="2364" spans="3:11">
      <c r="C2364" s="11"/>
      <c r="K2364" s="11"/>
    </row>
    <row r="2365" spans="3:11">
      <c r="C2365" s="11"/>
      <c r="K2365" s="11"/>
    </row>
    <row r="2366" spans="3:11">
      <c r="C2366" s="11"/>
      <c r="K2366" s="11"/>
    </row>
    <row r="2367" spans="3:11">
      <c r="C2367" s="11"/>
      <c r="K2367" s="11"/>
    </row>
    <row r="2368" spans="3:11">
      <c r="C2368" s="11"/>
      <c r="K2368" s="11"/>
    </row>
    <row r="2369" spans="3:11">
      <c r="C2369" s="11"/>
      <c r="K2369" s="11"/>
    </row>
    <row r="2370" spans="3:11">
      <c r="C2370" s="11"/>
      <c r="K2370" s="11"/>
    </row>
    <row r="2371" spans="3:11">
      <c r="C2371" s="11"/>
      <c r="K2371" s="11"/>
    </row>
    <row r="2372" spans="3:11">
      <c r="C2372" s="11"/>
      <c r="K2372" s="11"/>
    </row>
    <row r="2373" spans="3:11">
      <c r="C2373" s="11"/>
      <c r="K2373" s="11"/>
    </row>
    <row r="2374" spans="3:11">
      <c r="C2374" s="11"/>
      <c r="K2374" s="11"/>
    </row>
    <row r="2375" spans="3:11">
      <c r="C2375" s="11"/>
      <c r="K2375" s="11"/>
    </row>
    <row r="2376" spans="3:11">
      <c r="C2376" s="11"/>
      <c r="K2376" s="11"/>
    </row>
    <row r="2377" spans="3:11">
      <c r="C2377" s="11"/>
      <c r="K2377" s="11"/>
    </row>
    <row r="2378" spans="3:11">
      <c r="C2378" s="11"/>
      <c r="K2378" s="11"/>
    </row>
    <row r="2379" spans="3:11">
      <c r="C2379" s="11"/>
      <c r="K2379" s="11"/>
    </row>
    <row r="2380" spans="3:11">
      <c r="C2380" s="11"/>
      <c r="K2380" s="11"/>
    </row>
    <row r="2381" spans="3:11">
      <c r="C2381" s="11"/>
      <c r="K2381" s="11"/>
    </row>
    <row r="2382" spans="3:11">
      <c r="C2382" s="11"/>
      <c r="K2382" s="11"/>
    </row>
    <row r="2383" spans="3:11">
      <c r="C2383" s="11"/>
      <c r="K2383" s="11"/>
    </row>
    <row r="2384" spans="3:11">
      <c r="C2384" s="11"/>
      <c r="K2384" s="11"/>
    </row>
    <row r="2385" spans="3:11">
      <c r="C2385" s="11"/>
      <c r="K2385" s="11"/>
    </row>
    <row r="2386" spans="3:11">
      <c r="C2386" s="11"/>
      <c r="K2386" s="11"/>
    </row>
    <row r="2387" spans="3:11">
      <c r="C2387" s="11"/>
      <c r="K2387" s="11"/>
    </row>
    <row r="2388" spans="3:11">
      <c r="C2388" s="11"/>
      <c r="K2388" s="11"/>
    </row>
    <row r="2389" spans="3:11">
      <c r="C2389" s="11"/>
      <c r="K2389" s="11"/>
    </row>
    <row r="2390" spans="3:11">
      <c r="C2390" s="11"/>
      <c r="K2390" s="11"/>
    </row>
    <row r="2391" spans="3:11">
      <c r="C2391" s="11"/>
      <c r="K2391" s="11"/>
    </row>
    <row r="2392" spans="3:11">
      <c r="C2392" s="11"/>
      <c r="K2392" s="11"/>
    </row>
    <row r="2393" spans="3:11">
      <c r="C2393" s="11"/>
      <c r="K2393" s="11"/>
    </row>
    <row r="2394" spans="3:11">
      <c r="C2394" s="11"/>
      <c r="K2394" s="11"/>
    </row>
    <row r="2395" spans="3:11">
      <c r="C2395" s="11"/>
      <c r="K2395" s="11"/>
    </row>
    <row r="2396" spans="3:11">
      <c r="C2396" s="11"/>
      <c r="K2396" s="11"/>
    </row>
    <row r="2397" spans="3:11">
      <c r="C2397" s="11"/>
      <c r="K2397" s="11"/>
    </row>
    <row r="2398" spans="3:11">
      <c r="C2398" s="11"/>
      <c r="K2398" s="11"/>
    </row>
    <row r="2399" spans="3:11">
      <c r="C2399" s="11"/>
      <c r="K2399" s="11"/>
    </row>
    <row r="2400" spans="3:11">
      <c r="C2400" s="11"/>
      <c r="K2400" s="11"/>
    </row>
    <row r="2401" spans="3:11">
      <c r="C2401" s="11"/>
      <c r="K2401" s="11"/>
    </row>
    <row r="2402" spans="3:11">
      <c r="C2402" s="11"/>
      <c r="K2402" s="11"/>
    </row>
    <row r="2403" spans="3:11">
      <c r="C2403" s="11"/>
      <c r="K2403" s="11"/>
    </row>
    <row r="2404" spans="3:11">
      <c r="C2404" s="11"/>
      <c r="K2404" s="11"/>
    </row>
    <row r="2405" spans="3:11">
      <c r="C2405" s="11"/>
      <c r="K2405" s="11"/>
    </row>
    <row r="2406" spans="3:11">
      <c r="C2406" s="11"/>
      <c r="K2406" s="11"/>
    </row>
    <row r="2407" spans="3:11">
      <c r="C2407" s="11"/>
      <c r="K2407" s="11"/>
    </row>
    <row r="2408" spans="3:11">
      <c r="C2408" s="11"/>
      <c r="K2408" s="11"/>
    </row>
    <row r="2409" spans="3:11">
      <c r="C2409" s="11"/>
      <c r="K2409" s="11"/>
    </row>
    <row r="2410" spans="3:11">
      <c r="C2410" s="11"/>
      <c r="K2410" s="11"/>
    </row>
    <row r="2411" spans="3:11">
      <c r="C2411" s="11"/>
      <c r="K2411" s="11"/>
    </row>
    <row r="2412" spans="3:11">
      <c r="C2412" s="11"/>
      <c r="K2412" s="11"/>
    </row>
    <row r="2413" spans="3:11">
      <c r="C2413" s="11"/>
      <c r="K2413" s="11"/>
    </row>
    <row r="2414" spans="3:11">
      <c r="C2414" s="11"/>
      <c r="K2414" s="11"/>
    </row>
    <row r="2415" spans="3:11">
      <c r="C2415" s="11"/>
      <c r="K2415" s="11"/>
    </row>
    <row r="2416" spans="3:11">
      <c r="C2416" s="11"/>
      <c r="K2416" s="11"/>
    </row>
    <row r="2417" spans="3:11">
      <c r="C2417" s="11"/>
      <c r="K2417" s="11"/>
    </row>
    <row r="2418" spans="3:11">
      <c r="C2418" s="11"/>
      <c r="K2418" s="11"/>
    </row>
    <row r="2419" spans="3:11">
      <c r="C2419" s="11"/>
      <c r="K2419" s="11"/>
    </row>
    <row r="2420" spans="3:11">
      <c r="C2420" s="11"/>
      <c r="K2420" s="11"/>
    </row>
    <row r="2421" spans="3:11">
      <c r="C2421" s="11"/>
      <c r="K2421" s="11"/>
    </row>
    <row r="2422" spans="3:11">
      <c r="C2422" s="11"/>
      <c r="K2422" s="11"/>
    </row>
    <row r="2423" spans="3:11">
      <c r="C2423" s="11"/>
      <c r="K2423" s="11"/>
    </row>
    <row r="2424" spans="3:11">
      <c r="C2424" s="11"/>
      <c r="K2424" s="11"/>
    </row>
    <row r="2425" spans="3:11">
      <c r="C2425" s="11"/>
      <c r="K2425" s="11"/>
    </row>
    <row r="2426" spans="3:11">
      <c r="C2426" s="11"/>
      <c r="K2426" s="11"/>
    </row>
    <row r="2427" spans="3:11">
      <c r="C2427" s="11"/>
      <c r="K2427" s="11"/>
    </row>
    <row r="2428" spans="3:11">
      <c r="C2428" s="11"/>
      <c r="K2428" s="11"/>
    </row>
    <row r="2429" spans="3:11">
      <c r="C2429" s="11"/>
      <c r="K2429" s="11"/>
    </row>
    <row r="2430" spans="3:11">
      <c r="C2430" s="11"/>
      <c r="K2430" s="11"/>
    </row>
    <row r="2431" spans="3:11">
      <c r="C2431" s="11"/>
      <c r="K2431" s="11"/>
    </row>
    <row r="2432" spans="3:11">
      <c r="C2432" s="11"/>
      <c r="K2432" s="11"/>
    </row>
    <row r="2433" spans="3:11">
      <c r="C2433" s="11"/>
      <c r="K2433" s="11"/>
    </row>
    <row r="2434" spans="3:11">
      <c r="C2434" s="11"/>
      <c r="K2434" s="11"/>
    </row>
    <row r="2435" spans="3:11">
      <c r="C2435" s="11"/>
      <c r="K2435" s="11"/>
    </row>
    <row r="2436" spans="3:11">
      <c r="C2436" s="11"/>
      <c r="K2436" s="11"/>
    </row>
    <row r="2437" spans="3:11">
      <c r="C2437" s="11"/>
      <c r="K2437" s="11"/>
    </row>
    <row r="2438" spans="3:11">
      <c r="C2438" s="11"/>
      <c r="K2438" s="11"/>
    </row>
    <row r="2439" spans="3:11">
      <c r="C2439" s="11"/>
      <c r="K2439" s="11"/>
    </row>
    <row r="2440" spans="3:11">
      <c r="C2440" s="11"/>
      <c r="K2440" s="11"/>
    </row>
    <row r="2441" spans="3:11">
      <c r="C2441" s="11"/>
      <c r="K2441" s="11"/>
    </row>
    <row r="2442" spans="3:11">
      <c r="C2442" s="11"/>
      <c r="K2442" s="11"/>
    </row>
    <row r="2443" spans="3:11">
      <c r="C2443" s="11"/>
      <c r="K2443" s="11"/>
    </row>
    <row r="2444" spans="3:11">
      <c r="C2444" s="11"/>
      <c r="K2444" s="11"/>
    </row>
    <row r="2445" spans="3:11">
      <c r="C2445" s="11"/>
      <c r="K2445" s="11"/>
    </row>
    <row r="2446" spans="3:11">
      <c r="C2446" s="11"/>
      <c r="K2446" s="11"/>
    </row>
    <row r="2447" spans="3:11">
      <c r="C2447" s="11"/>
      <c r="K2447" s="11"/>
    </row>
    <row r="2448" spans="3:11">
      <c r="C2448" s="11"/>
      <c r="K2448" s="11"/>
    </row>
    <row r="2449" spans="3:11">
      <c r="C2449" s="11"/>
      <c r="K2449" s="11"/>
    </row>
    <row r="2450" spans="3:11">
      <c r="C2450" s="11"/>
      <c r="K2450" s="11"/>
    </row>
    <row r="2451" spans="3:11">
      <c r="C2451" s="11"/>
      <c r="K2451" s="11"/>
    </row>
    <row r="2452" spans="3:11">
      <c r="C2452" s="11"/>
      <c r="K2452" s="11"/>
    </row>
    <row r="2453" spans="3:11">
      <c r="C2453" s="11"/>
      <c r="K2453" s="11"/>
    </row>
    <row r="2454" spans="3:11">
      <c r="C2454" s="11"/>
      <c r="K2454" s="11"/>
    </row>
    <row r="2455" spans="3:11">
      <c r="C2455" s="11"/>
      <c r="K2455" s="11"/>
    </row>
    <row r="2456" spans="3:11">
      <c r="C2456" s="11"/>
      <c r="K2456" s="11"/>
    </row>
    <row r="2457" spans="3:11">
      <c r="C2457" s="11"/>
      <c r="K2457" s="11"/>
    </row>
    <row r="2458" spans="3:11">
      <c r="C2458" s="11"/>
      <c r="K2458" s="11"/>
    </row>
    <row r="2459" spans="3:11">
      <c r="C2459" s="11"/>
      <c r="K2459" s="11"/>
    </row>
    <row r="2460" spans="3:11">
      <c r="C2460" s="11"/>
      <c r="K2460" s="11"/>
    </row>
    <row r="2461" spans="3:11">
      <c r="C2461" s="11"/>
      <c r="K2461" s="11"/>
    </row>
    <row r="2462" spans="3:11">
      <c r="C2462" s="11"/>
      <c r="K2462" s="11"/>
    </row>
    <row r="2463" spans="3:11">
      <c r="C2463" s="11"/>
      <c r="K2463" s="11"/>
    </row>
    <row r="2464" spans="3:11">
      <c r="C2464" s="11"/>
      <c r="K2464" s="11"/>
    </row>
    <row r="2465" spans="3:11">
      <c r="C2465" s="11"/>
      <c r="K2465" s="11"/>
    </row>
    <row r="2466" spans="3:11">
      <c r="C2466" s="11"/>
      <c r="K2466" s="11"/>
    </row>
    <row r="2467" spans="3:11">
      <c r="C2467" s="11"/>
      <c r="K2467" s="11"/>
    </row>
    <row r="2468" spans="3:11">
      <c r="C2468" s="11"/>
      <c r="K2468" s="11"/>
    </row>
    <row r="2469" spans="3:11">
      <c r="C2469" s="11"/>
      <c r="K2469" s="11"/>
    </row>
    <row r="2470" spans="3:11">
      <c r="C2470" s="11"/>
      <c r="K2470" s="11"/>
    </row>
    <row r="2471" spans="3:11">
      <c r="C2471" s="11"/>
      <c r="K2471" s="11"/>
    </row>
    <row r="2472" spans="3:11">
      <c r="C2472" s="11"/>
      <c r="K2472" s="11"/>
    </row>
    <row r="2473" spans="3:11">
      <c r="C2473" s="11"/>
      <c r="K2473" s="11"/>
    </row>
    <row r="2474" spans="3:11">
      <c r="C2474" s="11"/>
      <c r="K2474" s="11"/>
    </row>
    <row r="2475" spans="3:11">
      <c r="C2475" s="11"/>
      <c r="K2475" s="11"/>
    </row>
    <row r="2476" spans="3:11">
      <c r="C2476" s="11"/>
      <c r="K2476" s="11"/>
    </row>
    <row r="2477" spans="3:11">
      <c r="C2477" s="11"/>
      <c r="K2477" s="11"/>
    </row>
    <row r="2478" spans="3:11">
      <c r="C2478" s="11"/>
      <c r="K2478" s="11"/>
    </row>
    <row r="2479" spans="3:11">
      <c r="C2479" s="11"/>
      <c r="K2479" s="11"/>
    </row>
    <row r="2480" spans="3:11">
      <c r="C2480" s="11"/>
      <c r="K2480" s="11"/>
    </row>
    <row r="2481" spans="3:11">
      <c r="C2481" s="11"/>
      <c r="K2481" s="11"/>
    </row>
    <row r="2482" spans="3:11">
      <c r="C2482" s="11"/>
      <c r="K2482" s="11"/>
    </row>
    <row r="2483" spans="3:11">
      <c r="C2483" s="11"/>
      <c r="K2483" s="11"/>
    </row>
    <row r="2484" spans="3:11">
      <c r="C2484" s="11"/>
      <c r="K2484" s="11"/>
    </row>
    <row r="2485" spans="3:11">
      <c r="C2485" s="11"/>
      <c r="K2485" s="11"/>
    </row>
    <row r="2486" spans="3:11">
      <c r="C2486" s="11"/>
      <c r="K2486" s="11"/>
    </row>
    <row r="2487" spans="3:11">
      <c r="C2487" s="11"/>
      <c r="K2487" s="11"/>
    </row>
    <row r="2488" spans="3:11">
      <c r="C2488" s="11"/>
      <c r="K2488" s="11"/>
    </row>
    <row r="2489" spans="3:11">
      <c r="C2489" s="11"/>
      <c r="K2489" s="11"/>
    </row>
    <row r="2490" spans="3:11">
      <c r="C2490" s="11"/>
      <c r="K2490" s="11"/>
    </row>
    <row r="2491" spans="3:11">
      <c r="C2491" s="11"/>
      <c r="K2491" s="11"/>
    </row>
    <row r="2492" spans="3:11">
      <c r="C2492" s="11"/>
      <c r="K2492" s="11"/>
    </row>
    <row r="2493" spans="3:11">
      <c r="C2493" s="11"/>
      <c r="K2493" s="11"/>
    </row>
    <row r="2494" spans="3:11">
      <c r="C2494" s="11"/>
      <c r="K2494" s="11"/>
    </row>
    <row r="2495" spans="3:11">
      <c r="C2495" s="11"/>
      <c r="K2495" s="11"/>
    </row>
    <row r="2496" spans="3:11">
      <c r="C2496" s="11"/>
      <c r="K2496" s="11"/>
    </row>
    <row r="2497" spans="3:11">
      <c r="C2497" s="11"/>
      <c r="K2497" s="11"/>
    </row>
    <row r="2498" spans="3:11">
      <c r="C2498" s="11"/>
      <c r="K2498" s="11"/>
    </row>
    <row r="2499" spans="3:11">
      <c r="C2499" s="11"/>
      <c r="K2499" s="11"/>
    </row>
    <row r="2500" spans="3:11">
      <c r="C2500" s="11"/>
      <c r="K2500" s="11"/>
    </row>
    <row r="2501" spans="3:11">
      <c r="C2501" s="11"/>
      <c r="K2501" s="11"/>
    </row>
    <row r="2502" spans="3:11">
      <c r="C2502" s="11"/>
      <c r="K2502" s="11"/>
    </row>
    <row r="2503" spans="3:11">
      <c r="C2503" s="11"/>
      <c r="K2503" s="11"/>
    </row>
    <row r="2504" spans="3:11">
      <c r="C2504" s="11"/>
      <c r="K2504" s="11"/>
    </row>
    <row r="2505" spans="3:11">
      <c r="C2505" s="11"/>
      <c r="K2505" s="11"/>
    </row>
    <row r="2506" spans="3:11">
      <c r="C2506" s="11"/>
      <c r="K2506" s="11"/>
    </row>
    <row r="2507" spans="3:11">
      <c r="C2507" s="11"/>
      <c r="K2507" s="11"/>
    </row>
    <row r="2508" spans="3:11">
      <c r="C2508" s="11"/>
      <c r="K2508" s="11"/>
    </row>
    <row r="2509" spans="3:11">
      <c r="C2509" s="11"/>
      <c r="K2509" s="11"/>
    </row>
    <row r="2510" spans="3:11">
      <c r="C2510" s="11"/>
      <c r="K2510" s="11"/>
    </row>
    <row r="2511" spans="3:11">
      <c r="C2511" s="11"/>
      <c r="K2511" s="11"/>
    </row>
    <row r="2512" spans="3:11">
      <c r="C2512" s="11"/>
      <c r="K2512" s="11"/>
    </row>
    <row r="2513" spans="3:11">
      <c r="C2513" s="11"/>
      <c r="K2513" s="11"/>
    </row>
    <row r="2514" spans="3:11">
      <c r="C2514" s="11"/>
      <c r="K2514" s="11"/>
    </row>
    <row r="2515" spans="3:11">
      <c r="C2515" s="11"/>
      <c r="K2515" s="11"/>
    </row>
    <row r="2516" spans="3:11">
      <c r="C2516" s="11"/>
      <c r="K2516" s="11"/>
    </row>
    <row r="2517" spans="3:11">
      <c r="C2517" s="11"/>
      <c r="K2517" s="11"/>
    </row>
    <row r="2518" spans="3:11">
      <c r="C2518" s="11"/>
      <c r="K2518" s="11"/>
    </row>
    <row r="2519" spans="3:11">
      <c r="C2519" s="11"/>
      <c r="K2519" s="11"/>
    </row>
    <row r="2520" spans="3:11">
      <c r="C2520" s="11"/>
      <c r="K2520" s="11"/>
    </row>
    <row r="2521" spans="3:11">
      <c r="C2521" s="11"/>
      <c r="K2521" s="11"/>
    </row>
    <row r="2522" spans="3:11">
      <c r="C2522" s="11"/>
      <c r="K2522" s="11"/>
    </row>
    <row r="2523" spans="3:11">
      <c r="C2523" s="11"/>
      <c r="K2523" s="11"/>
    </row>
    <row r="2524" spans="3:11">
      <c r="C2524" s="11"/>
      <c r="K2524" s="11"/>
    </row>
    <row r="2525" spans="3:11">
      <c r="C2525" s="11"/>
      <c r="K2525" s="11"/>
    </row>
    <row r="2526" spans="3:11">
      <c r="C2526" s="11"/>
      <c r="K2526" s="11"/>
    </row>
    <row r="2527" spans="3:11">
      <c r="C2527" s="11"/>
      <c r="K2527" s="11"/>
    </row>
    <row r="2528" spans="3:11">
      <c r="C2528" s="11"/>
      <c r="K2528" s="11"/>
    </row>
    <row r="2529" spans="3:11">
      <c r="C2529" s="11"/>
      <c r="K2529" s="11"/>
    </row>
    <row r="2530" spans="3:11">
      <c r="C2530" s="11"/>
      <c r="K2530" s="11"/>
    </row>
    <row r="2531" spans="3:11">
      <c r="C2531" s="11"/>
      <c r="K2531" s="11"/>
    </row>
    <row r="2532" spans="3:11">
      <c r="C2532" s="11"/>
      <c r="K2532" s="11"/>
    </row>
    <row r="2533" spans="3:11">
      <c r="C2533" s="11"/>
      <c r="K2533" s="11"/>
    </row>
    <row r="2534" spans="3:11">
      <c r="C2534" s="11"/>
      <c r="K2534" s="11"/>
    </row>
    <row r="2535" spans="3:11">
      <c r="C2535" s="11"/>
      <c r="K2535" s="11"/>
    </row>
    <row r="2536" spans="3:11">
      <c r="C2536" s="11"/>
      <c r="K2536" s="11"/>
    </row>
    <row r="2537" spans="3:11">
      <c r="C2537" s="11"/>
      <c r="K2537" s="11"/>
    </row>
    <row r="2538" spans="3:11">
      <c r="C2538" s="11"/>
      <c r="K2538" s="11"/>
    </row>
    <row r="2539" spans="3:11">
      <c r="C2539" s="11"/>
      <c r="K2539" s="11"/>
    </row>
    <row r="2540" spans="3:11">
      <c r="C2540" s="11"/>
      <c r="K2540" s="11"/>
    </row>
    <row r="2541" spans="3:11">
      <c r="C2541" s="11"/>
      <c r="K2541" s="11"/>
    </row>
    <row r="2542" spans="3:11">
      <c r="C2542" s="11"/>
      <c r="K2542" s="11"/>
    </row>
    <row r="2543" spans="3:11">
      <c r="C2543" s="11"/>
      <c r="K2543" s="11"/>
    </row>
    <row r="2544" spans="3:11">
      <c r="C2544" s="11"/>
      <c r="K2544" s="11"/>
    </row>
    <row r="2545" spans="3:11">
      <c r="C2545" s="11"/>
      <c r="K2545" s="11"/>
    </row>
    <row r="2546" spans="3:11">
      <c r="C2546" s="11"/>
      <c r="K2546" s="11"/>
    </row>
    <row r="2547" spans="3:11">
      <c r="C2547" s="11"/>
      <c r="K2547" s="11"/>
    </row>
    <row r="2548" spans="3:11">
      <c r="C2548" s="11"/>
      <c r="K2548" s="11"/>
    </row>
    <row r="2549" spans="3:11">
      <c r="C2549" s="11"/>
      <c r="K2549" s="11"/>
    </row>
    <row r="2550" spans="3:11">
      <c r="C2550" s="11"/>
      <c r="K2550" s="11"/>
    </row>
    <row r="2551" spans="3:11">
      <c r="C2551" s="11"/>
      <c r="K2551" s="11"/>
    </row>
    <row r="2552" spans="3:11">
      <c r="C2552" s="11"/>
      <c r="K2552" s="11"/>
    </row>
    <row r="2553" spans="3:11">
      <c r="C2553" s="11"/>
      <c r="K2553" s="11"/>
    </row>
    <row r="2554" spans="3:11">
      <c r="C2554" s="11"/>
      <c r="K2554" s="11"/>
    </row>
    <row r="2555" spans="3:11">
      <c r="C2555" s="11"/>
      <c r="K2555" s="11"/>
    </row>
    <row r="2556" spans="3:11">
      <c r="C2556" s="11"/>
      <c r="K2556" s="11"/>
    </row>
    <row r="2557" spans="3:11">
      <c r="C2557" s="11"/>
      <c r="K2557" s="11"/>
    </row>
    <row r="2558" spans="3:11">
      <c r="C2558" s="11"/>
      <c r="K2558" s="11"/>
    </row>
    <row r="2559" spans="3:11">
      <c r="C2559" s="11"/>
      <c r="K2559" s="11"/>
    </row>
    <row r="2560" spans="3:11">
      <c r="C2560" s="11"/>
      <c r="K2560" s="11"/>
    </row>
    <row r="2561" spans="3:11">
      <c r="C2561" s="11"/>
      <c r="K2561" s="11"/>
    </row>
    <row r="2562" spans="3:11">
      <c r="C2562" s="11"/>
      <c r="K2562" s="11"/>
    </row>
    <row r="2563" spans="3:11">
      <c r="C2563" s="11"/>
      <c r="K2563" s="11"/>
    </row>
    <row r="2564" spans="3:11">
      <c r="C2564" s="11"/>
      <c r="K2564" s="11"/>
    </row>
    <row r="2565" spans="3:11">
      <c r="C2565" s="11"/>
      <c r="K2565" s="11"/>
    </row>
    <row r="2566" spans="3:11">
      <c r="C2566" s="11"/>
      <c r="K2566" s="11"/>
    </row>
    <row r="2567" spans="3:11">
      <c r="C2567" s="11"/>
      <c r="K2567" s="11"/>
    </row>
    <row r="2568" spans="3:11">
      <c r="C2568" s="11"/>
      <c r="K2568" s="11"/>
    </row>
    <row r="2569" spans="3:11">
      <c r="C2569" s="11"/>
      <c r="K2569" s="11"/>
    </row>
    <row r="2570" spans="3:11">
      <c r="C2570" s="11"/>
      <c r="K2570" s="11"/>
    </row>
    <row r="2571" spans="3:11">
      <c r="C2571" s="11"/>
      <c r="K2571" s="11"/>
    </row>
    <row r="2572" spans="3:11">
      <c r="C2572" s="11"/>
      <c r="K2572" s="11"/>
    </row>
    <row r="2573" spans="3:11">
      <c r="C2573" s="11"/>
      <c r="K2573" s="11"/>
    </row>
    <row r="2574" spans="3:11">
      <c r="C2574" s="11"/>
      <c r="K2574" s="11"/>
    </row>
    <row r="2575" spans="3:11">
      <c r="C2575" s="11"/>
      <c r="K2575" s="11"/>
    </row>
    <row r="2576" spans="3:11">
      <c r="C2576" s="11"/>
      <c r="K2576" s="11"/>
    </row>
    <row r="2577" spans="3:11">
      <c r="C2577" s="11"/>
      <c r="K2577" s="11"/>
    </row>
    <row r="2578" spans="3:11">
      <c r="C2578" s="11"/>
      <c r="K2578" s="11"/>
    </row>
    <row r="2579" spans="3:11">
      <c r="C2579" s="11"/>
      <c r="K2579" s="11"/>
    </row>
    <row r="2580" spans="3:11">
      <c r="C2580" s="11"/>
      <c r="K2580" s="11"/>
    </row>
    <row r="2581" spans="3:11">
      <c r="C2581" s="11"/>
      <c r="K2581" s="11"/>
    </row>
    <row r="2582" spans="3:11">
      <c r="C2582" s="11"/>
      <c r="K2582" s="11"/>
    </row>
    <row r="2583" spans="3:11">
      <c r="C2583" s="11"/>
      <c r="K2583" s="11"/>
    </row>
    <row r="2584" spans="3:11">
      <c r="C2584" s="11"/>
      <c r="K2584" s="11"/>
    </row>
    <row r="2585" spans="3:11">
      <c r="C2585" s="11"/>
      <c r="K2585" s="11"/>
    </row>
    <row r="2586" spans="3:11">
      <c r="C2586" s="11"/>
      <c r="K2586" s="11"/>
    </row>
    <row r="2587" spans="3:11">
      <c r="C2587" s="11"/>
      <c r="K2587" s="11"/>
    </row>
    <row r="2588" spans="3:11">
      <c r="C2588" s="11"/>
      <c r="K2588" s="11"/>
    </row>
    <row r="2589" spans="3:11">
      <c r="C2589" s="11"/>
      <c r="K2589" s="11"/>
    </row>
    <row r="2590" spans="3:11">
      <c r="C2590" s="11"/>
      <c r="K2590" s="11"/>
    </row>
    <row r="2591" spans="3:11">
      <c r="C2591" s="11"/>
      <c r="K2591" s="11"/>
    </row>
    <row r="2592" spans="3:11">
      <c r="C2592" s="11"/>
      <c r="K2592" s="11"/>
    </row>
    <row r="2593" spans="3:11">
      <c r="C2593" s="11"/>
      <c r="K2593" s="11"/>
    </row>
    <row r="2594" spans="3:11">
      <c r="C2594" s="11"/>
      <c r="K2594" s="11"/>
    </row>
    <row r="2595" spans="3:11">
      <c r="C2595" s="11"/>
      <c r="K2595" s="11"/>
    </row>
    <row r="2596" spans="3:11">
      <c r="C2596" s="11"/>
      <c r="K2596" s="11"/>
    </row>
    <row r="2597" spans="3:11">
      <c r="C2597" s="11"/>
      <c r="K2597" s="11"/>
    </row>
    <row r="2598" spans="3:11">
      <c r="C2598" s="11"/>
      <c r="K2598" s="11"/>
    </row>
    <row r="2599" spans="3:11">
      <c r="C2599" s="11"/>
      <c r="K2599" s="11"/>
    </row>
    <row r="2600" spans="3:11">
      <c r="C2600" s="11"/>
      <c r="K2600" s="11"/>
    </row>
    <row r="2601" spans="3:11">
      <c r="C2601" s="11"/>
      <c r="K2601" s="11"/>
    </row>
    <row r="2602" spans="3:11">
      <c r="C2602" s="11"/>
      <c r="K2602" s="11"/>
    </row>
    <row r="2603" spans="3:11">
      <c r="C2603" s="11"/>
      <c r="K2603" s="11"/>
    </row>
    <row r="2604" spans="3:11">
      <c r="C2604" s="11"/>
      <c r="K2604" s="11"/>
    </row>
    <row r="2605" spans="3:11">
      <c r="C2605" s="11"/>
      <c r="K2605" s="11"/>
    </row>
    <row r="2606" spans="3:11">
      <c r="C2606" s="11"/>
      <c r="K2606" s="11"/>
    </row>
    <row r="2607" spans="3:11">
      <c r="C2607" s="11"/>
      <c r="K2607" s="11"/>
    </row>
    <row r="2608" spans="3:11">
      <c r="C2608" s="11"/>
      <c r="K2608" s="11"/>
    </row>
    <row r="2609" spans="3:11">
      <c r="C2609" s="11"/>
      <c r="K2609" s="11"/>
    </row>
    <row r="2610" spans="3:11">
      <c r="C2610" s="11"/>
      <c r="K2610" s="11"/>
    </row>
    <row r="2611" spans="3:11">
      <c r="C2611" s="11"/>
      <c r="K2611" s="11"/>
    </row>
    <row r="2612" spans="3:11">
      <c r="C2612" s="11"/>
      <c r="K2612" s="11"/>
    </row>
    <row r="2613" spans="3:11">
      <c r="C2613" s="11"/>
      <c r="K2613" s="11"/>
    </row>
    <row r="2614" spans="3:11">
      <c r="C2614" s="11"/>
      <c r="K2614" s="11"/>
    </row>
    <row r="2615" spans="3:11">
      <c r="C2615" s="11"/>
      <c r="K2615" s="11"/>
    </row>
    <row r="2616" spans="3:11">
      <c r="C2616" s="11"/>
      <c r="K2616" s="11"/>
    </row>
    <row r="2617" spans="3:11">
      <c r="C2617" s="11"/>
      <c r="K2617" s="11"/>
    </row>
    <row r="2618" spans="3:11">
      <c r="C2618" s="11"/>
      <c r="K2618" s="11"/>
    </row>
    <row r="2619" spans="3:11">
      <c r="C2619" s="11"/>
      <c r="K2619" s="11"/>
    </row>
    <row r="2620" spans="3:11">
      <c r="C2620" s="11"/>
      <c r="K2620" s="11"/>
    </row>
    <row r="2621" spans="3:11">
      <c r="C2621" s="11"/>
      <c r="K2621" s="11"/>
    </row>
    <row r="2622" spans="3:11">
      <c r="C2622" s="11"/>
      <c r="K2622" s="11"/>
    </row>
    <row r="2623" spans="3:11">
      <c r="C2623" s="11"/>
      <c r="K2623" s="11"/>
    </row>
    <row r="2624" spans="3:11">
      <c r="C2624" s="11"/>
      <c r="K2624" s="11"/>
    </row>
    <row r="2625" spans="3:11">
      <c r="C2625" s="11"/>
      <c r="K2625" s="11"/>
    </row>
    <row r="2626" spans="3:11">
      <c r="C2626" s="11"/>
      <c r="K2626" s="11"/>
    </row>
    <row r="2627" spans="3:11">
      <c r="C2627" s="11"/>
      <c r="K2627" s="11"/>
    </row>
    <row r="2628" spans="3:11">
      <c r="C2628" s="11"/>
      <c r="K2628" s="11"/>
    </row>
    <row r="2629" spans="3:11">
      <c r="C2629" s="11"/>
      <c r="K2629" s="11"/>
    </row>
    <row r="2630" spans="3:11">
      <c r="C2630" s="11"/>
      <c r="K2630" s="11"/>
    </row>
    <row r="2631" spans="3:11">
      <c r="C2631" s="11"/>
      <c r="K2631" s="11"/>
    </row>
    <row r="2632" spans="3:11">
      <c r="C2632" s="11"/>
      <c r="K2632" s="11"/>
    </row>
    <row r="2633" spans="3:11">
      <c r="C2633" s="11"/>
      <c r="K2633" s="11"/>
    </row>
    <row r="2634" spans="3:11">
      <c r="C2634" s="11"/>
      <c r="K2634" s="11"/>
    </row>
    <row r="2635" spans="3:11">
      <c r="C2635" s="11"/>
      <c r="K2635" s="11"/>
    </row>
    <row r="2636" spans="3:11">
      <c r="C2636" s="11"/>
      <c r="K2636" s="11"/>
    </row>
    <row r="2637" spans="3:11">
      <c r="C2637" s="11"/>
      <c r="K2637" s="11"/>
    </row>
    <row r="2638" spans="3:11">
      <c r="C2638" s="11"/>
      <c r="K2638" s="11"/>
    </row>
    <row r="2639" spans="3:11">
      <c r="C2639" s="11"/>
      <c r="K2639" s="11"/>
    </row>
    <row r="2640" spans="3:11">
      <c r="C2640" s="11"/>
      <c r="K2640" s="11"/>
    </row>
    <row r="2641" spans="3:11">
      <c r="C2641" s="11"/>
      <c r="K2641" s="11"/>
    </row>
    <row r="2642" spans="3:11">
      <c r="C2642" s="11"/>
      <c r="K2642" s="11"/>
    </row>
    <row r="2643" spans="3:11">
      <c r="C2643" s="11"/>
      <c r="K2643" s="11"/>
    </row>
    <row r="2644" spans="3:11">
      <c r="C2644" s="11"/>
      <c r="K2644" s="11"/>
    </row>
    <row r="2645" spans="3:11">
      <c r="C2645" s="11"/>
      <c r="K2645" s="11"/>
    </row>
    <row r="2646" spans="3:11">
      <c r="C2646" s="11"/>
      <c r="K2646" s="11"/>
    </row>
    <row r="2647" spans="3:11">
      <c r="C2647" s="11"/>
      <c r="K2647" s="11"/>
    </row>
    <row r="2648" spans="3:11">
      <c r="C2648" s="11"/>
      <c r="K2648" s="11"/>
    </row>
    <row r="2649" spans="3:11">
      <c r="C2649" s="11"/>
      <c r="K2649" s="11"/>
    </row>
    <row r="2650" spans="3:11">
      <c r="C2650" s="11"/>
      <c r="K2650" s="11"/>
    </row>
    <row r="2651" spans="3:11">
      <c r="C2651" s="11"/>
      <c r="K2651" s="11"/>
    </row>
    <row r="2652" spans="3:11">
      <c r="C2652" s="11"/>
      <c r="K2652" s="11"/>
    </row>
    <row r="2653" spans="3:11">
      <c r="C2653" s="11"/>
      <c r="K2653" s="11"/>
    </row>
    <row r="2654" spans="3:11">
      <c r="C2654" s="11"/>
      <c r="K2654" s="11"/>
    </row>
    <row r="2655" spans="3:11">
      <c r="C2655" s="11"/>
      <c r="K2655" s="11"/>
    </row>
    <row r="2656" spans="3:11">
      <c r="C2656" s="11"/>
      <c r="K2656" s="11"/>
    </row>
    <row r="2657" spans="3:11">
      <c r="C2657" s="11"/>
      <c r="K2657" s="11"/>
    </row>
    <row r="2658" spans="3:11">
      <c r="C2658" s="11"/>
      <c r="K2658" s="11"/>
    </row>
    <row r="2659" spans="3:11">
      <c r="C2659" s="11"/>
      <c r="K2659" s="11"/>
    </row>
    <row r="2660" spans="3:11">
      <c r="C2660" s="11"/>
      <c r="K2660" s="11"/>
    </row>
    <row r="2661" spans="3:11">
      <c r="C2661" s="11"/>
      <c r="K2661" s="11"/>
    </row>
    <row r="2662" spans="3:11">
      <c r="C2662" s="11"/>
      <c r="K2662" s="11"/>
    </row>
    <row r="2663" spans="3:11">
      <c r="C2663" s="11"/>
      <c r="K2663" s="11"/>
    </row>
    <row r="2664" spans="3:11">
      <c r="C2664" s="11"/>
      <c r="K2664" s="11"/>
    </row>
    <row r="2665" spans="3:11">
      <c r="C2665" s="11"/>
      <c r="K2665" s="11"/>
    </row>
    <row r="2666" spans="3:11">
      <c r="C2666" s="11"/>
      <c r="K2666" s="11"/>
    </row>
    <row r="2667" spans="3:11">
      <c r="C2667" s="11"/>
      <c r="K2667" s="11"/>
    </row>
    <row r="2668" spans="3:11">
      <c r="C2668" s="11"/>
      <c r="K2668" s="11"/>
    </row>
    <row r="2669" spans="3:11">
      <c r="C2669" s="11"/>
      <c r="K2669" s="11"/>
    </row>
    <row r="2670" spans="3:11">
      <c r="C2670" s="11"/>
      <c r="K2670" s="11"/>
    </row>
    <row r="2671" spans="3:11">
      <c r="C2671" s="11"/>
      <c r="K2671" s="11"/>
    </row>
    <row r="2672" spans="3:11">
      <c r="C2672" s="11"/>
      <c r="K2672" s="11"/>
    </row>
    <row r="2673" spans="3:11">
      <c r="C2673" s="11"/>
      <c r="K2673" s="11"/>
    </row>
    <row r="2674" spans="3:11">
      <c r="C2674" s="11"/>
      <c r="K2674" s="11"/>
    </row>
    <row r="2675" spans="3:11">
      <c r="C2675" s="11"/>
      <c r="K2675" s="11"/>
    </row>
    <row r="2676" spans="3:11">
      <c r="C2676" s="11"/>
      <c r="K2676" s="11"/>
    </row>
    <row r="2677" spans="3:11">
      <c r="C2677" s="11"/>
      <c r="K2677" s="11"/>
    </row>
    <row r="2678" spans="3:11">
      <c r="C2678" s="11"/>
      <c r="K2678" s="11"/>
    </row>
    <row r="2679" spans="3:11">
      <c r="C2679" s="11"/>
      <c r="K2679" s="11"/>
    </row>
    <row r="2680" spans="3:11">
      <c r="C2680" s="11"/>
      <c r="K2680" s="11"/>
    </row>
    <row r="2681" spans="3:11">
      <c r="C2681" s="11"/>
      <c r="K2681" s="11"/>
    </row>
    <row r="2682" spans="3:11">
      <c r="C2682" s="11"/>
      <c r="K2682" s="11"/>
    </row>
    <row r="2683" spans="3:11">
      <c r="C2683" s="11"/>
      <c r="K2683" s="11"/>
    </row>
    <row r="2684" spans="3:11">
      <c r="C2684" s="11"/>
      <c r="K2684" s="11"/>
    </row>
    <row r="2685" spans="3:11">
      <c r="C2685" s="11"/>
      <c r="K2685" s="11"/>
    </row>
    <row r="2686" spans="3:11">
      <c r="C2686" s="11"/>
      <c r="K2686" s="11"/>
    </row>
    <row r="2687" spans="3:11">
      <c r="C2687" s="11"/>
      <c r="K2687" s="11"/>
    </row>
    <row r="2688" spans="3:11">
      <c r="C2688" s="11"/>
      <c r="K2688" s="11"/>
    </row>
    <row r="2689" spans="3:11">
      <c r="C2689" s="11"/>
      <c r="K2689" s="11"/>
    </row>
    <row r="2690" spans="3:11">
      <c r="C2690" s="11"/>
      <c r="K2690" s="11"/>
    </row>
    <row r="2691" spans="3:11">
      <c r="C2691" s="11"/>
      <c r="K2691" s="11"/>
    </row>
    <row r="2692" spans="3:11">
      <c r="C2692" s="11"/>
      <c r="K2692" s="11"/>
    </row>
    <row r="2693" spans="3:11">
      <c r="C2693" s="11"/>
      <c r="K2693" s="11"/>
    </row>
    <row r="2694" spans="3:11">
      <c r="C2694" s="11"/>
      <c r="K2694" s="11"/>
    </row>
    <row r="2695" spans="3:11">
      <c r="C2695" s="11"/>
      <c r="K2695" s="11"/>
    </row>
    <row r="2696" spans="3:11">
      <c r="C2696" s="11"/>
      <c r="K2696" s="11"/>
    </row>
    <row r="2697" spans="3:11">
      <c r="C2697" s="11"/>
      <c r="K2697" s="11"/>
    </row>
    <row r="2698" spans="3:11">
      <c r="C2698" s="11"/>
      <c r="K2698" s="11"/>
    </row>
    <row r="2699" spans="3:11">
      <c r="C2699" s="11"/>
      <c r="K2699" s="11"/>
    </row>
    <row r="2700" spans="3:11">
      <c r="C2700" s="11"/>
      <c r="K2700" s="11"/>
    </row>
    <row r="2701" spans="3:11">
      <c r="C2701" s="11"/>
      <c r="K2701" s="11"/>
    </row>
    <row r="2702" spans="3:11">
      <c r="C2702" s="11"/>
      <c r="K2702" s="11"/>
    </row>
    <row r="2703" spans="3:11">
      <c r="C2703" s="11"/>
      <c r="K2703" s="11"/>
    </row>
    <row r="2704" spans="3:11">
      <c r="C2704" s="11"/>
      <c r="K2704" s="11"/>
    </row>
    <row r="2705" spans="3:11">
      <c r="C2705" s="11"/>
      <c r="K2705" s="11"/>
    </row>
    <row r="2706" spans="3:11">
      <c r="C2706" s="11"/>
      <c r="K2706" s="11"/>
    </row>
    <row r="2707" spans="3:11">
      <c r="C2707" s="11"/>
      <c r="K2707" s="11"/>
    </row>
    <row r="2708" spans="3:11">
      <c r="C2708" s="11"/>
      <c r="K2708" s="11"/>
    </row>
    <row r="2709" spans="3:11">
      <c r="C2709" s="11"/>
      <c r="K2709" s="11"/>
    </row>
    <row r="2710" spans="3:11">
      <c r="C2710" s="11"/>
      <c r="K2710" s="11"/>
    </row>
    <row r="2711" spans="3:11">
      <c r="C2711" s="11"/>
      <c r="K2711" s="11"/>
    </row>
    <row r="2712" spans="3:11">
      <c r="C2712" s="11"/>
      <c r="K2712" s="11"/>
    </row>
    <row r="2713" spans="3:11">
      <c r="C2713" s="11"/>
      <c r="K2713" s="11"/>
    </row>
    <row r="2714" spans="3:11">
      <c r="C2714" s="11"/>
      <c r="K2714" s="11"/>
    </row>
    <row r="2715" spans="3:11">
      <c r="C2715" s="11"/>
      <c r="K2715" s="11"/>
    </row>
    <row r="2716" spans="3:11">
      <c r="C2716" s="11"/>
      <c r="K2716" s="11"/>
    </row>
    <row r="2717" spans="3:11">
      <c r="C2717" s="11"/>
      <c r="K2717" s="11"/>
    </row>
    <row r="2718" spans="3:11">
      <c r="C2718" s="11"/>
      <c r="K2718" s="11"/>
    </row>
    <row r="2719" spans="3:11">
      <c r="C2719" s="11"/>
      <c r="K2719" s="11"/>
    </row>
    <row r="2720" spans="3:11">
      <c r="C2720" s="11"/>
      <c r="K2720" s="11"/>
    </row>
    <row r="2721" spans="3:11">
      <c r="C2721" s="11"/>
      <c r="K2721" s="11"/>
    </row>
    <row r="2722" spans="3:11">
      <c r="C2722" s="11"/>
      <c r="K2722" s="11"/>
    </row>
    <row r="2723" spans="3:11">
      <c r="C2723" s="11"/>
      <c r="K2723" s="11"/>
    </row>
    <row r="2724" spans="3:11">
      <c r="C2724" s="11"/>
      <c r="K2724" s="11"/>
    </row>
    <row r="2725" spans="3:11">
      <c r="C2725" s="11"/>
      <c r="K2725" s="11"/>
    </row>
    <row r="2726" spans="3:11">
      <c r="C2726" s="11"/>
      <c r="K2726" s="11"/>
    </row>
    <row r="2727" spans="3:11">
      <c r="C2727" s="11"/>
      <c r="K2727" s="11"/>
    </row>
    <row r="2728" spans="3:11">
      <c r="C2728" s="11"/>
      <c r="K2728" s="11"/>
    </row>
    <row r="2729" spans="3:11">
      <c r="C2729" s="11"/>
      <c r="K2729" s="11"/>
    </row>
    <row r="2730" spans="3:11">
      <c r="C2730" s="11"/>
      <c r="K2730" s="11"/>
    </row>
    <row r="2731" spans="3:11">
      <c r="C2731" s="11"/>
      <c r="K2731" s="11"/>
    </row>
    <row r="2732" spans="3:11">
      <c r="C2732" s="11"/>
      <c r="K2732" s="11"/>
    </row>
    <row r="2733" spans="3:11">
      <c r="C2733" s="11"/>
      <c r="K2733" s="11"/>
    </row>
    <row r="2734" spans="3:11">
      <c r="C2734" s="11"/>
      <c r="K2734" s="11"/>
    </row>
    <row r="2735" spans="3:11">
      <c r="C2735" s="11"/>
      <c r="K2735" s="11"/>
    </row>
    <row r="2736" spans="3:11">
      <c r="C2736" s="11"/>
      <c r="K2736" s="11"/>
    </row>
    <row r="2737" spans="3:11">
      <c r="C2737" s="11"/>
      <c r="K2737" s="11"/>
    </row>
    <row r="2738" spans="3:11">
      <c r="C2738" s="11"/>
      <c r="K2738" s="11"/>
    </row>
    <row r="2739" spans="3:11">
      <c r="C2739" s="11"/>
      <c r="K2739" s="11"/>
    </row>
    <row r="2740" spans="3:11">
      <c r="C2740" s="11"/>
      <c r="K2740" s="11"/>
    </row>
    <row r="2741" spans="3:11">
      <c r="C2741" s="11"/>
      <c r="K2741" s="11"/>
    </row>
    <row r="2742" spans="3:11">
      <c r="C2742" s="11"/>
      <c r="K2742" s="11"/>
    </row>
    <row r="2743" spans="3:11">
      <c r="C2743" s="11"/>
      <c r="K2743" s="11"/>
    </row>
    <row r="2744" spans="3:11">
      <c r="C2744" s="11"/>
      <c r="K2744" s="11"/>
    </row>
    <row r="2745" spans="3:11">
      <c r="C2745" s="11"/>
      <c r="K2745" s="11"/>
    </row>
    <row r="2746" spans="3:11">
      <c r="C2746" s="11"/>
      <c r="K2746" s="11"/>
    </row>
    <row r="2747" spans="3:11">
      <c r="C2747" s="11"/>
      <c r="K2747" s="11"/>
    </row>
    <row r="2748" spans="3:11">
      <c r="C2748" s="11"/>
      <c r="K2748" s="11"/>
    </row>
    <row r="2749" spans="3:11">
      <c r="C2749" s="11"/>
      <c r="K2749" s="11"/>
    </row>
    <row r="2750" spans="3:11">
      <c r="C2750" s="11"/>
      <c r="K2750" s="11"/>
    </row>
    <row r="2751" spans="3:11">
      <c r="C2751" s="11"/>
      <c r="K2751" s="11"/>
    </row>
    <row r="2752" spans="3:11">
      <c r="C2752" s="11"/>
      <c r="K2752" s="11"/>
    </row>
    <row r="2753" spans="3:11">
      <c r="C2753" s="11"/>
      <c r="K2753" s="11"/>
    </row>
    <row r="2754" spans="3:11">
      <c r="C2754" s="11"/>
      <c r="K2754" s="11"/>
    </row>
    <row r="2755" spans="3:11">
      <c r="C2755" s="11"/>
      <c r="K2755" s="11"/>
    </row>
    <row r="2756" spans="3:11">
      <c r="C2756" s="11"/>
      <c r="K2756" s="11"/>
    </row>
    <row r="2757" spans="3:11">
      <c r="C2757" s="11"/>
      <c r="K2757" s="11"/>
    </row>
    <row r="2758" spans="3:11">
      <c r="C2758" s="11"/>
      <c r="K2758" s="11"/>
    </row>
    <row r="2759" spans="3:11">
      <c r="C2759" s="11"/>
      <c r="K2759" s="11"/>
    </row>
    <row r="2760" spans="3:11">
      <c r="C2760" s="11"/>
      <c r="K2760" s="11"/>
    </row>
    <row r="2761" spans="3:11">
      <c r="C2761" s="11"/>
      <c r="K2761" s="11"/>
    </row>
    <row r="2762" spans="3:11">
      <c r="C2762" s="11"/>
      <c r="K2762" s="11"/>
    </row>
    <row r="2763" spans="3:11">
      <c r="C2763" s="11"/>
      <c r="K2763" s="11"/>
    </row>
    <row r="2764" spans="3:11">
      <c r="C2764" s="11"/>
      <c r="K2764" s="11"/>
    </row>
    <row r="2765" spans="3:11">
      <c r="C2765" s="11"/>
      <c r="K2765" s="11"/>
    </row>
    <row r="2766" spans="3:11">
      <c r="C2766" s="11"/>
      <c r="K2766" s="11"/>
    </row>
    <row r="2767" spans="3:11">
      <c r="C2767" s="11"/>
      <c r="K2767" s="11"/>
    </row>
    <row r="2768" spans="3:11">
      <c r="C2768" s="11"/>
      <c r="K2768" s="11"/>
    </row>
    <row r="2769" spans="3:11">
      <c r="C2769" s="11"/>
      <c r="K2769" s="11"/>
    </row>
    <row r="2770" spans="3:11">
      <c r="C2770" s="11"/>
      <c r="K2770" s="11"/>
    </row>
    <row r="2771" spans="3:11">
      <c r="C2771" s="11"/>
      <c r="K2771" s="11"/>
    </row>
    <row r="2772" spans="3:11">
      <c r="C2772" s="11"/>
      <c r="K2772" s="11"/>
    </row>
    <row r="2773" spans="3:11">
      <c r="C2773" s="11"/>
      <c r="K2773" s="11"/>
    </row>
    <row r="2774" spans="3:11">
      <c r="C2774" s="11"/>
      <c r="K2774" s="11"/>
    </row>
    <row r="2775" spans="3:11">
      <c r="C2775" s="11"/>
      <c r="K2775" s="11"/>
    </row>
    <row r="2776" spans="3:11">
      <c r="C2776" s="11"/>
      <c r="K2776" s="11"/>
    </row>
    <row r="2777" spans="3:11">
      <c r="C2777" s="11"/>
      <c r="K2777" s="11"/>
    </row>
    <row r="2778" spans="3:11">
      <c r="C2778" s="11"/>
      <c r="K2778" s="11"/>
    </row>
    <row r="2779" spans="3:11">
      <c r="C2779" s="11"/>
      <c r="K2779" s="11"/>
    </row>
    <row r="2780" spans="3:11">
      <c r="C2780" s="11"/>
      <c r="K2780" s="11"/>
    </row>
    <row r="2781" spans="3:11">
      <c r="C2781" s="11"/>
      <c r="K2781" s="11"/>
    </row>
    <row r="2782" spans="3:11">
      <c r="C2782" s="11"/>
      <c r="K2782" s="11"/>
    </row>
    <row r="2783" spans="3:11">
      <c r="C2783" s="11"/>
      <c r="K2783" s="11"/>
    </row>
    <row r="2784" spans="3:11">
      <c r="C2784" s="11"/>
      <c r="K2784" s="11"/>
    </row>
    <row r="2785" spans="3:11">
      <c r="C2785" s="11"/>
      <c r="K2785" s="11"/>
    </row>
    <row r="2786" spans="3:11">
      <c r="C2786" s="11"/>
      <c r="K2786" s="11"/>
    </row>
    <row r="2787" spans="3:11">
      <c r="C2787" s="11"/>
      <c r="K2787" s="11"/>
    </row>
    <row r="2788" spans="3:11">
      <c r="C2788" s="11"/>
      <c r="K2788" s="11"/>
    </row>
    <row r="2789" spans="3:11">
      <c r="C2789" s="11"/>
      <c r="K2789" s="11"/>
    </row>
    <row r="2790" spans="3:11">
      <c r="C2790" s="11"/>
      <c r="K2790" s="11"/>
    </row>
    <row r="2791" spans="3:11">
      <c r="C2791" s="11"/>
      <c r="K2791" s="11"/>
    </row>
    <row r="2792" spans="3:11">
      <c r="C2792" s="11"/>
      <c r="K2792" s="11"/>
    </row>
    <row r="2793" spans="3:11">
      <c r="C2793" s="11"/>
      <c r="K2793" s="11"/>
    </row>
    <row r="2794" spans="3:11">
      <c r="C2794" s="11"/>
      <c r="K2794" s="11"/>
    </row>
    <row r="2795" spans="3:11">
      <c r="C2795" s="11"/>
      <c r="K2795" s="11"/>
    </row>
    <row r="2796" spans="3:11">
      <c r="C2796" s="11"/>
      <c r="K2796" s="11"/>
    </row>
    <row r="2797" spans="3:11">
      <c r="C2797" s="11"/>
      <c r="K2797" s="11"/>
    </row>
    <row r="2798" spans="3:11">
      <c r="C2798" s="11"/>
      <c r="K2798" s="11"/>
    </row>
    <row r="2799" spans="3:11">
      <c r="C2799" s="11"/>
      <c r="K2799" s="11"/>
    </row>
    <row r="2800" spans="3:11">
      <c r="C2800" s="11"/>
      <c r="K2800" s="11"/>
    </row>
    <row r="2801" spans="3:11">
      <c r="C2801" s="11"/>
      <c r="K2801" s="11"/>
    </row>
    <row r="2802" spans="3:11">
      <c r="C2802" s="11"/>
      <c r="K2802" s="11"/>
    </row>
    <row r="2803" spans="3:11">
      <c r="C2803" s="11"/>
      <c r="K2803" s="11"/>
    </row>
    <row r="2804" spans="3:11">
      <c r="C2804" s="11"/>
      <c r="K2804" s="11"/>
    </row>
    <row r="2805" spans="3:11">
      <c r="C2805" s="11"/>
      <c r="K2805" s="11"/>
    </row>
    <row r="2806" spans="3:11">
      <c r="C2806" s="11"/>
      <c r="K2806" s="11"/>
    </row>
    <row r="2807" spans="3:11">
      <c r="C2807" s="11"/>
      <c r="K2807" s="11"/>
    </row>
    <row r="2808" spans="3:11">
      <c r="C2808" s="11"/>
      <c r="K2808" s="11"/>
    </row>
    <row r="2809" spans="3:11">
      <c r="C2809" s="11"/>
      <c r="K2809" s="11"/>
    </row>
    <row r="2810" spans="3:11">
      <c r="C2810" s="11"/>
      <c r="K2810" s="11"/>
    </row>
    <row r="2811" spans="3:11">
      <c r="C2811" s="11"/>
      <c r="K2811" s="11"/>
    </row>
    <row r="2812" spans="3:11">
      <c r="C2812" s="11"/>
      <c r="K2812" s="11"/>
    </row>
    <row r="2813" spans="3:11">
      <c r="C2813" s="11"/>
      <c r="K2813" s="11"/>
    </row>
    <row r="2814" spans="3:11">
      <c r="C2814" s="11"/>
      <c r="K2814" s="11"/>
    </row>
    <row r="2815" spans="3:11">
      <c r="C2815" s="11"/>
      <c r="K2815" s="11"/>
    </row>
    <row r="2816" spans="3:11">
      <c r="C2816" s="11"/>
      <c r="K2816" s="11"/>
    </row>
    <row r="2817" spans="3:11">
      <c r="C2817" s="11"/>
      <c r="K2817" s="11"/>
    </row>
    <row r="2818" spans="3:11">
      <c r="C2818" s="11"/>
      <c r="K2818" s="11"/>
    </row>
    <row r="2819" spans="3:11">
      <c r="C2819" s="11"/>
      <c r="K2819" s="11"/>
    </row>
    <row r="2820" spans="3:11">
      <c r="C2820" s="11"/>
      <c r="K2820" s="11"/>
    </row>
    <row r="2821" spans="3:11">
      <c r="C2821" s="11"/>
      <c r="K2821" s="11"/>
    </row>
    <row r="2822" spans="3:11">
      <c r="C2822" s="11"/>
      <c r="K2822" s="11"/>
    </row>
    <row r="2823" spans="3:11">
      <c r="C2823" s="11"/>
      <c r="K2823" s="11"/>
    </row>
    <row r="2824" spans="3:11">
      <c r="C2824" s="11"/>
      <c r="K2824" s="11"/>
    </row>
    <row r="2825" spans="3:11">
      <c r="C2825" s="11"/>
      <c r="K2825" s="11"/>
    </row>
    <row r="2826" spans="3:11">
      <c r="C2826" s="11"/>
      <c r="K2826" s="11"/>
    </row>
    <row r="2827" spans="3:11">
      <c r="C2827" s="11"/>
      <c r="K2827" s="11"/>
    </row>
    <row r="2828" spans="3:11">
      <c r="C2828" s="11"/>
      <c r="K2828" s="11"/>
    </row>
    <row r="2829" spans="3:11">
      <c r="C2829" s="11"/>
      <c r="K2829" s="11"/>
    </row>
    <row r="2830" spans="3:11">
      <c r="C2830" s="11"/>
      <c r="K2830" s="11"/>
    </row>
    <row r="2831" spans="3:11">
      <c r="C2831" s="11"/>
      <c r="K2831" s="11"/>
    </row>
    <row r="2832" spans="3:11">
      <c r="C2832" s="11"/>
      <c r="K2832" s="11"/>
    </row>
    <row r="2833" spans="3:11">
      <c r="C2833" s="11"/>
      <c r="K2833" s="11"/>
    </row>
    <row r="2834" spans="3:11">
      <c r="C2834" s="11"/>
      <c r="K2834" s="11"/>
    </row>
    <row r="2835" spans="3:11">
      <c r="C2835" s="11"/>
      <c r="K2835" s="11"/>
    </row>
    <row r="2836" spans="3:11">
      <c r="C2836" s="11"/>
      <c r="K2836" s="11"/>
    </row>
    <row r="2837" spans="3:11">
      <c r="C2837" s="11"/>
      <c r="K2837" s="11"/>
    </row>
    <row r="2838" spans="3:11">
      <c r="C2838" s="11"/>
      <c r="K2838" s="11"/>
    </row>
    <row r="2839" spans="3:11">
      <c r="C2839" s="11"/>
      <c r="K2839" s="11"/>
    </row>
    <row r="2840" spans="3:11">
      <c r="C2840" s="11"/>
      <c r="K2840" s="11"/>
    </row>
    <row r="2841" spans="3:11">
      <c r="C2841" s="11"/>
      <c r="K2841" s="11"/>
    </row>
    <row r="2842" spans="3:11">
      <c r="C2842" s="11"/>
      <c r="K2842" s="11"/>
    </row>
    <row r="2843" spans="3:11">
      <c r="C2843" s="11"/>
      <c r="K2843" s="11"/>
    </row>
    <row r="2844" spans="3:11">
      <c r="C2844" s="11"/>
      <c r="K2844" s="11"/>
    </row>
    <row r="2845" spans="3:11">
      <c r="C2845" s="11"/>
      <c r="K2845" s="11"/>
    </row>
    <row r="2846" spans="3:11">
      <c r="C2846" s="11"/>
      <c r="K2846" s="11"/>
    </row>
    <row r="2847" spans="3:11">
      <c r="C2847" s="11"/>
      <c r="K2847" s="11"/>
    </row>
    <row r="2848" spans="3:11">
      <c r="C2848" s="11"/>
      <c r="K2848" s="11"/>
    </row>
    <row r="2849" spans="3:11">
      <c r="C2849" s="11"/>
      <c r="K2849" s="11"/>
    </row>
    <row r="2850" spans="3:11">
      <c r="C2850" s="11"/>
      <c r="K2850" s="11"/>
    </row>
    <row r="2851" spans="3:11">
      <c r="C2851" s="11"/>
      <c r="K2851" s="11"/>
    </row>
    <row r="2852" spans="3:11">
      <c r="C2852" s="11"/>
      <c r="K2852" s="11"/>
    </row>
    <row r="2853" spans="3:11">
      <c r="C2853" s="11"/>
      <c r="K2853" s="11"/>
    </row>
    <row r="2854" spans="3:11">
      <c r="C2854" s="11"/>
      <c r="K2854" s="11"/>
    </row>
    <row r="2855" spans="3:11">
      <c r="C2855" s="11"/>
      <c r="K2855" s="11"/>
    </row>
    <row r="2856" spans="3:11">
      <c r="C2856" s="11"/>
      <c r="K2856" s="11"/>
    </row>
    <row r="2857" spans="3:11">
      <c r="C2857" s="11"/>
      <c r="K2857" s="11"/>
    </row>
    <row r="2858" spans="3:11">
      <c r="C2858" s="11"/>
      <c r="K2858" s="11"/>
    </row>
    <row r="2859" spans="3:11">
      <c r="C2859" s="11"/>
      <c r="K2859" s="11"/>
    </row>
    <row r="2860" spans="3:11">
      <c r="C2860" s="11"/>
      <c r="K2860" s="11"/>
    </row>
    <row r="2861" spans="3:11">
      <c r="C2861" s="11"/>
      <c r="K2861" s="11"/>
    </row>
    <row r="2862" spans="3:11">
      <c r="C2862" s="11"/>
      <c r="K2862" s="11"/>
    </row>
    <row r="2863" spans="3:11">
      <c r="C2863" s="11"/>
      <c r="K2863" s="11"/>
    </row>
    <row r="2864" spans="3:11">
      <c r="C2864" s="11"/>
      <c r="K2864" s="11"/>
    </row>
    <row r="2865" spans="3:11">
      <c r="C2865" s="11"/>
      <c r="K2865" s="11"/>
    </row>
    <row r="2866" spans="3:11">
      <c r="C2866" s="11"/>
      <c r="K2866" s="11"/>
    </row>
    <row r="2867" spans="3:11">
      <c r="C2867" s="11"/>
      <c r="K2867" s="11"/>
    </row>
    <row r="2868" spans="3:11">
      <c r="C2868" s="11"/>
      <c r="K2868" s="11"/>
    </row>
    <row r="2869" spans="3:11">
      <c r="C2869" s="11"/>
      <c r="K2869" s="11"/>
    </row>
    <row r="2870" spans="3:11">
      <c r="C2870" s="11"/>
      <c r="K2870" s="11"/>
    </row>
    <row r="2871" spans="3:11">
      <c r="C2871" s="11"/>
      <c r="K2871" s="11"/>
    </row>
    <row r="2872" spans="3:11">
      <c r="C2872" s="11"/>
      <c r="K2872" s="11"/>
    </row>
    <row r="2873" spans="3:11">
      <c r="C2873" s="11"/>
      <c r="K2873" s="11"/>
    </row>
    <row r="2874" spans="3:11">
      <c r="C2874" s="11"/>
      <c r="K2874" s="11"/>
    </row>
    <row r="2875" spans="3:11">
      <c r="C2875" s="11"/>
      <c r="K2875" s="11"/>
    </row>
    <row r="2876" spans="3:11">
      <c r="C2876" s="11"/>
      <c r="K2876" s="11"/>
    </row>
    <row r="2877" spans="3:11">
      <c r="C2877" s="11"/>
      <c r="K2877" s="11"/>
    </row>
    <row r="2878" spans="3:11">
      <c r="C2878" s="11"/>
      <c r="K2878" s="11"/>
    </row>
    <row r="2879" spans="3:11">
      <c r="C2879" s="11"/>
      <c r="K2879" s="11"/>
    </row>
    <row r="2880" spans="3:11">
      <c r="C2880" s="11"/>
      <c r="K2880" s="11"/>
    </row>
    <row r="2881" spans="3:11">
      <c r="C2881" s="11"/>
      <c r="K2881" s="11"/>
    </row>
    <row r="2882" spans="3:11">
      <c r="C2882" s="11"/>
      <c r="K2882" s="11"/>
    </row>
    <row r="2883" spans="3:11">
      <c r="C2883" s="11"/>
      <c r="K2883" s="11"/>
    </row>
    <row r="2884" spans="3:11">
      <c r="C2884" s="11"/>
      <c r="K2884" s="11"/>
    </row>
    <row r="2885" spans="3:11">
      <c r="C2885" s="11"/>
      <c r="K2885" s="11"/>
    </row>
    <row r="2886" spans="3:11">
      <c r="C2886" s="11"/>
      <c r="K2886" s="11"/>
    </row>
    <row r="2887" spans="3:11">
      <c r="C2887" s="11"/>
      <c r="K2887" s="11"/>
    </row>
    <row r="2888" spans="3:11">
      <c r="C2888" s="11"/>
      <c r="K2888" s="11"/>
    </row>
    <row r="2889" spans="3:11">
      <c r="C2889" s="11"/>
      <c r="K2889" s="11"/>
    </row>
    <row r="2890" spans="3:11">
      <c r="C2890" s="11"/>
      <c r="K2890" s="11"/>
    </row>
    <row r="2891" spans="3:11">
      <c r="C2891" s="11"/>
      <c r="K2891" s="11"/>
    </row>
    <row r="2892" spans="3:11">
      <c r="C2892" s="11"/>
      <c r="K2892" s="11"/>
    </row>
    <row r="2893" spans="3:11">
      <c r="C2893" s="11"/>
      <c r="K2893" s="11"/>
    </row>
    <row r="2894" spans="3:11">
      <c r="C2894" s="11"/>
      <c r="K2894" s="11"/>
    </row>
    <row r="2895" spans="3:11">
      <c r="C2895" s="11"/>
      <c r="K2895" s="11"/>
    </row>
    <row r="2896" spans="3:11">
      <c r="C2896" s="11"/>
      <c r="K2896" s="11"/>
    </row>
    <row r="2897" spans="3:11">
      <c r="C2897" s="11"/>
      <c r="K2897" s="11"/>
    </row>
    <row r="2898" spans="3:11">
      <c r="C2898" s="11"/>
      <c r="K2898" s="11"/>
    </row>
    <row r="2899" spans="3:11">
      <c r="C2899" s="11"/>
      <c r="K2899" s="11"/>
    </row>
    <row r="2900" spans="3:11">
      <c r="C2900" s="11"/>
      <c r="K2900" s="11"/>
    </row>
    <row r="2901" spans="3:11">
      <c r="C2901" s="11"/>
      <c r="K2901" s="11"/>
    </row>
    <row r="2902" spans="3:11">
      <c r="C2902" s="11"/>
      <c r="K2902" s="11"/>
    </row>
    <row r="2903" spans="3:11">
      <c r="C2903" s="11"/>
      <c r="K2903" s="11"/>
    </row>
    <row r="2904" spans="3:11">
      <c r="C2904" s="11"/>
      <c r="K2904" s="11"/>
    </row>
    <row r="2905" spans="3:11">
      <c r="C2905" s="11"/>
      <c r="K2905" s="11"/>
    </row>
    <row r="2906" spans="3:11">
      <c r="C2906" s="11"/>
      <c r="K2906" s="11"/>
    </row>
    <row r="2907" spans="3:11">
      <c r="C2907" s="11"/>
      <c r="K2907" s="11"/>
    </row>
    <row r="2908" spans="3:11">
      <c r="C2908" s="11"/>
      <c r="K2908" s="11"/>
    </row>
    <row r="2909" spans="3:11">
      <c r="C2909" s="11"/>
      <c r="K2909" s="11"/>
    </row>
    <row r="2910" spans="3:11">
      <c r="C2910" s="11"/>
      <c r="K2910" s="11"/>
    </row>
    <row r="2911" spans="3:11">
      <c r="C2911" s="11"/>
      <c r="K2911" s="11"/>
    </row>
    <row r="2912" spans="3:11">
      <c r="C2912" s="11"/>
      <c r="K2912" s="11"/>
    </row>
    <row r="2913" spans="3:11">
      <c r="C2913" s="11"/>
      <c r="K2913" s="11"/>
    </row>
    <row r="2914" spans="3:11">
      <c r="C2914" s="11"/>
      <c r="K2914" s="11"/>
    </row>
    <row r="2915" spans="3:11">
      <c r="C2915" s="11"/>
      <c r="K2915" s="11"/>
    </row>
    <row r="2916" spans="3:11">
      <c r="C2916" s="11"/>
      <c r="K2916" s="11"/>
    </row>
    <row r="2917" spans="3:11">
      <c r="C2917" s="11"/>
      <c r="K2917" s="11"/>
    </row>
    <row r="2918" spans="3:11">
      <c r="C2918" s="11"/>
      <c r="K2918" s="11"/>
    </row>
    <row r="2919" spans="3:11">
      <c r="C2919" s="11"/>
      <c r="K2919" s="11"/>
    </row>
    <row r="2920" spans="3:11">
      <c r="C2920" s="11"/>
      <c r="K2920" s="11"/>
    </row>
    <row r="2921" spans="3:11">
      <c r="C2921" s="11"/>
      <c r="K2921" s="11"/>
    </row>
    <row r="2922" spans="3:11">
      <c r="C2922" s="11"/>
      <c r="K2922" s="11"/>
    </row>
    <row r="2923" spans="3:11">
      <c r="C2923" s="11"/>
      <c r="K2923" s="11"/>
    </row>
    <row r="2924" spans="3:11">
      <c r="C2924" s="11"/>
      <c r="K2924" s="11"/>
    </row>
    <row r="2925" spans="3:11">
      <c r="C2925" s="11"/>
      <c r="K2925" s="11"/>
    </row>
    <row r="2926" spans="3:11">
      <c r="C2926" s="11"/>
      <c r="K2926" s="11"/>
    </row>
    <row r="2927" spans="3:11">
      <c r="C2927" s="11"/>
      <c r="K2927" s="11"/>
    </row>
    <row r="2928" spans="3:11">
      <c r="C2928" s="11"/>
      <c r="K2928" s="11"/>
    </row>
    <row r="2929" spans="3:11">
      <c r="C2929" s="11"/>
      <c r="K2929" s="11"/>
    </row>
    <row r="2930" spans="3:11">
      <c r="C2930" s="11"/>
      <c r="K2930" s="11"/>
    </row>
    <row r="2931" spans="3:11">
      <c r="C2931" s="11"/>
      <c r="K2931" s="11"/>
    </row>
    <row r="2932" spans="3:11">
      <c r="C2932" s="11"/>
      <c r="K2932" s="11"/>
    </row>
    <row r="2933" spans="3:11">
      <c r="C2933" s="11"/>
      <c r="K2933" s="11"/>
    </row>
    <row r="2934" spans="3:11">
      <c r="C2934" s="11"/>
      <c r="K2934" s="11"/>
    </row>
    <row r="2935" spans="3:11">
      <c r="C2935" s="11"/>
      <c r="K2935" s="11"/>
    </row>
    <row r="2936" spans="3:11">
      <c r="C2936" s="11"/>
      <c r="K2936" s="11"/>
    </row>
    <row r="2937" spans="3:11">
      <c r="C2937" s="11"/>
      <c r="K2937" s="11"/>
    </row>
    <row r="2938" spans="3:11">
      <c r="C2938" s="11"/>
      <c r="K2938" s="11"/>
    </row>
    <row r="2939" spans="3:11">
      <c r="C2939" s="11"/>
      <c r="K2939" s="11"/>
    </row>
    <row r="2940" spans="3:11">
      <c r="C2940" s="11"/>
      <c r="K2940" s="11"/>
    </row>
    <row r="2941" spans="3:11">
      <c r="C2941" s="11"/>
      <c r="K2941" s="11"/>
    </row>
    <row r="2942" spans="3:11">
      <c r="C2942" s="11"/>
      <c r="K2942" s="11"/>
    </row>
    <row r="2943" spans="3:11">
      <c r="C2943" s="11"/>
      <c r="K2943" s="11"/>
    </row>
    <row r="2944" spans="3:11">
      <c r="C2944" s="11"/>
      <c r="K2944" s="11"/>
    </row>
    <row r="2945" spans="3:11">
      <c r="C2945" s="11"/>
      <c r="K2945" s="11"/>
    </row>
    <row r="2946" spans="3:11">
      <c r="C2946" s="11"/>
      <c r="K2946" s="11"/>
    </row>
    <row r="2947" spans="3:11">
      <c r="C2947" s="11"/>
      <c r="K2947" s="11"/>
    </row>
    <row r="2948" spans="3:11">
      <c r="C2948" s="11"/>
      <c r="K2948" s="11"/>
    </row>
    <row r="2949" spans="3:11">
      <c r="C2949" s="11"/>
      <c r="K2949" s="11"/>
    </row>
    <row r="2950" spans="3:11">
      <c r="C2950" s="11"/>
      <c r="K2950" s="11"/>
    </row>
    <row r="2951" spans="3:11">
      <c r="C2951" s="11"/>
      <c r="K2951" s="11"/>
    </row>
    <row r="2952" spans="3:11">
      <c r="C2952" s="11"/>
      <c r="K2952" s="11"/>
    </row>
    <row r="2953" spans="3:11">
      <c r="C2953" s="11"/>
      <c r="K2953" s="11"/>
    </row>
    <row r="2954" spans="3:11">
      <c r="C2954" s="11"/>
      <c r="K2954" s="11"/>
    </row>
    <row r="2955" spans="3:11">
      <c r="C2955" s="11"/>
      <c r="K2955" s="11"/>
    </row>
    <row r="2956" spans="3:11">
      <c r="C2956" s="11"/>
      <c r="K2956" s="11"/>
    </row>
    <row r="2957" spans="3:11">
      <c r="C2957" s="11"/>
      <c r="K2957" s="11"/>
    </row>
    <row r="2958" spans="3:11">
      <c r="C2958" s="11"/>
      <c r="K2958" s="11"/>
    </row>
    <row r="2959" spans="3:11">
      <c r="C2959" s="11"/>
      <c r="K2959" s="11"/>
    </row>
    <row r="2960" spans="3:11">
      <c r="C2960" s="11"/>
      <c r="K2960" s="11"/>
    </row>
    <row r="2961" spans="3:11">
      <c r="C2961" s="11"/>
      <c r="K2961" s="11"/>
    </row>
    <row r="2962" spans="3:11">
      <c r="C2962" s="11"/>
      <c r="K2962" s="11"/>
    </row>
    <row r="2963" spans="3:11">
      <c r="C2963" s="11"/>
      <c r="K2963" s="11"/>
    </row>
    <row r="2964" spans="3:11">
      <c r="C2964" s="11"/>
      <c r="K2964" s="11"/>
    </row>
    <row r="2965" spans="3:11">
      <c r="C2965" s="11"/>
      <c r="K2965" s="11"/>
    </row>
    <row r="2966" spans="3:11">
      <c r="C2966" s="11"/>
      <c r="K2966" s="11"/>
    </row>
    <row r="2967" spans="3:11">
      <c r="C2967" s="11"/>
      <c r="K2967" s="11"/>
    </row>
    <row r="2968" spans="3:11">
      <c r="C2968" s="11"/>
      <c r="K2968" s="11"/>
    </row>
    <row r="2969" spans="3:11">
      <c r="C2969" s="11"/>
      <c r="K2969" s="11"/>
    </row>
    <row r="2970" spans="3:11">
      <c r="C2970" s="11"/>
      <c r="K2970" s="11"/>
    </row>
    <row r="2971" spans="3:11">
      <c r="C2971" s="11"/>
      <c r="K2971" s="11"/>
    </row>
    <row r="2972" spans="3:11">
      <c r="C2972" s="11"/>
      <c r="K2972" s="11"/>
    </row>
    <row r="2973" spans="3:11">
      <c r="C2973" s="11"/>
      <c r="K2973" s="11"/>
    </row>
    <row r="2974" spans="3:11">
      <c r="C2974" s="11"/>
      <c r="K2974" s="11"/>
    </row>
    <row r="2975" spans="3:11">
      <c r="C2975" s="11"/>
      <c r="K2975" s="11"/>
    </row>
    <row r="2976" spans="3:11">
      <c r="C2976" s="11"/>
      <c r="K2976" s="11"/>
    </row>
    <row r="2977" spans="3:11">
      <c r="C2977" s="11"/>
      <c r="K2977" s="11"/>
    </row>
    <row r="2978" spans="3:11">
      <c r="C2978" s="11"/>
      <c r="K2978" s="11"/>
    </row>
    <row r="2979" spans="3:11">
      <c r="C2979" s="11"/>
      <c r="K2979" s="11"/>
    </row>
    <row r="2980" spans="3:11">
      <c r="C2980" s="11"/>
      <c r="K2980" s="11"/>
    </row>
    <row r="2981" spans="3:11">
      <c r="C2981" s="11"/>
      <c r="K2981" s="11"/>
    </row>
    <row r="2982" spans="3:11">
      <c r="C2982" s="11"/>
      <c r="K2982" s="11"/>
    </row>
    <row r="2983" spans="3:11">
      <c r="C2983" s="11"/>
      <c r="K2983" s="11"/>
    </row>
    <row r="2984" spans="3:11">
      <c r="C2984" s="11"/>
      <c r="K2984" s="11"/>
    </row>
    <row r="2985" spans="3:11">
      <c r="C2985" s="11"/>
      <c r="K2985" s="11"/>
    </row>
    <row r="2986" spans="3:11">
      <c r="C2986" s="11"/>
      <c r="K2986" s="11"/>
    </row>
    <row r="2987" spans="3:11">
      <c r="C2987" s="11"/>
      <c r="K2987" s="11"/>
    </row>
    <row r="2988" spans="3:11">
      <c r="C2988" s="11"/>
      <c r="K2988" s="11"/>
    </row>
    <row r="2989" spans="3:11">
      <c r="C2989" s="11"/>
      <c r="K2989" s="11"/>
    </row>
    <row r="2990" spans="3:11">
      <c r="C2990" s="11"/>
      <c r="K2990" s="11"/>
    </row>
    <row r="2991" spans="3:11">
      <c r="C2991" s="11"/>
      <c r="K2991" s="11"/>
    </row>
    <row r="2992" spans="3:11">
      <c r="C2992" s="11"/>
      <c r="K2992" s="11"/>
    </row>
    <row r="2993" spans="3:11">
      <c r="C2993" s="11"/>
      <c r="K2993" s="11"/>
    </row>
    <row r="2994" spans="3:11">
      <c r="C2994" s="11"/>
      <c r="K2994" s="11"/>
    </row>
    <row r="2995" spans="3:11">
      <c r="C2995" s="11"/>
      <c r="K2995" s="11"/>
    </row>
    <row r="2996" spans="3:11">
      <c r="C2996" s="11"/>
      <c r="K2996" s="11"/>
    </row>
    <row r="2997" spans="3:11">
      <c r="C2997" s="11"/>
      <c r="K2997" s="11"/>
    </row>
    <row r="2998" spans="3:11">
      <c r="C2998" s="11"/>
      <c r="K2998" s="11"/>
    </row>
    <row r="2999" spans="3:11">
      <c r="C2999" s="11"/>
      <c r="K2999" s="11"/>
    </row>
    <row r="3000" spans="3:11">
      <c r="C3000" s="11"/>
      <c r="K3000" s="11"/>
    </row>
    <row r="3001" spans="3:11">
      <c r="C3001" s="11"/>
      <c r="K3001" s="11"/>
    </row>
    <row r="3002" spans="3:11">
      <c r="C3002" s="11"/>
      <c r="K3002" s="11"/>
    </row>
    <row r="3003" spans="3:11">
      <c r="C3003" s="11"/>
      <c r="K3003" s="11"/>
    </row>
    <row r="3004" spans="3:11">
      <c r="C3004" s="11"/>
      <c r="K3004" s="11"/>
    </row>
    <row r="3005" spans="3:11">
      <c r="C3005" s="11"/>
      <c r="K3005" s="11"/>
    </row>
    <row r="3006" spans="3:11">
      <c r="C3006" s="11"/>
      <c r="K3006" s="11"/>
    </row>
    <row r="3007" spans="3:11">
      <c r="C3007" s="11"/>
      <c r="K3007" s="11"/>
    </row>
    <row r="3008" spans="3:11">
      <c r="C3008" s="11"/>
      <c r="K3008" s="11"/>
    </row>
    <row r="3009" spans="3:11">
      <c r="C3009" s="11"/>
      <c r="K3009" s="11"/>
    </row>
    <row r="3010" spans="3:11">
      <c r="C3010" s="11"/>
      <c r="K3010" s="11"/>
    </row>
    <row r="3011" spans="3:11">
      <c r="C3011" s="11"/>
      <c r="K3011" s="11"/>
    </row>
    <row r="3012" spans="3:11">
      <c r="C3012" s="11"/>
      <c r="K3012" s="11"/>
    </row>
    <row r="3013" spans="3:11">
      <c r="C3013" s="11"/>
      <c r="K3013" s="11"/>
    </row>
    <row r="3014" spans="3:11">
      <c r="C3014" s="11"/>
      <c r="K3014" s="11"/>
    </row>
    <row r="3015" spans="3:11">
      <c r="C3015" s="11"/>
      <c r="K3015" s="11"/>
    </row>
    <row r="3016" spans="3:11">
      <c r="C3016" s="11"/>
      <c r="K3016" s="11"/>
    </row>
    <row r="3017" spans="3:11">
      <c r="C3017" s="11"/>
      <c r="K3017" s="11"/>
    </row>
    <row r="3018" spans="3:11">
      <c r="C3018" s="11"/>
      <c r="K3018" s="11"/>
    </row>
    <row r="3019" spans="3:11">
      <c r="C3019" s="11"/>
      <c r="K3019" s="11"/>
    </row>
    <row r="3020" spans="3:11">
      <c r="C3020" s="11"/>
      <c r="K3020" s="11"/>
    </row>
    <row r="3021" spans="3:11">
      <c r="C3021" s="11"/>
      <c r="K3021" s="11"/>
    </row>
    <row r="3022" spans="3:11">
      <c r="C3022" s="11"/>
      <c r="K3022" s="11"/>
    </row>
    <row r="3023" spans="3:11">
      <c r="C3023" s="11"/>
      <c r="K3023" s="11"/>
    </row>
    <row r="3024" spans="3:11">
      <c r="C3024" s="11"/>
      <c r="K3024" s="11"/>
    </row>
    <row r="3025" spans="3:11">
      <c r="C3025" s="11"/>
      <c r="K3025" s="11"/>
    </row>
    <row r="3026" spans="3:11">
      <c r="C3026" s="11"/>
      <c r="K3026" s="11"/>
    </row>
    <row r="3027" spans="3:11">
      <c r="C3027" s="11"/>
      <c r="K3027" s="11"/>
    </row>
    <row r="3028" spans="3:11">
      <c r="C3028" s="11"/>
      <c r="K3028" s="11"/>
    </row>
    <row r="3029" spans="3:11">
      <c r="C3029" s="11"/>
      <c r="K3029" s="11"/>
    </row>
    <row r="3030" spans="3:11">
      <c r="C3030" s="11"/>
      <c r="K3030" s="11"/>
    </row>
    <row r="3031" spans="3:11">
      <c r="C3031" s="11"/>
      <c r="K3031" s="11"/>
    </row>
    <row r="3032" spans="3:11">
      <c r="C3032" s="11"/>
      <c r="K3032" s="11"/>
    </row>
    <row r="3033" spans="3:11">
      <c r="C3033" s="11"/>
      <c r="K3033" s="11"/>
    </row>
    <row r="3034" spans="3:11">
      <c r="C3034" s="11"/>
      <c r="K3034" s="11"/>
    </row>
    <row r="3035" spans="3:11">
      <c r="C3035" s="11"/>
      <c r="K3035" s="11"/>
    </row>
    <row r="3036" spans="3:11">
      <c r="C3036" s="11"/>
      <c r="K3036" s="11"/>
    </row>
    <row r="3037" spans="3:11">
      <c r="C3037" s="11"/>
      <c r="K3037" s="11"/>
    </row>
    <row r="3038" spans="3:11">
      <c r="C3038" s="11"/>
      <c r="K3038" s="11"/>
    </row>
    <row r="3039" spans="3:11">
      <c r="C3039" s="11"/>
      <c r="K3039" s="11"/>
    </row>
    <row r="3040" spans="3:11">
      <c r="C3040" s="11"/>
      <c r="K3040" s="11"/>
    </row>
    <row r="3041" spans="3:11">
      <c r="C3041" s="11"/>
      <c r="K3041" s="11"/>
    </row>
    <row r="3042" spans="3:11">
      <c r="C3042" s="11"/>
      <c r="K3042" s="11"/>
    </row>
    <row r="3043" spans="3:11">
      <c r="C3043" s="11"/>
      <c r="K3043" s="11"/>
    </row>
    <row r="3044" spans="3:11">
      <c r="C3044" s="11"/>
      <c r="K3044" s="11"/>
    </row>
    <row r="3045" spans="3:11">
      <c r="C3045" s="11"/>
      <c r="K3045" s="11"/>
    </row>
    <row r="3046" spans="3:11">
      <c r="C3046" s="11"/>
      <c r="K3046" s="11"/>
    </row>
    <row r="3047" spans="3:11">
      <c r="C3047" s="11"/>
      <c r="K3047" s="11"/>
    </row>
    <row r="3048" spans="3:11">
      <c r="C3048" s="11"/>
      <c r="K3048" s="11"/>
    </row>
    <row r="3049" spans="3:11">
      <c r="C3049" s="11"/>
      <c r="K3049" s="11"/>
    </row>
    <row r="3050" spans="3:11">
      <c r="C3050" s="11"/>
      <c r="K3050" s="11"/>
    </row>
    <row r="3051" spans="3:11">
      <c r="C3051" s="11"/>
      <c r="K3051" s="11"/>
    </row>
    <row r="3052" spans="3:11">
      <c r="C3052" s="11"/>
      <c r="K3052" s="11"/>
    </row>
    <row r="3053" spans="3:11">
      <c r="C3053" s="11"/>
      <c r="K3053" s="11"/>
    </row>
    <row r="3054" spans="3:11">
      <c r="C3054" s="11"/>
      <c r="K3054" s="11"/>
    </row>
    <row r="3055" spans="3:11">
      <c r="C3055" s="11"/>
      <c r="K3055" s="11"/>
    </row>
    <row r="3056" spans="3:11">
      <c r="C3056" s="11"/>
      <c r="K3056" s="11"/>
    </row>
    <row r="3057" spans="3:11">
      <c r="C3057" s="11"/>
      <c r="K3057" s="11"/>
    </row>
    <row r="3058" spans="3:11">
      <c r="C3058" s="11"/>
      <c r="K3058" s="11"/>
    </row>
    <row r="3059" spans="3:11">
      <c r="C3059" s="11"/>
      <c r="K3059" s="11"/>
    </row>
    <row r="3060" spans="3:11">
      <c r="C3060" s="11"/>
      <c r="K3060" s="11"/>
    </row>
    <row r="3061" spans="3:11">
      <c r="C3061" s="11"/>
      <c r="K3061" s="11"/>
    </row>
    <row r="3062" spans="3:11">
      <c r="C3062" s="11"/>
      <c r="K3062" s="11"/>
    </row>
    <row r="3063" spans="3:11">
      <c r="C3063" s="11"/>
      <c r="K3063" s="11"/>
    </row>
    <row r="3064" spans="3:11">
      <c r="C3064" s="11"/>
      <c r="K3064" s="11"/>
    </row>
    <row r="3065" spans="3:11">
      <c r="C3065" s="11"/>
      <c r="K3065" s="11"/>
    </row>
    <row r="3066" spans="3:11">
      <c r="C3066" s="11"/>
      <c r="K3066" s="11"/>
    </row>
    <row r="3067" spans="3:11">
      <c r="C3067" s="11"/>
      <c r="K3067" s="11"/>
    </row>
    <row r="3068" spans="3:11">
      <c r="C3068" s="11"/>
      <c r="K3068" s="11"/>
    </row>
    <row r="3069" spans="3:11">
      <c r="C3069" s="11"/>
      <c r="K3069" s="11"/>
    </row>
    <row r="3070" spans="3:11">
      <c r="C3070" s="11"/>
      <c r="K3070" s="11"/>
    </row>
    <row r="3071" spans="3:11">
      <c r="C3071" s="11"/>
      <c r="K3071" s="11"/>
    </row>
    <row r="3072" spans="3:11">
      <c r="C3072" s="11"/>
      <c r="K3072" s="11"/>
    </row>
    <row r="3073" spans="3:11">
      <c r="C3073" s="11"/>
      <c r="K3073" s="11"/>
    </row>
    <row r="3074" spans="3:11">
      <c r="C3074" s="11"/>
      <c r="K3074" s="11"/>
    </row>
    <row r="3075" spans="3:11">
      <c r="C3075" s="11"/>
      <c r="K3075" s="11"/>
    </row>
    <row r="3076" spans="3:11">
      <c r="C3076" s="11"/>
      <c r="K3076" s="11"/>
    </row>
    <row r="3077" spans="3:11">
      <c r="C3077" s="11"/>
      <c r="K3077" s="11"/>
    </row>
    <row r="3078" spans="3:11">
      <c r="C3078" s="11"/>
      <c r="K3078" s="11"/>
    </row>
    <row r="3079" spans="3:11">
      <c r="C3079" s="11"/>
      <c r="K3079" s="11"/>
    </row>
    <row r="3080" spans="3:11">
      <c r="C3080" s="11"/>
      <c r="K3080" s="11"/>
    </row>
    <row r="3081" spans="3:11">
      <c r="C3081" s="11"/>
      <c r="K3081" s="11"/>
    </row>
    <row r="3082" spans="3:11">
      <c r="C3082" s="11"/>
      <c r="K3082" s="11"/>
    </row>
    <row r="3083" spans="3:11">
      <c r="C3083" s="11"/>
      <c r="K3083" s="11"/>
    </row>
    <row r="3084" spans="3:11">
      <c r="C3084" s="11"/>
      <c r="K3084" s="11"/>
    </row>
    <row r="3085" spans="3:11">
      <c r="C3085" s="11"/>
      <c r="K3085" s="11"/>
    </row>
    <row r="3086" spans="3:11">
      <c r="C3086" s="11"/>
      <c r="K3086" s="11"/>
    </row>
    <row r="3087" spans="3:11">
      <c r="C3087" s="11"/>
      <c r="K3087" s="11"/>
    </row>
    <row r="3088" spans="3:11">
      <c r="C3088" s="11"/>
      <c r="K3088" s="11"/>
    </row>
    <row r="3089" spans="3:11">
      <c r="C3089" s="11"/>
      <c r="K3089" s="11"/>
    </row>
    <row r="3090" spans="3:11">
      <c r="C3090" s="11"/>
      <c r="K3090" s="11"/>
    </row>
    <row r="3091" spans="3:11">
      <c r="C3091" s="11"/>
      <c r="K3091" s="11"/>
    </row>
    <row r="3092" spans="3:11">
      <c r="C3092" s="11"/>
      <c r="K3092" s="11"/>
    </row>
    <row r="3093" spans="3:11">
      <c r="C3093" s="11"/>
      <c r="K3093" s="11"/>
    </row>
    <row r="3094" spans="3:11">
      <c r="C3094" s="11"/>
      <c r="K3094" s="11"/>
    </row>
    <row r="3095" spans="3:11">
      <c r="C3095" s="11"/>
      <c r="K3095" s="11"/>
    </row>
    <row r="3096" spans="3:11">
      <c r="C3096" s="11"/>
      <c r="K3096" s="11"/>
    </row>
    <row r="3097" spans="3:11">
      <c r="C3097" s="11"/>
      <c r="K3097" s="11"/>
    </row>
    <row r="3098" spans="3:11">
      <c r="C3098" s="11"/>
      <c r="K3098" s="11"/>
    </row>
    <row r="3099" spans="3:11">
      <c r="C3099" s="11"/>
      <c r="K3099" s="11"/>
    </row>
    <row r="3100" spans="3:11">
      <c r="C3100" s="11"/>
      <c r="K3100" s="11"/>
    </row>
    <row r="3101" spans="3:11">
      <c r="C3101" s="11"/>
      <c r="K3101" s="11"/>
    </row>
    <row r="3102" spans="3:11">
      <c r="C3102" s="11"/>
      <c r="K3102" s="11"/>
    </row>
    <row r="3103" spans="3:11">
      <c r="C3103" s="11"/>
      <c r="K3103" s="11"/>
    </row>
    <row r="3104" spans="3:11">
      <c r="C3104" s="11"/>
      <c r="K3104" s="11"/>
    </row>
    <row r="3105" spans="3:11">
      <c r="C3105" s="11"/>
      <c r="K3105" s="11"/>
    </row>
    <row r="3106" spans="3:11">
      <c r="C3106" s="11"/>
      <c r="K3106" s="11"/>
    </row>
    <row r="3107" spans="3:11">
      <c r="C3107" s="11"/>
      <c r="K3107" s="11"/>
    </row>
    <row r="3108" spans="3:11">
      <c r="C3108" s="11"/>
      <c r="K3108" s="11"/>
    </row>
    <row r="3109" spans="3:11">
      <c r="C3109" s="11"/>
      <c r="K3109" s="11"/>
    </row>
    <row r="3110" spans="3:11">
      <c r="C3110" s="11"/>
      <c r="K3110" s="11"/>
    </row>
    <row r="3111" spans="3:11">
      <c r="C3111" s="11"/>
      <c r="K3111" s="11"/>
    </row>
    <row r="3112" spans="3:11">
      <c r="C3112" s="11"/>
      <c r="K3112" s="11"/>
    </row>
    <row r="3113" spans="3:11">
      <c r="C3113" s="11"/>
      <c r="K3113" s="11"/>
    </row>
    <row r="3114" spans="3:11">
      <c r="C3114" s="11"/>
      <c r="K3114" s="11"/>
    </row>
    <row r="3115" spans="3:11">
      <c r="C3115" s="11"/>
      <c r="K3115" s="11"/>
    </row>
    <row r="3116" spans="3:11">
      <c r="C3116" s="11"/>
      <c r="K3116" s="11"/>
    </row>
    <row r="3117" spans="3:11">
      <c r="C3117" s="11"/>
      <c r="K3117" s="11"/>
    </row>
    <row r="3118" spans="3:11">
      <c r="C3118" s="11"/>
      <c r="K3118" s="11"/>
    </row>
    <row r="3119" spans="3:11">
      <c r="C3119" s="11"/>
      <c r="K3119" s="11"/>
    </row>
    <row r="3120" spans="3:11">
      <c r="C3120" s="11"/>
      <c r="K3120" s="11"/>
    </row>
    <row r="3121" spans="3:11">
      <c r="C3121" s="11"/>
      <c r="K3121" s="11"/>
    </row>
    <row r="3122" spans="3:11">
      <c r="C3122" s="11"/>
      <c r="K3122" s="11"/>
    </row>
    <row r="3123" spans="3:11">
      <c r="C3123" s="11"/>
      <c r="K3123" s="11"/>
    </row>
    <row r="3124" spans="3:11">
      <c r="C3124" s="11"/>
      <c r="K3124" s="11"/>
    </row>
    <row r="3125" spans="3:11">
      <c r="C3125" s="11"/>
      <c r="K3125" s="11"/>
    </row>
    <row r="3126" spans="3:11">
      <c r="C3126" s="11"/>
      <c r="K3126" s="11"/>
    </row>
    <row r="3127" spans="3:11">
      <c r="C3127" s="11"/>
      <c r="K3127" s="11"/>
    </row>
    <row r="3128" spans="3:11">
      <c r="C3128" s="11"/>
      <c r="K3128" s="11"/>
    </row>
    <row r="3129" spans="3:11">
      <c r="C3129" s="11"/>
      <c r="K3129" s="11"/>
    </row>
    <row r="3130" spans="3:11">
      <c r="C3130" s="11"/>
      <c r="K3130" s="11"/>
    </row>
    <row r="3131" spans="3:11">
      <c r="C3131" s="11"/>
      <c r="K3131" s="11"/>
    </row>
    <row r="3132" spans="3:11">
      <c r="C3132" s="11"/>
      <c r="K3132" s="11"/>
    </row>
    <row r="3133" spans="3:11">
      <c r="C3133" s="11"/>
      <c r="K3133" s="11"/>
    </row>
    <row r="3134" spans="3:11">
      <c r="C3134" s="11"/>
      <c r="K3134" s="11"/>
    </row>
    <row r="3135" spans="3:11">
      <c r="C3135" s="11"/>
      <c r="K3135" s="11"/>
    </row>
    <row r="3136" spans="3:11">
      <c r="C3136" s="11"/>
      <c r="K3136" s="11"/>
    </row>
    <row r="3137" spans="3:11">
      <c r="C3137" s="11"/>
      <c r="K3137" s="11"/>
    </row>
    <row r="3138" spans="3:11">
      <c r="C3138" s="11"/>
      <c r="K3138" s="11"/>
    </row>
    <row r="3139" spans="3:11">
      <c r="C3139" s="11"/>
      <c r="K3139" s="11"/>
    </row>
    <row r="3140" spans="3:11">
      <c r="C3140" s="11"/>
      <c r="K3140" s="11"/>
    </row>
    <row r="3141" spans="3:11">
      <c r="C3141" s="11"/>
      <c r="K3141" s="11"/>
    </row>
    <row r="3142" spans="3:11">
      <c r="C3142" s="11"/>
      <c r="K3142" s="11"/>
    </row>
    <row r="3143" spans="3:11">
      <c r="C3143" s="11"/>
      <c r="K3143" s="11"/>
    </row>
    <row r="3144" spans="3:11">
      <c r="C3144" s="11"/>
      <c r="K3144" s="11"/>
    </row>
    <row r="3145" spans="3:11">
      <c r="C3145" s="11"/>
      <c r="K3145" s="11"/>
    </row>
    <row r="3146" spans="3:11">
      <c r="C3146" s="11"/>
      <c r="K3146" s="11"/>
    </row>
    <row r="3147" spans="3:11">
      <c r="C3147" s="11"/>
      <c r="K3147" s="11"/>
    </row>
    <row r="3148" spans="3:11">
      <c r="C3148" s="11"/>
      <c r="K3148" s="11"/>
    </row>
    <row r="3149" spans="3:11">
      <c r="C3149" s="11"/>
      <c r="K3149" s="11"/>
    </row>
    <row r="3150" spans="3:11">
      <c r="C3150" s="11"/>
      <c r="K3150" s="11"/>
    </row>
    <row r="3151" spans="3:11">
      <c r="C3151" s="11"/>
      <c r="K3151" s="11"/>
    </row>
    <row r="3152" spans="3:11">
      <c r="C3152" s="11"/>
      <c r="K3152" s="11"/>
    </row>
    <row r="3153" spans="3:11">
      <c r="C3153" s="11"/>
      <c r="K3153" s="11"/>
    </row>
    <row r="3154" spans="3:11">
      <c r="C3154" s="11"/>
      <c r="K3154" s="11"/>
    </row>
    <row r="3155" spans="3:11">
      <c r="C3155" s="11"/>
      <c r="K3155" s="11"/>
    </row>
    <row r="3156" spans="3:11">
      <c r="C3156" s="11"/>
      <c r="K3156" s="11"/>
    </row>
    <row r="3157" spans="3:11">
      <c r="C3157" s="11"/>
      <c r="K3157" s="11"/>
    </row>
    <row r="3158" spans="3:11">
      <c r="C3158" s="11"/>
      <c r="K3158" s="11"/>
    </row>
    <row r="3159" spans="3:11">
      <c r="C3159" s="11"/>
      <c r="K3159" s="11"/>
    </row>
    <row r="3160" spans="3:11">
      <c r="C3160" s="11"/>
      <c r="K3160" s="11"/>
    </row>
    <row r="3161" spans="3:11">
      <c r="C3161" s="11"/>
      <c r="K3161" s="11"/>
    </row>
    <row r="3162" spans="3:11">
      <c r="C3162" s="11"/>
      <c r="K3162" s="11"/>
    </row>
    <row r="3163" spans="3:11">
      <c r="C3163" s="11"/>
      <c r="K3163" s="11"/>
    </row>
    <row r="3164" spans="3:11">
      <c r="C3164" s="11"/>
      <c r="K3164" s="11"/>
    </row>
    <row r="3165" spans="3:11">
      <c r="C3165" s="11"/>
      <c r="K3165" s="11"/>
    </row>
    <row r="3166" spans="3:11">
      <c r="C3166" s="11"/>
      <c r="K3166" s="11"/>
    </row>
    <row r="3167" spans="3:11">
      <c r="C3167" s="11"/>
      <c r="K3167" s="11"/>
    </row>
    <row r="3168" spans="3:11">
      <c r="C3168" s="11"/>
      <c r="K3168" s="11"/>
    </row>
    <row r="3169" spans="3:11">
      <c r="C3169" s="11"/>
      <c r="K3169" s="11"/>
    </row>
    <row r="3170" spans="3:11">
      <c r="C3170" s="11"/>
      <c r="K3170" s="11"/>
    </row>
    <row r="3171" spans="3:11">
      <c r="C3171" s="11"/>
      <c r="K3171" s="11"/>
    </row>
    <row r="3172" spans="3:11">
      <c r="C3172" s="11"/>
      <c r="K3172" s="11"/>
    </row>
    <row r="3173" spans="3:11">
      <c r="C3173" s="11"/>
      <c r="K3173" s="11"/>
    </row>
    <row r="3174" spans="3:11">
      <c r="C3174" s="11"/>
      <c r="K3174" s="11"/>
    </row>
    <row r="3175" spans="3:11">
      <c r="C3175" s="11"/>
      <c r="K3175" s="11"/>
    </row>
    <row r="3176" spans="3:11">
      <c r="C3176" s="11"/>
      <c r="K3176" s="11"/>
    </row>
    <row r="3177" spans="3:11">
      <c r="C3177" s="11"/>
      <c r="K3177" s="11"/>
    </row>
    <row r="3178" spans="3:11">
      <c r="C3178" s="11"/>
      <c r="K3178" s="11"/>
    </row>
    <row r="3179" spans="3:11">
      <c r="C3179" s="11"/>
      <c r="K3179" s="11"/>
    </row>
    <row r="3180" spans="3:11">
      <c r="C3180" s="11"/>
      <c r="K3180" s="11"/>
    </row>
    <row r="3181" spans="3:11">
      <c r="C3181" s="11"/>
      <c r="K3181" s="11"/>
    </row>
    <row r="3182" spans="3:11">
      <c r="C3182" s="11"/>
      <c r="K3182" s="11"/>
    </row>
    <row r="3183" spans="3:11">
      <c r="C3183" s="11"/>
      <c r="K3183" s="11"/>
    </row>
    <row r="3184" spans="3:11">
      <c r="C3184" s="11"/>
      <c r="K3184" s="11"/>
    </row>
    <row r="3185" spans="3:11">
      <c r="C3185" s="11"/>
      <c r="K3185" s="11"/>
    </row>
    <row r="3186" spans="3:11">
      <c r="C3186" s="11"/>
      <c r="K3186" s="11"/>
    </row>
    <row r="3187" spans="3:11">
      <c r="C3187" s="11"/>
      <c r="K3187" s="11"/>
    </row>
    <row r="3188" spans="3:11">
      <c r="C3188" s="11"/>
      <c r="K3188" s="11"/>
    </row>
    <row r="3189" spans="3:11">
      <c r="C3189" s="11"/>
      <c r="K3189" s="11"/>
    </row>
    <row r="3190" spans="3:11">
      <c r="C3190" s="11"/>
      <c r="K3190" s="11"/>
    </row>
    <row r="3191" spans="3:11">
      <c r="C3191" s="11"/>
      <c r="K3191" s="11"/>
    </row>
    <row r="3192" spans="3:11">
      <c r="C3192" s="11"/>
      <c r="K3192" s="11"/>
    </row>
    <row r="3193" spans="3:11">
      <c r="C3193" s="11"/>
      <c r="K3193" s="11"/>
    </row>
    <row r="3194" spans="3:11">
      <c r="C3194" s="11"/>
      <c r="K3194" s="11"/>
    </row>
    <row r="3195" spans="3:11">
      <c r="C3195" s="11"/>
      <c r="K3195" s="11"/>
    </row>
    <row r="3196" spans="3:11">
      <c r="C3196" s="11"/>
      <c r="K3196" s="11"/>
    </row>
    <row r="3197" spans="3:11">
      <c r="C3197" s="11"/>
      <c r="K3197" s="11"/>
    </row>
    <row r="3198" spans="3:11">
      <c r="C3198" s="11"/>
      <c r="K3198" s="11"/>
    </row>
    <row r="3199" spans="3:11">
      <c r="C3199" s="11"/>
      <c r="K3199" s="11"/>
    </row>
    <row r="3200" spans="3:11">
      <c r="C3200" s="11"/>
      <c r="K3200" s="11"/>
    </row>
    <row r="3201" spans="3:11">
      <c r="C3201" s="11"/>
      <c r="K3201" s="11"/>
    </row>
    <row r="3202" spans="3:11">
      <c r="C3202" s="11"/>
      <c r="K3202" s="11"/>
    </row>
    <row r="3203" spans="3:11">
      <c r="C3203" s="11"/>
      <c r="K3203" s="11"/>
    </row>
    <row r="3204" spans="3:11">
      <c r="C3204" s="11"/>
      <c r="K3204" s="11"/>
    </row>
    <row r="3205" spans="3:11">
      <c r="C3205" s="11"/>
      <c r="K3205" s="11"/>
    </row>
    <row r="3206" spans="3:11">
      <c r="C3206" s="11"/>
      <c r="K3206" s="11"/>
    </row>
    <row r="3207" spans="3:11">
      <c r="C3207" s="11"/>
      <c r="K3207" s="11"/>
    </row>
    <row r="3208" spans="3:11">
      <c r="C3208" s="11"/>
      <c r="K3208" s="11"/>
    </row>
    <row r="3209" spans="3:11">
      <c r="C3209" s="11"/>
      <c r="K3209" s="11"/>
    </row>
    <row r="3210" spans="3:11">
      <c r="C3210" s="11"/>
      <c r="K3210" s="11"/>
    </row>
    <row r="3211" spans="3:11">
      <c r="C3211" s="11"/>
      <c r="K3211" s="11"/>
    </row>
    <row r="3212" spans="3:11">
      <c r="C3212" s="11"/>
      <c r="K3212" s="11"/>
    </row>
    <row r="3213" spans="3:11">
      <c r="C3213" s="11"/>
      <c r="K3213" s="11"/>
    </row>
    <row r="3214" spans="3:11">
      <c r="C3214" s="11"/>
      <c r="K3214" s="11"/>
    </row>
    <row r="3215" spans="3:11">
      <c r="C3215" s="11"/>
      <c r="K3215" s="11"/>
    </row>
    <row r="3216" spans="3:11">
      <c r="C3216" s="11"/>
      <c r="K3216" s="11"/>
    </row>
    <row r="3217" spans="3:11">
      <c r="C3217" s="11"/>
      <c r="K3217" s="11"/>
    </row>
    <row r="3218" spans="3:11">
      <c r="C3218" s="11"/>
      <c r="K3218" s="11"/>
    </row>
    <row r="3219" spans="3:11">
      <c r="C3219" s="11"/>
      <c r="K3219" s="11"/>
    </row>
    <row r="3220" spans="3:11">
      <c r="C3220" s="11"/>
      <c r="K3220" s="11"/>
    </row>
    <row r="3221" spans="3:11">
      <c r="C3221" s="11"/>
      <c r="K3221" s="11"/>
    </row>
    <row r="3222" spans="3:11">
      <c r="C3222" s="11"/>
      <c r="K3222" s="11"/>
    </row>
    <row r="3223" spans="3:11">
      <c r="C3223" s="11"/>
      <c r="K3223" s="11"/>
    </row>
    <row r="3224" spans="3:11">
      <c r="C3224" s="11"/>
      <c r="K3224" s="11"/>
    </row>
    <row r="3225" spans="3:11">
      <c r="C3225" s="11"/>
      <c r="K3225" s="11"/>
    </row>
    <row r="3226" spans="3:11">
      <c r="C3226" s="11"/>
      <c r="K3226" s="11"/>
    </row>
    <row r="3227" spans="3:11">
      <c r="C3227" s="11"/>
      <c r="K3227" s="11"/>
    </row>
    <row r="3228" spans="3:11">
      <c r="C3228" s="11"/>
      <c r="K3228" s="11"/>
    </row>
    <row r="3229" spans="3:11">
      <c r="C3229" s="11"/>
      <c r="K3229" s="11"/>
    </row>
    <row r="3230" spans="3:11">
      <c r="C3230" s="11"/>
      <c r="K3230" s="11"/>
    </row>
    <row r="3231" spans="3:11">
      <c r="C3231" s="11"/>
      <c r="K3231" s="11"/>
    </row>
    <row r="3232" spans="3:11">
      <c r="C3232" s="11"/>
      <c r="K3232" s="11"/>
    </row>
    <row r="3233" spans="3:11">
      <c r="C3233" s="11"/>
      <c r="K3233" s="11"/>
    </row>
    <row r="3234" spans="3:11">
      <c r="C3234" s="11"/>
      <c r="K3234" s="11"/>
    </row>
    <row r="3235" spans="3:11">
      <c r="C3235" s="11"/>
      <c r="K3235" s="11"/>
    </row>
    <row r="3236" spans="3:11">
      <c r="C3236" s="11"/>
      <c r="K3236" s="11"/>
    </row>
    <row r="3237" spans="3:11">
      <c r="C3237" s="11"/>
      <c r="K3237" s="11"/>
    </row>
    <row r="3238" spans="3:11">
      <c r="C3238" s="11"/>
      <c r="K3238" s="11"/>
    </row>
    <row r="3239" spans="3:11">
      <c r="C3239" s="11"/>
      <c r="K3239" s="11"/>
    </row>
    <row r="3240" spans="3:11">
      <c r="C3240" s="11"/>
      <c r="K3240" s="11"/>
    </row>
    <row r="3241" spans="3:11">
      <c r="C3241" s="11"/>
      <c r="K3241" s="11"/>
    </row>
    <row r="3242" spans="3:11">
      <c r="C3242" s="11"/>
      <c r="K3242" s="11"/>
    </row>
    <row r="3243" spans="3:11">
      <c r="C3243" s="11"/>
      <c r="K3243" s="11"/>
    </row>
    <row r="3244" spans="3:11">
      <c r="C3244" s="11"/>
      <c r="K3244" s="11"/>
    </row>
    <row r="3245" spans="3:11">
      <c r="C3245" s="11"/>
      <c r="K3245" s="11"/>
    </row>
    <row r="3246" spans="3:11">
      <c r="C3246" s="11"/>
      <c r="K3246" s="11"/>
    </row>
    <row r="3247" spans="3:11">
      <c r="C3247" s="11"/>
      <c r="K3247" s="11"/>
    </row>
    <row r="3248" spans="3:11">
      <c r="C3248" s="11"/>
      <c r="K3248" s="11"/>
    </row>
    <row r="3249" spans="3:11">
      <c r="C3249" s="11"/>
      <c r="K3249" s="11"/>
    </row>
    <row r="3250" spans="3:11">
      <c r="C3250" s="11"/>
      <c r="K3250" s="11"/>
    </row>
    <row r="3251" spans="3:11">
      <c r="C3251" s="11"/>
      <c r="K3251" s="11"/>
    </row>
    <row r="3252" spans="3:11">
      <c r="C3252" s="11"/>
      <c r="K3252" s="11"/>
    </row>
    <row r="3253" spans="3:11">
      <c r="C3253" s="11"/>
      <c r="K3253" s="11"/>
    </row>
    <row r="3254" spans="3:11">
      <c r="C3254" s="11"/>
      <c r="K3254" s="11"/>
    </row>
    <row r="3255" spans="3:11">
      <c r="C3255" s="11"/>
      <c r="K3255" s="11"/>
    </row>
    <row r="3256" spans="3:11">
      <c r="C3256" s="11"/>
      <c r="K3256" s="11"/>
    </row>
    <row r="3257" spans="3:11">
      <c r="C3257" s="11"/>
      <c r="K3257" s="11"/>
    </row>
    <row r="3258" spans="3:11">
      <c r="C3258" s="11"/>
      <c r="K3258" s="11"/>
    </row>
    <row r="3259" spans="3:11">
      <c r="C3259" s="11"/>
      <c r="K3259" s="11"/>
    </row>
    <row r="3260" spans="3:11">
      <c r="C3260" s="11"/>
      <c r="K3260" s="11"/>
    </row>
    <row r="3261" spans="3:11">
      <c r="C3261" s="11"/>
      <c r="K3261" s="11"/>
    </row>
    <row r="3262" spans="3:11">
      <c r="C3262" s="11"/>
      <c r="K3262" s="11"/>
    </row>
    <row r="3263" spans="3:11">
      <c r="C3263" s="11"/>
      <c r="K3263" s="11"/>
    </row>
    <row r="3264" spans="3:11">
      <c r="C3264" s="11"/>
      <c r="K3264" s="11"/>
    </row>
    <row r="3265" spans="3:11">
      <c r="C3265" s="11"/>
      <c r="K3265" s="11"/>
    </row>
    <row r="3266" spans="3:11">
      <c r="C3266" s="11"/>
      <c r="K3266" s="11"/>
    </row>
    <row r="3267" spans="3:11">
      <c r="C3267" s="11"/>
      <c r="K3267" s="11"/>
    </row>
    <row r="3268" spans="3:11">
      <c r="C3268" s="11"/>
      <c r="K3268" s="11"/>
    </row>
    <row r="3269" spans="3:11">
      <c r="C3269" s="11"/>
      <c r="K3269" s="11"/>
    </row>
    <row r="3270" spans="3:11">
      <c r="C3270" s="11"/>
      <c r="K3270" s="11"/>
    </row>
    <row r="3271" spans="3:11">
      <c r="C3271" s="11"/>
      <c r="K3271" s="11"/>
    </row>
    <row r="3272" spans="3:11">
      <c r="C3272" s="11"/>
      <c r="K3272" s="11"/>
    </row>
    <row r="3273" spans="3:11">
      <c r="C3273" s="11"/>
      <c r="K3273" s="11"/>
    </row>
    <row r="3274" spans="3:11">
      <c r="C3274" s="11"/>
      <c r="K3274" s="11"/>
    </row>
    <row r="3275" spans="3:11">
      <c r="C3275" s="11"/>
      <c r="K3275" s="11"/>
    </row>
    <row r="3276" spans="3:11">
      <c r="C3276" s="11"/>
      <c r="K3276" s="11"/>
    </row>
    <row r="3277" spans="3:11">
      <c r="C3277" s="11"/>
      <c r="K3277" s="11"/>
    </row>
    <row r="3278" spans="3:11">
      <c r="C3278" s="11"/>
      <c r="K3278" s="11"/>
    </row>
    <row r="3279" spans="3:11">
      <c r="C3279" s="11"/>
      <c r="K3279" s="11"/>
    </row>
    <row r="3280" spans="3:11">
      <c r="C3280" s="11"/>
      <c r="K3280" s="11"/>
    </row>
    <row r="3281" spans="3:11">
      <c r="C3281" s="11"/>
      <c r="K3281" s="11"/>
    </row>
    <row r="3282" spans="3:11">
      <c r="C3282" s="11"/>
      <c r="K3282" s="11"/>
    </row>
    <row r="3283" spans="3:11">
      <c r="C3283" s="11"/>
      <c r="K3283" s="11"/>
    </row>
    <row r="3284" spans="3:11">
      <c r="C3284" s="11"/>
      <c r="K3284" s="11"/>
    </row>
    <row r="3285" spans="3:11">
      <c r="C3285" s="11"/>
      <c r="K3285" s="11"/>
    </row>
    <row r="3286" spans="3:11">
      <c r="C3286" s="11"/>
      <c r="K3286" s="11"/>
    </row>
    <row r="3287" spans="3:11">
      <c r="C3287" s="11"/>
      <c r="K3287" s="11"/>
    </row>
    <row r="3288" spans="3:11">
      <c r="C3288" s="11"/>
      <c r="K3288" s="11"/>
    </row>
    <row r="3289" spans="3:11">
      <c r="C3289" s="11"/>
      <c r="K3289" s="11"/>
    </row>
    <row r="3290" spans="3:11">
      <c r="C3290" s="11"/>
      <c r="K3290" s="11"/>
    </row>
    <row r="3291" spans="3:11">
      <c r="C3291" s="11"/>
      <c r="K3291" s="11"/>
    </row>
    <row r="3292" spans="3:11">
      <c r="C3292" s="11"/>
      <c r="K3292" s="11"/>
    </row>
    <row r="3293" spans="3:11">
      <c r="C3293" s="11"/>
      <c r="K3293" s="11"/>
    </row>
    <row r="3294" spans="3:11">
      <c r="C3294" s="11"/>
      <c r="K3294" s="11"/>
    </row>
    <row r="3295" spans="3:11">
      <c r="C3295" s="11"/>
      <c r="K3295" s="11"/>
    </row>
    <row r="3296" spans="3:11">
      <c r="C3296" s="11"/>
      <c r="K3296" s="11"/>
    </row>
    <row r="3297" spans="3:11">
      <c r="C3297" s="11"/>
      <c r="K3297" s="11"/>
    </row>
    <row r="3298" spans="3:11">
      <c r="C3298" s="11"/>
      <c r="K3298" s="11"/>
    </row>
    <row r="3299" spans="3:11">
      <c r="C3299" s="11"/>
      <c r="K3299" s="11"/>
    </row>
    <row r="3300" spans="3:11">
      <c r="C3300" s="11"/>
      <c r="K3300" s="11"/>
    </row>
    <row r="3301" spans="3:11">
      <c r="C3301" s="11"/>
      <c r="K3301" s="11"/>
    </row>
    <row r="3302" spans="3:11">
      <c r="C3302" s="11"/>
      <c r="K3302" s="11"/>
    </row>
    <row r="3303" spans="3:11">
      <c r="C3303" s="11"/>
      <c r="K3303" s="11"/>
    </row>
    <row r="3304" spans="3:11">
      <c r="C3304" s="11"/>
      <c r="K3304" s="11"/>
    </row>
    <row r="3305" spans="3:11">
      <c r="C3305" s="11"/>
      <c r="K3305" s="11"/>
    </row>
    <row r="3306" spans="3:11">
      <c r="C3306" s="11"/>
      <c r="K3306" s="11"/>
    </row>
    <row r="3307" spans="3:11">
      <c r="C3307" s="11"/>
      <c r="K3307" s="11"/>
    </row>
    <row r="3308" spans="3:11">
      <c r="C3308" s="11"/>
      <c r="K3308" s="11"/>
    </row>
    <row r="3309" spans="3:11">
      <c r="C3309" s="11"/>
      <c r="K3309" s="11"/>
    </row>
    <row r="3310" spans="3:11">
      <c r="C3310" s="11"/>
      <c r="K3310" s="11"/>
    </row>
    <row r="3311" spans="3:11">
      <c r="C3311" s="11"/>
      <c r="K3311" s="11"/>
    </row>
    <row r="3312" spans="3:11">
      <c r="C3312" s="11"/>
      <c r="K3312" s="11"/>
    </row>
    <row r="3313" spans="3:11">
      <c r="C3313" s="11"/>
      <c r="K3313" s="11"/>
    </row>
    <row r="3314" spans="3:11">
      <c r="C3314" s="11"/>
      <c r="K3314" s="11"/>
    </row>
    <row r="3315" spans="3:11">
      <c r="C3315" s="11"/>
      <c r="K3315" s="11"/>
    </row>
    <row r="3316" spans="3:11">
      <c r="C3316" s="11"/>
      <c r="K3316" s="11"/>
    </row>
    <row r="3317" spans="3:11">
      <c r="C3317" s="11"/>
      <c r="K3317" s="11"/>
    </row>
    <row r="3318" spans="3:11">
      <c r="C3318" s="11"/>
      <c r="K3318" s="11"/>
    </row>
    <row r="3319" spans="3:11">
      <c r="C3319" s="11"/>
      <c r="K3319" s="11"/>
    </row>
    <row r="3320" spans="3:11">
      <c r="C3320" s="11"/>
      <c r="K3320" s="11"/>
    </row>
    <row r="3321" spans="3:11">
      <c r="C3321" s="11"/>
      <c r="K3321" s="11"/>
    </row>
    <row r="3322" spans="3:11">
      <c r="C3322" s="11"/>
      <c r="K3322" s="11"/>
    </row>
    <row r="3323" spans="3:11">
      <c r="C3323" s="11"/>
      <c r="K3323" s="11"/>
    </row>
    <row r="3324" spans="3:11">
      <c r="C3324" s="11"/>
      <c r="K3324" s="11"/>
    </row>
    <row r="3325" spans="3:11">
      <c r="C3325" s="11"/>
      <c r="K3325" s="11"/>
    </row>
    <row r="3326" spans="3:11">
      <c r="C3326" s="11"/>
      <c r="K3326" s="11"/>
    </row>
    <row r="3327" spans="3:11">
      <c r="C3327" s="11"/>
      <c r="K3327" s="11"/>
    </row>
    <row r="3328" spans="3:11">
      <c r="C3328" s="11"/>
      <c r="K3328" s="11"/>
    </row>
    <row r="3329" spans="3:11">
      <c r="C3329" s="11"/>
      <c r="K3329" s="11"/>
    </row>
    <row r="3330" spans="3:11">
      <c r="C3330" s="11"/>
      <c r="K3330" s="11"/>
    </row>
    <row r="3331" spans="3:11">
      <c r="C3331" s="11"/>
      <c r="K3331" s="11"/>
    </row>
    <row r="3332" spans="3:11">
      <c r="C3332" s="11"/>
      <c r="K3332" s="11"/>
    </row>
    <row r="3333" spans="3:11">
      <c r="C3333" s="11"/>
      <c r="K3333" s="11"/>
    </row>
    <row r="3334" spans="3:11">
      <c r="C3334" s="11"/>
      <c r="K3334" s="11"/>
    </row>
    <row r="3335" spans="3:11">
      <c r="C3335" s="11"/>
      <c r="K3335" s="11"/>
    </row>
    <row r="3336" spans="3:11">
      <c r="C3336" s="11"/>
      <c r="K3336" s="11"/>
    </row>
    <row r="3337" spans="3:11">
      <c r="C3337" s="11"/>
      <c r="K3337" s="11"/>
    </row>
    <row r="3338" spans="3:11">
      <c r="C3338" s="11"/>
      <c r="K3338" s="11"/>
    </row>
    <row r="3339" spans="3:11">
      <c r="C3339" s="11"/>
      <c r="K3339" s="11"/>
    </row>
    <row r="3340" spans="3:11">
      <c r="C3340" s="11"/>
      <c r="K3340" s="11"/>
    </row>
    <row r="3341" spans="3:11">
      <c r="C3341" s="11"/>
      <c r="K3341" s="11"/>
    </row>
    <row r="3342" spans="3:11">
      <c r="C3342" s="11"/>
      <c r="K3342" s="11"/>
    </row>
    <row r="3343" spans="3:11">
      <c r="C3343" s="11"/>
      <c r="K3343" s="11"/>
    </row>
    <row r="3344" spans="3:11">
      <c r="C3344" s="11"/>
      <c r="K3344" s="11"/>
    </row>
    <row r="3345" spans="3:11">
      <c r="C3345" s="11"/>
      <c r="K3345" s="11"/>
    </row>
    <row r="3346" spans="3:11">
      <c r="C3346" s="11"/>
      <c r="K3346" s="11"/>
    </row>
    <row r="3347" spans="3:11">
      <c r="C3347" s="11"/>
      <c r="K3347" s="11"/>
    </row>
    <row r="3348" spans="3:11">
      <c r="C3348" s="11"/>
      <c r="K3348" s="11"/>
    </row>
    <row r="3349" spans="3:11">
      <c r="C3349" s="11"/>
      <c r="K3349" s="11"/>
    </row>
    <row r="3350" spans="3:11">
      <c r="C3350" s="11"/>
      <c r="K3350" s="11"/>
    </row>
    <row r="3351" spans="3:11">
      <c r="C3351" s="11"/>
      <c r="K3351" s="11"/>
    </row>
    <row r="3352" spans="3:11">
      <c r="C3352" s="11"/>
      <c r="K3352" s="11"/>
    </row>
    <row r="3353" spans="3:11">
      <c r="C3353" s="11"/>
      <c r="K3353" s="11"/>
    </row>
    <row r="3354" spans="3:11">
      <c r="C3354" s="11"/>
      <c r="K3354" s="11"/>
    </row>
    <row r="3355" spans="3:11">
      <c r="C3355" s="11"/>
      <c r="K3355" s="11"/>
    </row>
    <row r="3356" spans="3:11">
      <c r="C3356" s="11"/>
      <c r="K3356" s="11"/>
    </row>
    <row r="3357" spans="3:11">
      <c r="C3357" s="11"/>
      <c r="K3357" s="11"/>
    </row>
    <row r="3358" spans="3:11">
      <c r="C3358" s="11"/>
      <c r="K3358" s="11"/>
    </row>
    <row r="3359" spans="3:11">
      <c r="C3359" s="11"/>
      <c r="K3359" s="11"/>
    </row>
    <row r="3360" spans="3:11">
      <c r="C3360" s="11"/>
      <c r="K3360" s="11"/>
    </row>
    <row r="3361" spans="3:11">
      <c r="C3361" s="11"/>
      <c r="K3361" s="11"/>
    </row>
    <row r="3362" spans="3:11">
      <c r="C3362" s="11"/>
      <c r="K3362" s="11"/>
    </row>
    <row r="3363" spans="3:11">
      <c r="C3363" s="11"/>
      <c r="K3363" s="11"/>
    </row>
    <row r="3364" spans="3:11">
      <c r="C3364" s="11"/>
      <c r="K3364" s="11"/>
    </row>
    <row r="3365" spans="3:11">
      <c r="C3365" s="11"/>
      <c r="K3365" s="11"/>
    </row>
    <row r="3366" spans="3:11">
      <c r="C3366" s="11"/>
      <c r="K3366" s="11"/>
    </row>
    <row r="3367" spans="3:11">
      <c r="C3367" s="11"/>
      <c r="K3367" s="11"/>
    </row>
    <row r="3368" spans="3:11">
      <c r="C3368" s="11"/>
      <c r="K3368" s="11"/>
    </row>
    <row r="3369" spans="3:11">
      <c r="C3369" s="11"/>
      <c r="K3369" s="11"/>
    </row>
    <row r="3370" spans="3:11">
      <c r="C3370" s="11"/>
      <c r="K3370" s="11"/>
    </row>
    <row r="3371" spans="3:11">
      <c r="C3371" s="11"/>
      <c r="K3371" s="11"/>
    </row>
    <row r="3372" spans="3:11">
      <c r="C3372" s="11"/>
      <c r="K3372" s="11"/>
    </row>
    <row r="3373" spans="3:11">
      <c r="C3373" s="11"/>
      <c r="K3373" s="11"/>
    </row>
    <row r="3374" spans="3:11">
      <c r="C3374" s="11"/>
      <c r="K3374" s="11"/>
    </row>
    <row r="3375" spans="3:11">
      <c r="C3375" s="11"/>
      <c r="K3375" s="11"/>
    </row>
    <row r="3376" spans="3:11">
      <c r="C3376" s="11"/>
      <c r="K3376" s="11"/>
    </row>
    <row r="3377" spans="3:11">
      <c r="C3377" s="11"/>
      <c r="K3377" s="11"/>
    </row>
    <row r="3378" spans="3:11">
      <c r="C3378" s="11"/>
      <c r="K3378" s="11"/>
    </row>
    <row r="3379" spans="3:11">
      <c r="C3379" s="11"/>
      <c r="K3379" s="11"/>
    </row>
    <row r="3380" spans="3:11">
      <c r="C3380" s="11"/>
      <c r="K3380" s="11"/>
    </row>
    <row r="3381" spans="3:11">
      <c r="C3381" s="11"/>
      <c r="K3381" s="11"/>
    </row>
    <row r="3382" spans="3:11">
      <c r="C3382" s="11"/>
      <c r="K3382" s="11"/>
    </row>
    <row r="3383" spans="3:11">
      <c r="C3383" s="11"/>
      <c r="K3383" s="11"/>
    </row>
    <row r="3384" spans="3:11">
      <c r="C3384" s="11"/>
      <c r="K3384" s="11"/>
    </row>
    <row r="3385" spans="3:11">
      <c r="C3385" s="11"/>
      <c r="K3385" s="11"/>
    </row>
    <row r="3386" spans="3:11">
      <c r="C3386" s="11"/>
      <c r="K3386" s="11"/>
    </row>
    <row r="3387" spans="3:11">
      <c r="C3387" s="11"/>
      <c r="K3387" s="11"/>
    </row>
    <row r="3388" spans="3:11">
      <c r="C3388" s="11"/>
      <c r="K3388" s="11"/>
    </row>
    <row r="3389" spans="3:11">
      <c r="C3389" s="11"/>
      <c r="K3389" s="11"/>
    </row>
    <row r="3390" spans="3:11">
      <c r="C3390" s="11"/>
      <c r="K3390" s="11"/>
    </row>
    <row r="3391" spans="3:11">
      <c r="C3391" s="11"/>
      <c r="K3391" s="11"/>
    </row>
    <row r="3392" spans="3:11">
      <c r="C3392" s="11"/>
      <c r="K3392" s="11"/>
    </row>
    <row r="3393" spans="3:11">
      <c r="C3393" s="11"/>
      <c r="K3393" s="11"/>
    </row>
    <row r="3394" spans="3:11">
      <c r="C3394" s="11"/>
      <c r="K3394" s="11"/>
    </row>
    <row r="3395" spans="3:11">
      <c r="C3395" s="11"/>
      <c r="K3395" s="11"/>
    </row>
    <row r="3396" spans="3:11">
      <c r="C3396" s="11"/>
      <c r="K3396" s="11"/>
    </row>
    <row r="3397" spans="3:11">
      <c r="C3397" s="11"/>
      <c r="K3397" s="11"/>
    </row>
    <row r="3398" spans="3:11">
      <c r="C3398" s="11"/>
      <c r="K3398" s="11"/>
    </row>
    <row r="3399" spans="3:11">
      <c r="C3399" s="11"/>
      <c r="K3399" s="11"/>
    </row>
    <row r="3400" spans="3:11">
      <c r="C3400" s="11"/>
      <c r="K3400" s="11"/>
    </row>
    <row r="3401" spans="3:11">
      <c r="C3401" s="11"/>
      <c r="K3401" s="11"/>
    </row>
    <row r="3402" spans="3:11">
      <c r="C3402" s="11"/>
      <c r="K3402" s="11"/>
    </row>
    <row r="3403" spans="3:11">
      <c r="C3403" s="11"/>
      <c r="K3403" s="11"/>
    </row>
    <row r="3404" spans="3:11">
      <c r="C3404" s="11"/>
      <c r="K3404" s="11"/>
    </row>
    <row r="3405" spans="3:11">
      <c r="C3405" s="11"/>
      <c r="K3405" s="11"/>
    </row>
    <row r="3406" spans="3:11">
      <c r="C3406" s="11"/>
      <c r="K3406" s="11"/>
    </row>
    <row r="3407" spans="3:11">
      <c r="C3407" s="11"/>
      <c r="K3407" s="11"/>
    </row>
    <row r="3408" spans="3:11">
      <c r="C3408" s="11"/>
      <c r="K3408" s="11"/>
    </row>
    <row r="3409" spans="3:11">
      <c r="C3409" s="11"/>
      <c r="K3409" s="11"/>
    </row>
    <row r="3410" spans="3:11">
      <c r="C3410" s="11"/>
      <c r="K3410" s="11"/>
    </row>
    <row r="3411" spans="3:11">
      <c r="C3411" s="11"/>
      <c r="K3411" s="11"/>
    </row>
    <row r="3412" spans="3:11">
      <c r="C3412" s="11"/>
      <c r="K3412" s="11"/>
    </row>
    <row r="3413" spans="3:11">
      <c r="C3413" s="11"/>
      <c r="K3413" s="11"/>
    </row>
    <row r="3414" spans="3:11">
      <c r="C3414" s="11"/>
      <c r="K3414" s="11"/>
    </row>
    <row r="3415" spans="3:11">
      <c r="C3415" s="11"/>
      <c r="K3415" s="11"/>
    </row>
    <row r="3416" spans="3:11">
      <c r="C3416" s="11"/>
      <c r="K3416" s="11"/>
    </row>
    <row r="3417" spans="3:11">
      <c r="C3417" s="11"/>
      <c r="K3417" s="11"/>
    </row>
    <row r="3418" spans="3:11">
      <c r="C3418" s="11"/>
      <c r="K3418" s="11"/>
    </row>
    <row r="3419" spans="3:11">
      <c r="C3419" s="11"/>
      <c r="K3419" s="11"/>
    </row>
    <row r="3420" spans="3:11">
      <c r="C3420" s="11"/>
      <c r="K3420" s="11"/>
    </row>
    <row r="3421" spans="3:11">
      <c r="C3421" s="11"/>
      <c r="K3421" s="11"/>
    </row>
    <row r="3422" spans="3:11">
      <c r="C3422" s="11"/>
      <c r="K3422" s="11"/>
    </row>
    <row r="3423" spans="3:11">
      <c r="C3423" s="11"/>
      <c r="K3423" s="11"/>
    </row>
    <row r="3424" spans="3:11">
      <c r="C3424" s="11"/>
      <c r="K3424" s="11"/>
    </row>
    <row r="3425" spans="3:11">
      <c r="C3425" s="11"/>
      <c r="K3425" s="11"/>
    </row>
    <row r="3426" spans="3:11">
      <c r="C3426" s="11"/>
      <c r="K3426" s="11"/>
    </row>
    <row r="3427" spans="3:11">
      <c r="C3427" s="11"/>
      <c r="K3427" s="11"/>
    </row>
    <row r="3428" spans="3:11">
      <c r="C3428" s="11"/>
      <c r="K3428" s="11"/>
    </row>
    <row r="3429" spans="3:11">
      <c r="C3429" s="11"/>
      <c r="K3429" s="11"/>
    </row>
    <row r="3430" spans="3:11">
      <c r="C3430" s="11"/>
      <c r="K3430" s="11"/>
    </row>
    <row r="3431" spans="3:11">
      <c r="C3431" s="11"/>
      <c r="K3431" s="11"/>
    </row>
    <row r="3432" spans="3:11">
      <c r="C3432" s="11"/>
      <c r="K3432" s="11"/>
    </row>
    <row r="3433" spans="3:11">
      <c r="C3433" s="11"/>
      <c r="K3433" s="11"/>
    </row>
    <row r="3434" spans="3:11">
      <c r="C3434" s="11"/>
      <c r="K3434" s="11"/>
    </row>
    <row r="3435" spans="3:11">
      <c r="C3435" s="11"/>
      <c r="K3435" s="11"/>
    </row>
    <row r="3436" spans="3:11">
      <c r="C3436" s="11"/>
      <c r="K3436" s="11"/>
    </row>
    <row r="3437" spans="3:11">
      <c r="C3437" s="11"/>
      <c r="K3437" s="11"/>
    </row>
    <row r="3438" spans="3:11">
      <c r="C3438" s="11"/>
      <c r="K3438" s="11"/>
    </row>
    <row r="3439" spans="3:11">
      <c r="C3439" s="11"/>
      <c r="K3439" s="11"/>
    </row>
    <row r="3440" spans="3:11">
      <c r="C3440" s="11"/>
      <c r="K3440" s="11"/>
    </row>
    <row r="3441" spans="3:11">
      <c r="C3441" s="11"/>
      <c r="K3441" s="11"/>
    </row>
    <row r="3442" spans="3:11">
      <c r="C3442" s="11"/>
      <c r="K3442" s="11"/>
    </row>
    <row r="3443" spans="3:11">
      <c r="C3443" s="11"/>
      <c r="K3443" s="11"/>
    </row>
    <row r="3444" spans="3:11">
      <c r="C3444" s="11"/>
      <c r="K3444" s="11"/>
    </row>
    <row r="3445" spans="3:11">
      <c r="C3445" s="11"/>
      <c r="K3445" s="11"/>
    </row>
    <row r="3446" spans="3:11">
      <c r="C3446" s="11"/>
      <c r="K3446" s="11"/>
    </row>
    <row r="3447" spans="3:11">
      <c r="C3447" s="11"/>
      <c r="K3447" s="11"/>
    </row>
    <row r="3448" spans="3:11">
      <c r="C3448" s="11"/>
      <c r="K3448" s="11"/>
    </row>
    <row r="3449" spans="3:11">
      <c r="C3449" s="11"/>
      <c r="K3449" s="11"/>
    </row>
    <row r="3450" spans="3:11">
      <c r="C3450" s="11"/>
      <c r="K3450" s="11"/>
    </row>
    <row r="3451" spans="3:11">
      <c r="C3451" s="11"/>
      <c r="K3451" s="11"/>
    </row>
    <row r="3452" spans="3:11">
      <c r="C3452" s="11"/>
      <c r="K3452" s="11"/>
    </row>
    <row r="3453" spans="3:11">
      <c r="C3453" s="11"/>
      <c r="K3453" s="11"/>
    </row>
    <row r="3454" spans="3:11">
      <c r="C3454" s="11"/>
      <c r="K3454" s="11"/>
    </row>
    <row r="3455" spans="3:11">
      <c r="C3455" s="11"/>
      <c r="K3455" s="11"/>
    </row>
    <row r="3456" spans="3:11">
      <c r="C3456" s="11"/>
      <c r="K3456" s="11"/>
    </row>
    <row r="3457" spans="3:11">
      <c r="C3457" s="11"/>
      <c r="K3457" s="11"/>
    </row>
    <row r="3458" spans="3:11">
      <c r="C3458" s="11"/>
      <c r="K3458" s="11"/>
    </row>
    <row r="3459" spans="3:11">
      <c r="C3459" s="11"/>
      <c r="K3459" s="11"/>
    </row>
    <row r="3460" spans="3:11">
      <c r="C3460" s="11"/>
      <c r="K3460" s="11"/>
    </row>
    <row r="3461" spans="3:11">
      <c r="C3461" s="11"/>
      <c r="K3461" s="11"/>
    </row>
    <row r="3462" spans="3:11">
      <c r="C3462" s="11"/>
      <c r="K3462" s="11"/>
    </row>
    <row r="3463" spans="3:11">
      <c r="C3463" s="11"/>
      <c r="K3463" s="11"/>
    </row>
    <row r="3464" spans="3:11">
      <c r="C3464" s="11"/>
      <c r="K3464" s="11"/>
    </row>
    <row r="3465" spans="3:11">
      <c r="C3465" s="11"/>
      <c r="K3465" s="11"/>
    </row>
    <row r="3466" spans="3:11">
      <c r="C3466" s="11"/>
      <c r="K3466" s="11"/>
    </row>
    <row r="3467" spans="3:11">
      <c r="C3467" s="11"/>
      <c r="K3467" s="11"/>
    </row>
    <row r="3468" spans="3:11">
      <c r="C3468" s="11"/>
      <c r="K3468" s="11"/>
    </row>
    <row r="3469" spans="3:11">
      <c r="C3469" s="11"/>
      <c r="K3469" s="11"/>
    </row>
    <row r="3470" spans="3:11">
      <c r="C3470" s="11"/>
      <c r="K3470" s="11"/>
    </row>
    <row r="3471" spans="3:11">
      <c r="C3471" s="11"/>
      <c r="K3471" s="11"/>
    </row>
    <row r="3472" spans="3:11">
      <c r="C3472" s="11"/>
      <c r="K3472" s="11"/>
    </row>
    <row r="3473" spans="3:11">
      <c r="C3473" s="11"/>
      <c r="K3473" s="11"/>
    </row>
    <row r="3474" spans="3:11">
      <c r="C3474" s="11"/>
      <c r="K3474" s="11"/>
    </row>
    <row r="3475" spans="3:11">
      <c r="C3475" s="11"/>
      <c r="K3475" s="11"/>
    </row>
    <row r="3476" spans="3:11">
      <c r="C3476" s="11"/>
      <c r="K3476" s="11"/>
    </row>
    <row r="3477" spans="3:11">
      <c r="C3477" s="11"/>
      <c r="K3477" s="11"/>
    </row>
    <row r="3478" spans="3:11">
      <c r="C3478" s="11"/>
      <c r="K3478" s="11"/>
    </row>
    <row r="3479" spans="3:11">
      <c r="C3479" s="11"/>
      <c r="K3479" s="11"/>
    </row>
    <row r="3480" spans="3:11">
      <c r="C3480" s="11"/>
      <c r="K3480" s="11"/>
    </row>
    <row r="3481" spans="3:11">
      <c r="C3481" s="11"/>
      <c r="K3481" s="11"/>
    </row>
    <row r="3482" spans="3:11">
      <c r="C3482" s="11"/>
      <c r="K3482" s="11"/>
    </row>
    <row r="3483" spans="3:11">
      <c r="C3483" s="11"/>
      <c r="K3483" s="11"/>
    </row>
    <row r="3484" spans="3:11">
      <c r="C3484" s="11"/>
      <c r="K3484" s="11"/>
    </row>
    <row r="3485" spans="3:11">
      <c r="C3485" s="11"/>
      <c r="K3485" s="11"/>
    </row>
    <row r="3486" spans="3:11">
      <c r="C3486" s="11"/>
      <c r="K3486" s="11"/>
    </row>
    <row r="3487" spans="3:11">
      <c r="C3487" s="11"/>
      <c r="K3487" s="11"/>
    </row>
    <row r="3488" spans="3:11">
      <c r="C3488" s="11"/>
      <c r="K3488" s="11"/>
    </row>
    <row r="3489" spans="3:11">
      <c r="C3489" s="11"/>
      <c r="K3489" s="11"/>
    </row>
    <row r="3490" spans="3:11">
      <c r="C3490" s="11"/>
      <c r="K3490" s="11"/>
    </row>
    <row r="3491" spans="3:11">
      <c r="C3491" s="11"/>
      <c r="K3491" s="11"/>
    </row>
    <row r="3492" spans="3:11">
      <c r="C3492" s="11"/>
      <c r="K3492" s="11"/>
    </row>
    <row r="3493" spans="3:11">
      <c r="C3493" s="11"/>
      <c r="K3493" s="11"/>
    </row>
    <row r="3494" spans="3:11">
      <c r="C3494" s="11"/>
      <c r="K3494" s="11"/>
    </row>
    <row r="3495" spans="3:11">
      <c r="C3495" s="11"/>
      <c r="K3495" s="11"/>
    </row>
    <row r="3496" spans="3:11">
      <c r="C3496" s="11"/>
      <c r="K3496" s="11"/>
    </row>
    <row r="3497" spans="3:11">
      <c r="C3497" s="11"/>
      <c r="K3497" s="11"/>
    </row>
    <row r="3498" spans="3:11">
      <c r="C3498" s="11"/>
      <c r="K3498" s="11"/>
    </row>
    <row r="3499" spans="3:11">
      <c r="C3499" s="11"/>
      <c r="K3499" s="11"/>
    </row>
    <row r="3500" spans="3:11">
      <c r="C3500" s="11"/>
      <c r="K3500" s="11"/>
    </row>
    <row r="3501" spans="3:11">
      <c r="C3501" s="11"/>
      <c r="K3501" s="11"/>
    </row>
    <row r="3502" spans="3:11">
      <c r="C3502" s="11"/>
      <c r="K3502" s="11"/>
    </row>
    <row r="3503" spans="3:11">
      <c r="C3503" s="11"/>
      <c r="K3503" s="11"/>
    </row>
    <row r="3504" spans="3:11">
      <c r="C3504" s="11"/>
      <c r="K3504" s="11"/>
    </row>
    <row r="3505" spans="3:11">
      <c r="C3505" s="11"/>
      <c r="K3505" s="11"/>
    </row>
    <row r="3506" spans="3:11">
      <c r="C3506" s="11"/>
      <c r="K3506" s="11"/>
    </row>
    <row r="3507" spans="3:11">
      <c r="C3507" s="11"/>
      <c r="K3507" s="11"/>
    </row>
    <row r="3508" spans="3:11">
      <c r="C3508" s="11"/>
      <c r="K3508" s="11"/>
    </row>
    <row r="3509" spans="3:11">
      <c r="C3509" s="11"/>
      <c r="K3509" s="11"/>
    </row>
    <row r="3510" spans="3:11">
      <c r="C3510" s="11"/>
      <c r="K3510" s="11"/>
    </row>
    <row r="3511" spans="3:11">
      <c r="C3511" s="11"/>
      <c r="K3511" s="11"/>
    </row>
    <row r="3512" spans="3:11">
      <c r="C3512" s="11"/>
      <c r="K3512" s="11"/>
    </row>
    <row r="3513" spans="3:11">
      <c r="C3513" s="11"/>
      <c r="K3513" s="11"/>
    </row>
    <row r="3514" spans="3:11">
      <c r="C3514" s="11"/>
      <c r="K3514" s="11"/>
    </row>
    <row r="3515" spans="3:11">
      <c r="C3515" s="11"/>
      <c r="K3515" s="11"/>
    </row>
    <row r="3516" spans="3:11">
      <c r="C3516" s="11"/>
      <c r="K3516" s="11"/>
    </row>
    <row r="3517" spans="3:11">
      <c r="C3517" s="11"/>
      <c r="K3517" s="11"/>
    </row>
    <row r="3518" spans="3:11">
      <c r="C3518" s="11"/>
      <c r="K3518" s="11"/>
    </row>
    <row r="3519" spans="3:11">
      <c r="C3519" s="11"/>
      <c r="K3519" s="11"/>
    </row>
    <row r="3520" spans="3:11">
      <c r="C3520" s="11"/>
      <c r="K3520" s="11"/>
    </row>
    <row r="3521" spans="3:11">
      <c r="C3521" s="11"/>
      <c r="K3521" s="11"/>
    </row>
    <row r="3522" spans="3:11">
      <c r="C3522" s="11"/>
      <c r="K3522" s="11"/>
    </row>
    <row r="3523" spans="3:11">
      <c r="C3523" s="11"/>
      <c r="K3523" s="11"/>
    </row>
    <row r="3524" spans="3:11">
      <c r="C3524" s="11"/>
      <c r="K3524" s="11"/>
    </row>
    <row r="3525" spans="3:11">
      <c r="C3525" s="11"/>
      <c r="K3525" s="11"/>
    </row>
    <row r="3526" spans="3:11">
      <c r="C3526" s="11"/>
      <c r="K3526" s="11"/>
    </row>
    <row r="3527" spans="3:11">
      <c r="C3527" s="11"/>
      <c r="K3527" s="11"/>
    </row>
    <row r="3528" spans="3:11">
      <c r="C3528" s="11"/>
      <c r="K3528" s="11"/>
    </row>
    <row r="3529" spans="3:11">
      <c r="C3529" s="11"/>
      <c r="K3529" s="11"/>
    </row>
    <row r="3530" spans="3:11">
      <c r="C3530" s="11"/>
      <c r="K3530" s="11"/>
    </row>
    <row r="3531" spans="3:11">
      <c r="C3531" s="11"/>
      <c r="K3531" s="11"/>
    </row>
    <row r="3532" spans="3:11">
      <c r="C3532" s="11"/>
      <c r="K3532" s="11"/>
    </row>
    <row r="3533" spans="3:11">
      <c r="C3533" s="11"/>
      <c r="K3533" s="11"/>
    </row>
    <row r="3534" spans="3:11">
      <c r="C3534" s="11"/>
      <c r="K3534" s="11"/>
    </row>
    <row r="3535" spans="3:11">
      <c r="C3535" s="11"/>
      <c r="K3535" s="11"/>
    </row>
    <row r="3536" spans="3:11">
      <c r="C3536" s="11"/>
      <c r="K3536" s="11"/>
    </row>
    <row r="3537" spans="3:11">
      <c r="C3537" s="11"/>
      <c r="K3537" s="11"/>
    </row>
    <row r="3538" spans="3:11">
      <c r="C3538" s="11"/>
      <c r="K3538" s="11"/>
    </row>
    <row r="3539" spans="3:11">
      <c r="C3539" s="11"/>
      <c r="K3539" s="11"/>
    </row>
    <row r="3540" spans="3:11">
      <c r="C3540" s="11"/>
      <c r="K3540" s="11"/>
    </row>
    <row r="3541" spans="3:11">
      <c r="C3541" s="11"/>
      <c r="K3541" s="11"/>
    </row>
    <row r="3542" spans="3:11">
      <c r="C3542" s="11"/>
      <c r="K3542" s="11"/>
    </row>
    <row r="3543" spans="3:11">
      <c r="C3543" s="11"/>
      <c r="K3543" s="11"/>
    </row>
    <row r="3544" spans="3:11">
      <c r="C3544" s="11"/>
      <c r="K3544" s="11"/>
    </row>
    <row r="3545" spans="3:11">
      <c r="C3545" s="11"/>
      <c r="K3545" s="11"/>
    </row>
    <row r="3546" spans="3:11">
      <c r="C3546" s="11"/>
      <c r="K3546" s="11"/>
    </row>
    <row r="3547" spans="3:11">
      <c r="C3547" s="11"/>
      <c r="K3547" s="11"/>
    </row>
    <row r="3548" spans="3:11">
      <c r="C3548" s="11"/>
      <c r="K3548" s="11"/>
    </row>
    <row r="3549" spans="3:11">
      <c r="C3549" s="11"/>
      <c r="K3549" s="11"/>
    </row>
    <row r="3550" spans="3:11">
      <c r="C3550" s="11"/>
      <c r="K3550" s="11"/>
    </row>
    <row r="3551" spans="3:11">
      <c r="C3551" s="11"/>
      <c r="K3551" s="11"/>
    </row>
    <row r="3552" spans="3:11">
      <c r="C3552" s="11"/>
      <c r="K3552" s="11"/>
    </row>
    <row r="3553" spans="3:11">
      <c r="C3553" s="11"/>
      <c r="K3553" s="11"/>
    </row>
    <row r="3554" spans="3:11">
      <c r="C3554" s="11"/>
      <c r="K3554" s="11"/>
    </row>
    <row r="3555" spans="3:11">
      <c r="C3555" s="11"/>
      <c r="K3555" s="11"/>
    </row>
    <row r="3556" spans="3:11">
      <c r="C3556" s="11"/>
      <c r="K3556" s="11"/>
    </row>
    <row r="3557" spans="3:11">
      <c r="C3557" s="11"/>
      <c r="K3557" s="11"/>
    </row>
    <row r="3558" spans="3:11">
      <c r="C3558" s="11"/>
      <c r="K3558" s="11"/>
    </row>
    <row r="3559" spans="3:11">
      <c r="C3559" s="11"/>
      <c r="K3559" s="11"/>
    </row>
    <row r="3560" spans="3:11">
      <c r="C3560" s="11"/>
      <c r="K3560" s="11"/>
    </row>
    <row r="3561" spans="3:11">
      <c r="C3561" s="11"/>
      <c r="K3561" s="11"/>
    </row>
    <row r="3562" spans="3:11">
      <c r="C3562" s="11"/>
      <c r="K3562" s="11"/>
    </row>
    <row r="3563" spans="3:11">
      <c r="C3563" s="11"/>
      <c r="K3563" s="11"/>
    </row>
    <row r="3564" spans="3:11">
      <c r="C3564" s="11"/>
      <c r="K3564" s="11"/>
    </row>
    <row r="3565" spans="3:11">
      <c r="C3565" s="11"/>
      <c r="K3565" s="11"/>
    </row>
    <row r="3566" spans="3:11">
      <c r="C3566" s="11"/>
      <c r="K3566" s="11"/>
    </row>
    <row r="3567" spans="3:11">
      <c r="C3567" s="11"/>
      <c r="K3567" s="11"/>
    </row>
    <row r="3568" spans="3:11">
      <c r="C3568" s="11"/>
      <c r="K3568" s="11"/>
    </row>
    <row r="3569" spans="3:11">
      <c r="C3569" s="11"/>
      <c r="K3569" s="11"/>
    </row>
    <row r="3570" spans="3:11">
      <c r="C3570" s="11"/>
      <c r="K3570" s="11"/>
    </row>
    <row r="3571" spans="3:11">
      <c r="C3571" s="11"/>
      <c r="K3571" s="11"/>
    </row>
    <row r="3572" spans="3:11">
      <c r="C3572" s="11"/>
      <c r="K3572" s="11"/>
    </row>
    <row r="3573" spans="3:11">
      <c r="C3573" s="11"/>
      <c r="K3573" s="11"/>
    </row>
    <row r="3574" spans="3:11">
      <c r="C3574" s="11"/>
      <c r="K3574" s="11"/>
    </row>
    <row r="3575" spans="3:11">
      <c r="C3575" s="11"/>
      <c r="K3575" s="11"/>
    </row>
    <row r="3576" spans="3:11">
      <c r="C3576" s="11"/>
      <c r="K3576" s="11"/>
    </row>
    <row r="3577" spans="3:11">
      <c r="C3577" s="11"/>
      <c r="K3577" s="11"/>
    </row>
    <row r="3578" spans="3:11">
      <c r="C3578" s="11"/>
      <c r="K3578" s="11"/>
    </row>
    <row r="3579" spans="3:11">
      <c r="C3579" s="11"/>
      <c r="K3579" s="11"/>
    </row>
    <row r="3580" spans="3:11">
      <c r="C3580" s="11"/>
      <c r="K3580" s="11"/>
    </row>
    <row r="3581" spans="3:11">
      <c r="C3581" s="11"/>
      <c r="K3581" s="11"/>
    </row>
    <row r="3582" spans="3:11">
      <c r="C3582" s="11"/>
      <c r="K3582" s="11"/>
    </row>
    <row r="3583" spans="3:11">
      <c r="C3583" s="11"/>
      <c r="K3583" s="11"/>
    </row>
    <row r="3584" spans="3:11">
      <c r="C3584" s="11"/>
      <c r="K3584" s="11"/>
    </row>
    <row r="3585" spans="3:11">
      <c r="C3585" s="11"/>
      <c r="K3585" s="11"/>
    </row>
    <row r="3586" spans="3:11">
      <c r="C3586" s="11"/>
      <c r="K3586" s="11"/>
    </row>
    <row r="3587" spans="3:11">
      <c r="C3587" s="11"/>
      <c r="K3587" s="11"/>
    </row>
    <row r="3588" spans="3:11">
      <c r="C3588" s="11"/>
      <c r="K3588" s="11"/>
    </row>
    <row r="3589" spans="3:11">
      <c r="C3589" s="11"/>
      <c r="K3589" s="11"/>
    </row>
    <row r="3590" spans="3:11">
      <c r="C3590" s="11"/>
      <c r="K3590" s="11"/>
    </row>
    <row r="3591" spans="3:11">
      <c r="C3591" s="11"/>
      <c r="K3591" s="11"/>
    </row>
    <row r="3592" spans="3:11">
      <c r="C3592" s="11"/>
      <c r="K3592" s="11"/>
    </row>
    <row r="3593" spans="3:11">
      <c r="C3593" s="11"/>
      <c r="K3593" s="11"/>
    </row>
    <row r="3594" spans="3:11">
      <c r="C3594" s="11"/>
      <c r="K3594" s="11"/>
    </row>
    <row r="3595" spans="3:11">
      <c r="C3595" s="11"/>
      <c r="K3595" s="11"/>
    </row>
    <row r="3596" spans="3:11">
      <c r="C3596" s="11"/>
      <c r="K3596" s="11"/>
    </row>
    <row r="3597" spans="3:11">
      <c r="C3597" s="11"/>
      <c r="K3597" s="11"/>
    </row>
    <row r="3598" spans="3:11">
      <c r="C3598" s="11"/>
      <c r="K3598" s="11"/>
    </row>
    <row r="3599" spans="3:11">
      <c r="C3599" s="11"/>
      <c r="K3599" s="11"/>
    </row>
    <row r="3600" spans="3:11">
      <c r="C3600" s="11"/>
      <c r="K3600" s="11"/>
    </row>
    <row r="3601" spans="3:11">
      <c r="C3601" s="11"/>
      <c r="K3601" s="11"/>
    </row>
    <row r="3602" spans="3:11">
      <c r="C3602" s="11"/>
      <c r="K3602" s="11"/>
    </row>
    <row r="3603" spans="3:11">
      <c r="C3603" s="11"/>
      <c r="K3603" s="11"/>
    </row>
    <row r="3604" spans="3:11">
      <c r="C3604" s="11"/>
      <c r="K3604" s="11"/>
    </row>
    <row r="3605" spans="3:11">
      <c r="C3605" s="11"/>
      <c r="K3605" s="11"/>
    </row>
    <row r="3606" spans="3:11">
      <c r="C3606" s="11"/>
      <c r="K3606" s="11"/>
    </row>
    <row r="3607" spans="3:11">
      <c r="C3607" s="11"/>
      <c r="K3607" s="11"/>
    </row>
    <row r="3608" spans="3:11">
      <c r="C3608" s="11"/>
      <c r="K3608" s="11"/>
    </row>
    <row r="3609" spans="3:11">
      <c r="C3609" s="11"/>
      <c r="K3609" s="11"/>
    </row>
    <row r="3610" spans="3:11">
      <c r="C3610" s="11"/>
      <c r="K3610" s="11"/>
    </row>
    <row r="3611" spans="3:11">
      <c r="C3611" s="11"/>
      <c r="K3611" s="11"/>
    </row>
    <row r="3612" spans="3:11">
      <c r="C3612" s="11"/>
      <c r="K3612" s="11"/>
    </row>
    <row r="3613" spans="3:11">
      <c r="C3613" s="11"/>
      <c r="K3613" s="11"/>
    </row>
    <row r="3614" spans="3:11">
      <c r="C3614" s="11"/>
      <c r="K3614" s="11"/>
    </row>
    <row r="3615" spans="3:11">
      <c r="C3615" s="11"/>
      <c r="K3615" s="11"/>
    </row>
    <row r="3616" spans="3:11">
      <c r="C3616" s="11"/>
      <c r="K3616" s="11"/>
    </row>
    <row r="3617" spans="3:11">
      <c r="C3617" s="11"/>
      <c r="K3617" s="11"/>
    </row>
    <row r="3618" spans="3:11">
      <c r="C3618" s="11"/>
      <c r="K3618" s="11"/>
    </row>
    <row r="3619" spans="3:11">
      <c r="C3619" s="11"/>
      <c r="K3619" s="11"/>
    </row>
    <row r="3620" spans="3:11">
      <c r="C3620" s="11"/>
      <c r="K3620" s="11"/>
    </row>
    <row r="3621" spans="3:11">
      <c r="C3621" s="11"/>
      <c r="K3621" s="11"/>
    </row>
    <row r="3622" spans="3:11">
      <c r="C3622" s="11"/>
      <c r="K3622" s="11"/>
    </row>
    <row r="3623" spans="3:11">
      <c r="C3623" s="11"/>
      <c r="K3623" s="11"/>
    </row>
    <row r="3624" spans="3:11">
      <c r="C3624" s="11"/>
      <c r="K3624" s="11"/>
    </row>
    <row r="3625" spans="3:11">
      <c r="C3625" s="11"/>
      <c r="K3625" s="11"/>
    </row>
    <row r="3626" spans="3:11">
      <c r="C3626" s="11"/>
      <c r="K3626" s="11"/>
    </row>
    <row r="3627" spans="3:11">
      <c r="C3627" s="11"/>
      <c r="K3627" s="11"/>
    </row>
    <row r="3628" spans="3:11">
      <c r="C3628" s="11"/>
      <c r="K3628" s="11"/>
    </row>
    <row r="3629" spans="3:11">
      <c r="C3629" s="11"/>
      <c r="K3629" s="11"/>
    </row>
    <row r="3630" spans="3:11">
      <c r="C3630" s="11"/>
      <c r="K3630" s="11"/>
    </row>
    <row r="3631" spans="3:11">
      <c r="C3631" s="11"/>
      <c r="K3631" s="11"/>
    </row>
    <row r="3632" spans="3:11">
      <c r="C3632" s="11"/>
      <c r="K3632" s="11"/>
    </row>
    <row r="3633" spans="3:11">
      <c r="C3633" s="11"/>
      <c r="K3633" s="11"/>
    </row>
    <row r="3634" spans="3:11">
      <c r="C3634" s="11"/>
      <c r="K3634" s="11"/>
    </row>
    <row r="3635" spans="3:11">
      <c r="C3635" s="11"/>
      <c r="K3635" s="11"/>
    </row>
    <row r="3636" spans="3:11">
      <c r="C3636" s="11"/>
      <c r="K3636" s="11"/>
    </row>
    <row r="3637" spans="3:11">
      <c r="C3637" s="11"/>
      <c r="K3637" s="11"/>
    </row>
    <row r="3638" spans="3:11">
      <c r="C3638" s="11"/>
      <c r="K3638" s="11"/>
    </row>
    <row r="3639" spans="3:11">
      <c r="C3639" s="11"/>
      <c r="K3639" s="11"/>
    </row>
    <row r="3640" spans="3:11">
      <c r="C3640" s="11"/>
      <c r="K3640" s="11"/>
    </row>
    <row r="3641" spans="3:11">
      <c r="C3641" s="11"/>
      <c r="K3641" s="11"/>
    </row>
    <row r="3642" spans="3:11">
      <c r="C3642" s="11"/>
      <c r="K3642" s="11"/>
    </row>
    <row r="3643" spans="3:11">
      <c r="C3643" s="11"/>
      <c r="K3643" s="11"/>
    </row>
    <row r="3644" spans="3:11">
      <c r="C3644" s="11"/>
      <c r="K3644" s="11"/>
    </row>
    <row r="3645" spans="3:11">
      <c r="C3645" s="11"/>
      <c r="K3645" s="11"/>
    </row>
    <row r="3646" spans="3:11">
      <c r="C3646" s="11"/>
      <c r="K3646" s="11"/>
    </row>
    <row r="3647" spans="3:11">
      <c r="C3647" s="11"/>
      <c r="K3647" s="11"/>
    </row>
    <row r="3648" spans="3:11">
      <c r="C3648" s="11"/>
      <c r="K3648" s="11"/>
    </row>
    <row r="3649" spans="3:11">
      <c r="C3649" s="11"/>
      <c r="K3649" s="11"/>
    </row>
    <row r="3650" spans="3:11">
      <c r="C3650" s="11"/>
      <c r="K3650" s="11"/>
    </row>
    <row r="3651" spans="3:11">
      <c r="C3651" s="11"/>
      <c r="K3651" s="11"/>
    </row>
    <row r="3652" spans="3:11">
      <c r="C3652" s="11"/>
      <c r="K3652" s="11"/>
    </row>
    <row r="3653" spans="3:11">
      <c r="C3653" s="11"/>
      <c r="K3653" s="11"/>
    </row>
    <row r="3654" spans="3:11">
      <c r="C3654" s="11"/>
      <c r="K3654" s="11"/>
    </row>
    <row r="3655" spans="3:11">
      <c r="C3655" s="11"/>
      <c r="K3655" s="11"/>
    </row>
    <row r="3656" spans="3:11">
      <c r="C3656" s="11"/>
      <c r="K3656" s="11"/>
    </row>
    <row r="3657" spans="3:11">
      <c r="C3657" s="11"/>
      <c r="K3657" s="11"/>
    </row>
    <row r="3658" spans="3:11">
      <c r="C3658" s="11"/>
      <c r="K3658" s="11"/>
    </row>
    <row r="3659" spans="3:11">
      <c r="C3659" s="11"/>
      <c r="K3659" s="11"/>
    </row>
    <row r="3660" spans="3:11">
      <c r="C3660" s="11"/>
      <c r="K3660" s="11"/>
    </row>
    <row r="3661" spans="3:11">
      <c r="C3661" s="11"/>
      <c r="K3661" s="11"/>
    </row>
    <row r="3662" spans="3:11">
      <c r="C3662" s="11"/>
      <c r="K3662" s="11"/>
    </row>
    <row r="3663" spans="3:11">
      <c r="C3663" s="11"/>
      <c r="K3663" s="11"/>
    </row>
    <row r="3664" spans="3:11">
      <c r="C3664" s="11"/>
      <c r="K3664" s="11"/>
    </row>
    <row r="3665" spans="3:11">
      <c r="C3665" s="11"/>
      <c r="K3665" s="11"/>
    </row>
    <row r="3666" spans="3:11">
      <c r="C3666" s="11"/>
      <c r="K3666" s="11"/>
    </row>
    <row r="3667" spans="3:11">
      <c r="C3667" s="11"/>
      <c r="K3667" s="11"/>
    </row>
    <row r="3668" spans="3:11">
      <c r="C3668" s="11"/>
      <c r="K3668" s="11"/>
    </row>
    <row r="3669" spans="3:11">
      <c r="C3669" s="11"/>
      <c r="K3669" s="11"/>
    </row>
    <row r="3670" spans="3:11">
      <c r="C3670" s="11"/>
      <c r="K3670" s="11"/>
    </row>
    <row r="3671" spans="3:11">
      <c r="C3671" s="11"/>
      <c r="K3671" s="11"/>
    </row>
    <row r="3672" spans="3:11">
      <c r="C3672" s="11"/>
      <c r="K3672" s="11"/>
    </row>
    <row r="3673" spans="3:11">
      <c r="C3673" s="11"/>
      <c r="K3673" s="11"/>
    </row>
    <row r="3674" spans="3:11">
      <c r="C3674" s="11"/>
      <c r="K3674" s="11"/>
    </row>
    <row r="3675" spans="3:11">
      <c r="C3675" s="11"/>
      <c r="K3675" s="11"/>
    </row>
    <row r="3676" spans="3:11">
      <c r="C3676" s="11"/>
      <c r="K3676" s="11"/>
    </row>
    <row r="3677" spans="3:11">
      <c r="C3677" s="11"/>
      <c r="K3677" s="11"/>
    </row>
    <row r="3678" spans="3:11">
      <c r="C3678" s="11"/>
      <c r="K3678" s="11"/>
    </row>
    <row r="3679" spans="3:11">
      <c r="C3679" s="11"/>
      <c r="K3679" s="11"/>
    </row>
    <row r="3680" spans="3:11">
      <c r="C3680" s="11"/>
      <c r="K3680" s="11"/>
    </row>
    <row r="3681" spans="3:11">
      <c r="C3681" s="11"/>
      <c r="K3681" s="11"/>
    </row>
    <row r="3682" spans="3:11">
      <c r="C3682" s="11"/>
      <c r="K3682" s="11"/>
    </row>
    <row r="3683" spans="3:11">
      <c r="C3683" s="11"/>
      <c r="K3683" s="11"/>
    </row>
    <row r="3684" spans="3:11">
      <c r="C3684" s="11"/>
      <c r="K3684" s="11"/>
    </row>
    <row r="3685" spans="3:11">
      <c r="C3685" s="11"/>
      <c r="K3685" s="11"/>
    </row>
    <row r="3686" spans="3:11">
      <c r="C3686" s="11"/>
      <c r="K3686" s="11"/>
    </row>
    <row r="3687" spans="3:11">
      <c r="C3687" s="11"/>
      <c r="K3687" s="11"/>
    </row>
    <row r="3688" spans="3:11">
      <c r="C3688" s="11"/>
      <c r="K3688" s="11"/>
    </row>
    <row r="3689" spans="3:11">
      <c r="C3689" s="11"/>
      <c r="K3689" s="11"/>
    </row>
    <row r="3690" spans="3:11">
      <c r="C3690" s="11"/>
      <c r="K3690" s="11"/>
    </row>
    <row r="3691" spans="3:11">
      <c r="C3691" s="11"/>
      <c r="K3691" s="11"/>
    </row>
    <row r="3692" spans="3:11">
      <c r="C3692" s="11"/>
      <c r="K3692" s="11"/>
    </row>
    <row r="3693" spans="3:11">
      <c r="C3693" s="11"/>
      <c r="K3693" s="11"/>
    </row>
    <row r="3694" spans="3:11">
      <c r="C3694" s="11"/>
      <c r="K3694" s="11"/>
    </row>
    <row r="3695" spans="3:11">
      <c r="C3695" s="11"/>
      <c r="K3695" s="11"/>
    </row>
    <row r="3696" spans="3:11">
      <c r="C3696" s="11"/>
      <c r="K3696" s="11"/>
    </row>
    <row r="3697" spans="3:11">
      <c r="C3697" s="11"/>
      <c r="K3697" s="11"/>
    </row>
    <row r="3698" spans="3:11">
      <c r="C3698" s="11"/>
      <c r="K3698" s="11"/>
    </row>
    <row r="3699" spans="3:11">
      <c r="C3699" s="11"/>
      <c r="K3699" s="11"/>
    </row>
    <row r="3700" spans="3:11">
      <c r="C3700" s="11"/>
      <c r="K3700" s="11"/>
    </row>
    <row r="3701" spans="3:11">
      <c r="C3701" s="11"/>
      <c r="K3701" s="11"/>
    </row>
    <row r="3702" spans="3:11">
      <c r="C3702" s="11"/>
      <c r="K3702" s="11"/>
    </row>
    <row r="3703" spans="3:11">
      <c r="C3703" s="11"/>
      <c r="K3703" s="11"/>
    </row>
    <row r="3704" spans="3:11">
      <c r="C3704" s="11"/>
      <c r="K3704" s="11"/>
    </row>
    <row r="3705" spans="3:11">
      <c r="C3705" s="11"/>
      <c r="K3705" s="11"/>
    </row>
    <row r="3706" spans="3:11">
      <c r="C3706" s="11"/>
      <c r="K3706" s="11"/>
    </row>
    <row r="3707" spans="3:11">
      <c r="C3707" s="11"/>
      <c r="K3707" s="11"/>
    </row>
    <row r="3708" spans="3:11">
      <c r="C3708" s="11"/>
      <c r="K3708" s="11"/>
    </row>
    <row r="3709" spans="3:11">
      <c r="C3709" s="11"/>
      <c r="K3709" s="11"/>
    </row>
    <row r="3710" spans="3:11">
      <c r="C3710" s="11"/>
      <c r="K3710" s="11"/>
    </row>
    <row r="3711" spans="3:11">
      <c r="C3711" s="11"/>
      <c r="K3711" s="11"/>
    </row>
    <row r="3712" spans="3:11">
      <c r="C3712" s="11"/>
      <c r="K3712" s="11"/>
    </row>
    <row r="3713" spans="3:11">
      <c r="C3713" s="11"/>
      <c r="K3713" s="11"/>
    </row>
    <row r="3714" spans="3:11">
      <c r="C3714" s="11"/>
      <c r="K3714" s="11"/>
    </row>
    <row r="3715" spans="3:11">
      <c r="C3715" s="11"/>
      <c r="K3715" s="11"/>
    </row>
    <row r="3716" spans="3:11">
      <c r="C3716" s="11"/>
      <c r="K3716" s="11"/>
    </row>
    <row r="3717" spans="3:11">
      <c r="C3717" s="11"/>
      <c r="K3717" s="11"/>
    </row>
    <row r="3718" spans="3:11">
      <c r="C3718" s="11"/>
      <c r="K3718" s="11"/>
    </row>
    <row r="3719" spans="3:11">
      <c r="C3719" s="11"/>
      <c r="K3719" s="11"/>
    </row>
    <row r="3720" spans="3:11">
      <c r="C3720" s="11"/>
      <c r="K3720" s="11"/>
    </row>
    <row r="3721" spans="3:11">
      <c r="C3721" s="11"/>
      <c r="K3721" s="11"/>
    </row>
    <row r="3722" spans="3:11">
      <c r="C3722" s="11"/>
      <c r="K3722" s="11"/>
    </row>
    <row r="3723" spans="3:11">
      <c r="C3723" s="11"/>
      <c r="K3723" s="11"/>
    </row>
    <row r="3724" spans="3:11">
      <c r="C3724" s="11"/>
      <c r="K3724" s="11"/>
    </row>
    <row r="3725" spans="3:11">
      <c r="C3725" s="11"/>
      <c r="K3725" s="11"/>
    </row>
    <row r="3726" spans="3:11">
      <c r="C3726" s="11"/>
      <c r="K3726" s="11"/>
    </row>
    <row r="3727" spans="3:11">
      <c r="C3727" s="11"/>
      <c r="K3727" s="11"/>
    </row>
    <row r="3728" spans="3:11">
      <c r="C3728" s="11"/>
      <c r="K3728" s="11"/>
    </row>
    <row r="3729" spans="3:11">
      <c r="C3729" s="11"/>
      <c r="K3729" s="11"/>
    </row>
    <row r="3730" spans="3:11">
      <c r="C3730" s="11"/>
      <c r="K3730" s="11"/>
    </row>
    <row r="3731" spans="3:11">
      <c r="C3731" s="11"/>
      <c r="K3731" s="11"/>
    </row>
    <row r="3732" spans="3:11">
      <c r="C3732" s="11"/>
      <c r="K3732" s="11"/>
    </row>
    <row r="3733" spans="3:11">
      <c r="C3733" s="11"/>
      <c r="K3733" s="11"/>
    </row>
    <row r="3734" spans="3:11">
      <c r="C3734" s="11"/>
      <c r="K3734" s="11"/>
    </row>
    <row r="3735" spans="3:11">
      <c r="C3735" s="11"/>
      <c r="K3735" s="11"/>
    </row>
    <row r="3736" spans="3:11">
      <c r="C3736" s="11"/>
      <c r="K3736" s="11"/>
    </row>
    <row r="3737" spans="3:11">
      <c r="C3737" s="11"/>
      <c r="K3737" s="11"/>
    </row>
    <row r="3738" spans="3:11">
      <c r="C3738" s="11"/>
      <c r="K3738" s="11"/>
    </row>
    <row r="3739" spans="3:11">
      <c r="C3739" s="11"/>
      <c r="K3739" s="11"/>
    </row>
    <row r="3740" spans="3:11">
      <c r="C3740" s="11"/>
      <c r="K3740" s="11"/>
    </row>
    <row r="3741" spans="3:11">
      <c r="C3741" s="11"/>
      <c r="K3741" s="11"/>
    </row>
    <row r="3742" spans="3:11">
      <c r="C3742" s="11"/>
      <c r="K3742" s="11"/>
    </row>
    <row r="3743" spans="3:11">
      <c r="C3743" s="11"/>
      <c r="K3743" s="11"/>
    </row>
    <row r="3744" spans="3:11">
      <c r="C3744" s="11"/>
      <c r="K3744" s="11"/>
    </row>
    <row r="3745" spans="3:11">
      <c r="C3745" s="11"/>
      <c r="K3745" s="11"/>
    </row>
    <row r="3746" spans="3:11">
      <c r="C3746" s="11"/>
      <c r="K3746" s="11"/>
    </row>
    <row r="3747" spans="3:11">
      <c r="C3747" s="11"/>
      <c r="K3747" s="11"/>
    </row>
    <row r="3748" spans="3:11">
      <c r="C3748" s="11"/>
      <c r="K3748" s="11"/>
    </row>
    <row r="3749" spans="3:11">
      <c r="C3749" s="11"/>
      <c r="K3749" s="11"/>
    </row>
    <row r="3750" spans="3:11">
      <c r="C3750" s="11"/>
      <c r="K3750" s="11"/>
    </row>
    <row r="3751" spans="3:11">
      <c r="C3751" s="11"/>
      <c r="K3751" s="11"/>
    </row>
    <row r="3752" spans="3:11">
      <c r="C3752" s="11"/>
      <c r="K3752" s="11"/>
    </row>
    <row r="3753" spans="3:11">
      <c r="C3753" s="11"/>
      <c r="K3753" s="11"/>
    </row>
    <row r="3754" spans="3:11">
      <c r="C3754" s="11"/>
      <c r="K3754" s="11"/>
    </row>
    <row r="3755" spans="3:11">
      <c r="C3755" s="11"/>
      <c r="K3755" s="11"/>
    </row>
    <row r="3756" spans="3:11">
      <c r="C3756" s="11"/>
      <c r="K3756" s="11"/>
    </row>
    <row r="3757" spans="3:11">
      <c r="C3757" s="11"/>
      <c r="K3757" s="11"/>
    </row>
    <row r="3758" spans="3:11">
      <c r="C3758" s="11"/>
      <c r="K3758" s="11"/>
    </row>
    <row r="3759" spans="3:11">
      <c r="C3759" s="11"/>
      <c r="K3759" s="11"/>
    </row>
    <row r="3760" spans="3:11">
      <c r="C3760" s="11"/>
      <c r="K3760" s="11"/>
    </row>
    <row r="3761" spans="3:11">
      <c r="C3761" s="11"/>
      <c r="K3761" s="11"/>
    </row>
    <row r="3762" spans="3:11">
      <c r="C3762" s="11"/>
      <c r="K3762" s="11"/>
    </row>
    <row r="3763" spans="3:11">
      <c r="C3763" s="11"/>
      <c r="K3763" s="11"/>
    </row>
    <row r="3764" spans="3:11">
      <c r="C3764" s="11"/>
      <c r="K3764" s="11"/>
    </row>
    <row r="3765" spans="3:11">
      <c r="C3765" s="11"/>
      <c r="K3765" s="11"/>
    </row>
    <row r="3766" spans="3:11">
      <c r="C3766" s="11"/>
      <c r="K3766" s="11"/>
    </row>
    <row r="3767" spans="3:11">
      <c r="C3767" s="11"/>
      <c r="K3767" s="11"/>
    </row>
    <row r="3768" spans="3:11">
      <c r="C3768" s="11"/>
      <c r="K3768" s="11"/>
    </row>
    <row r="3769" spans="3:11">
      <c r="C3769" s="11"/>
      <c r="K3769" s="11"/>
    </row>
    <row r="3770" spans="3:11">
      <c r="C3770" s="11"/>
      <c r="K3770" s="11"/>
    </row>
    <row r="3771" spans="3:11">
      <c r="C3771" s="11"/>
      <c r="K3771" s="11"/>
    </row>
    <row r="3772" spans="3:11">
      <c r="C3772" s="11"/>
      <c r="K3772" s="11"/>
    </row>
    <row r="3773" spans="3:11">
      <c r="C3773" s="11"/>
      <c r="K3773" s="11"/>
    </row>
    <row r="3774" spans="3:11">
      <c r="C3774" s="11"/>
      <c r="K3774" s="11"/>
    </row>
    <row r="3775" spans="3:11">
      <c r="C3775" s="11"/>
      <c r="K3775" s="11"/>
    </row>
    <row r="3776" spans="3:11">
      <c r="C3776" s="11"/>
      <c r="K3776" s="11"/>
    </row>
    <row r="3777" spans="3:11">
      <c r="C3777" s="11"/>
      <c r="K3777" s="11"/>
    </row>
    <row r="3778" spans="3:11">
      <c r="C3778" s="11"/>
      <c r="K3778" s="11"/>
    </row>
    <row r="3779" spans="3:11">
      <c r="C3779" s="11"/>
      <c r="K3779" s="11"/>
    </row>
    <row r="3780" spans="3:11">
      <c r="C3780" s="11"/>
      <c r="K3780" s="11"/>
    </row>
    <row r="3781" spans="3:11">
      <c r="C3781" s="11"/>
      <c r="K3781" s="11"/>
    </row>
    <row r="3782" spans="3:11">
      <c r="C3782" s="11"/>
      <c r="K3782" s="11"/>
    </row>
    <row r="3783" spans="3:11">
      <c r="C3783" s="11"/>
      <c r="K3783" s="11"/>
    </row>
    <row r="3784" spans="3:11">
      <c r="C3784" s="11"/>
      <c r="K3784" s="11"/>
    </row>
    <row r="3785" spans="3:11">
      <c r="C3785" s="11"/>
      <c r="K3785" s="11"/>
    </row>
    <row r="3786" spans="3:11">
      <c r="C3786" s="11"/>
      <c r="K3786" s="11"/>
    </row>
    <row r="3787" spans="3:11">
      <c r="C3787" s="11"/>
      <c r="K3787" s="11"/>
    </row>
    <row r="3788" spans="3:11">
      <c r="C3788" s="11"/>
      <c r="K3788" s="11"/>
    </row>
    <row r="3789" spans="3:11">
      <c r="C3789" s="11"/>
      <c r="K3789" s="11"/>
    </row>
    <row r="3790" spans="3:11">
      <c r="C3790" s="11"/>
      <c r="K3790" s="11"/>
    </row>
    <row r="3791" spans="3:11">
      <c r="C3791" s="11"/>
      <c r="K3791" s="11"/>
    </row>
    <row r="3792" spans="3:11">
      <c r="C3792" s="11"/>
      <c r="K3792" s="11"/>
    </row>
    <row r="3793" spans="3:11">
      <c r="C3793" s="11"/>
      <c r="K3793" s="11"/>
    </row>
    <row r="3794" spans="3:11">
      <c r="C3794" s="11"/>
      <c r="K3794" s="11"/>
    </row>
    <row r="3795" spans="3:11">
      <c r="C3795" s="11"/>
      <c r="K3795" s="11"/>
    </row>
    <row r="3796" spans="3:11">
      <c r="C3796" s="11"/>
      <c r="K3796" s="11"/>
    </row>
    <row r="3797" spans="3:11">
      <c r="C3797" s="11"/>
      <c r="K3797" s="11"/>
    </row>
    <row r="3798" spans="3:11">
      <c r="C3798" s="11"/>
      <c r="K3798" s="11"/>
    </row>
    <row r="3799" spans="3:11">
      <c r="C3799" s="11"/>
      <c r="K3799" s="11"/>
    </row>
    <row r="3800" spans="3:11">
      <c r="C3800" s="11"/>
      <c r="K3800" s="11"/>
    </row>
    <row r="3801" spans="3:11">
      <c r="C3801" s="11"/>
      <c r="K3801" s="11"/>
    </row>
    <row r="3802" spans="3:11">
      <c r="C3802" s="11"/>
      <c r="K3802" s="11"/>
    </row>
    <row r="3803" spans="3:11">
      <c r="C3803" s="11"/>
      <c r="K3803" s="11"/>
    </row>
    <row r="3804" spans="3:11">
      <c r="C3804" s="11"/>
      <c r="K3804" s="11"/>
    </row>
    <row r="3805" spans="3:11">
      <c r="C3805" s="11"/>
      <c r="K3805" s="11"/>
    </row>
    <row r="3806" spans="3:11">
      <c r="C3806" s="11"/>
      <c r="K3806" s="11"/>
    </row>
    <row r="3807" spans="3:11">
      <c r="C3807" s="11"/>
      <c r="K3807" s="11"/>
    </row>
    <row r="3808" spans="3:11">
      <c r="C3808" s="11"/>
      <c r="K3808" s="11"/>
    </row>
    <row r="3809" spans="3:11">
      <c r="C3809" s="11"/>
      <c r="K3809" s="11"/>
    </row>
    <row r="3810" spans="3:11">
      <c r="C3810" s="11"/>
      <c r="K3810" s="11"/>
    </row>
    <row r="3811" spans="3:11">
      <c r="C3811" s="11"/>
      <c r="K3811" s="11"/>
    </row>
    <row r="3812" spans="3:11">
      <c r="C3812" s="11"/>
      <c r="K3812" s="11"/>
    </row>
    <row r="3813" spans="3:11">
      <c r="C3813" s="11"/>
      <c r="K3813" s="11"/>
    </row>
    <row r="3814" spans="3:11">
      <c r="C3814" s="11"/>
      <c r="K3814" s="11"/>
    </row>
    <row r="3815" spans="3:11">
      <c r="C3815" s="11"/>
      <c r="K3815" s="11"/>
    </row>
    <row r="3816" spans="3:11">
      <c r="C3816" s="11"/>
      <c r="K3816" s="11"/>
    </row>
    <row r="3817" spans="3:11">
      <c r="C3817" s="11"/>
      <c r="K3817" s="11"/>
    </row>
    <row r="3818" spans="3:11">
      <c r="C3818" s="11"/>
      <c r="K3818" s="11"/>
    </row>
    <row r="3819" spans="3:11">
      <c r="C3819" s="11"/>
      <c r="K3819" s="11"/>
    </row>
    <row r="3820" spans="3:11">
      <c r="C3820" s="11"/>
      <c r="K3820" s="11"/>
    </row>
    <row r="3821" spans="3:11">
      <c r="C3821" s="11"/>
      <c r="K3821" s="11"/>
    </row>
    <row r="3822" spans="3:11">
      <c r="C3822" s="11"/>
      <c r="K3822" s="11"/>
    </row>
    <row r="3823" spans="3:11">
      <c r="C3823" s="11"/>
      <c r="K3823" s="11"/>
    </row>
    <row r="3824" spans="3:11">
      <c r="C3824" s="11"/>
      <c r="K3824" s="11"/>
    </row>
    <row r="3825" spans="3:11">
      <c r="C3825" s="11"/>
      <c r="K3825" s="11"/>
    </row>
    <row r="3826" spans="3:11">
      <c r="C3826" s="11"/>
      <c r="K3826" s="11"/>
    </row>
    <row r="3827" spans="3:11">
      <c r="C3827" s="11"/>
      <c r="K3827" s="11"/>
    </row>
    <row r="3828" spans="3:11">
      <c r="C3828" s="11"/>
      <c r="K3828" s="11"/>
    </row>
    <row r="3829" spans="3:11">
      <c r="C3829" s="11"/>
      <c r="K3829" s="11"/>
    </row>
    <row r="3830" spans="3:11">
      <c r="C3830" s="11"/>
      <c r="K3830" s="11"/>
    </row>
    <row r="3831" spans="3:11">
      <c r="C3831" s="11"/>
      <c r="K3831" s="11"/>
    </row>
    <row r="3832" spans="3:11">
      <c r="C3832" s="11"/>
      <c r="K3832" s="11"/>
    </row>
    <row r="3833" spans="3:11">
      <c r="C3833" s="11"/>
      <c r="K3833" s="11"/>
    </row>
    <row r="3834" spans="3:11">
      <c r="C3834" s="11"/>
      <c r="K3834" s="11"/>
    </row>
    <row r="3835" spans="3:11">
      <c r="C3835" s="11"/>
      <c r="K3835" s="11"/>
    </row>
    <row r="3836" spans="3:11">
      <c r="C3836" s="11"/>
      <c r="K3836" s="11"/>
    </row>
    <row r="3837" spans="3:11">
      <c r="C3837" s="11"/>
      <c r="K3837" s="11"/>
    </row>
    <row r="3838" spans="3:11">
      <c r="C3838" s="11"/>
      <c r="K3838" s="11"/>
    </row>
    <row r="3839" spans="3:11">
      <c r="C3839" s="11"/>
      <c r="K3839" s="11"/>
    </row>
    <row r="3840" spans="3:11">
      <c r="C3840" s="11"/>
      <c r="K3840" s="11"/>
    </row>
    <row r="3841" spans="3:11">
      <c r="C3841" s="11"/>
      <c r="K3841" s="11"/>
    </row>
    <row r="3842" spans="3:11">
      <c r="C3842" s="11"/>
      <c r="K3842" s="11"/>
    </row>
    <row r="3843" spans="3:11">
      <c r="C3843" s="11"/>
      <c r="K3843" s="11"/>
    </row>
    <row r="3844" spans="3:11">
      <c r="C3844" s="11"/>
      <c r="K3844" s="11"/>
    </row>
    <row r="3845" spans="3:11">
      <c r="C3845" s="11"/>
      <c r="K3845" s="11"/>
    </row>
    <row r="3846" spans="3:11">
      <c r="C3846" s="11"/>
      <c r="K3846" s="11"/>
    </row>
    <row r="3847" spans="3:11">
      <c r="C3847" s="11"/>
      <c r="K3847" s="11"/>
    </row>
    <row r="3848" spans="3:11">
      <c r="C3848" s="11"/>
      <c r="K3848" s="11"/>
    </row>
    <row r="3849" spans="3:11">
      <c r="C3849" s="11"/>
      <c r="K3849" s="11"/>
    </row>
    <row r="3850" spans="3:11">
      <c r="C3850" s="11"/>
      <c r="K3850" s="11"/>
    </row>
    <row r="3851" spans="3:11">
      <c r="C3851" s="11"/>
      <c r="K3851" s="11"/>
    </row>
    <row r="3852" spans="3:11">
      <c r="C3852" s="11"/>
      <c r="K3852" s="11"/>
    </row>
    <row r="3853" spans="3:11">
      <c r="C3853" s="11"/>
      <c r="K3853" s="11"/>
    </row>
    <row r="3854" spans="3:11">
      <c r="C3854" s="11"/>
      <c r="K3854" s="11"/>
    </row>
    <row r="3855" spans="3:11">
      <c r="C3855" s="11"/>
      <c r="K3855" s="11"/>
    </row>
    <row r="3856" spans="3:11">
      <c r="C3856" s="11"/>
      <c r="K3856" s="11"/>
    </row>
    <row r="3857" spans="3:11">
      <c r="C3857" s="11"/>
      <c r="K3857" s="11"/>
    </row>
    <row r="3858" spans="3:11">
      <c r="C3858" s="11"/>
      <c r="K3858" s="11"/>
    </row>
    <row r="3859" spans="3:11">
      <c r="C3859" s="11"/>
      <c r="K3859" s="11"/>
    </row>
    <row r="3860" spans="3:11">
      <c r="C3860" s="11"/>
      <c r="K3860" s="11"/>
    </row>
    <row r="3861" spans="3:11">
      <c r="C3861" s="11"/>
      <c r="K3861" s="11"/>
    </row>
    <row r="3862" spans="3:11">
      <c r="C3862" s="11"/>
      <c r="K3862" s="11"/>
    </row>
    <row r="3863" spans="3:11">
      <c r="C3863" s="11"/>
      <c r="K3863" s="11"/>
    </row>
    <row r="3864" spans="3:11">
      <c r="C3864" s="11"/>
      <c r="K3864" s="11"/>
    </row>
    <row r="3865" spans="3:11">
      <c r="C3865" s="11"/>
      <c r="K3865" s="11"/>
    </row>
    <row r="3866" spans="3:11">
      <c r="C3866" s="11"/>
      <c r="K3866" s="11"/>
    </row>
    <row r="3867" spans="3:11">
      <c r="C3867" s="11"/>
      <c r="K3867" s="11"/>
    </row>
    <row r="3868" spans="3:11">
      <c r="C3868" s="11"/>
      <c r="K3868" s="11"/>
    </row>
    <row r="3869" spans="3:11">
      <c r="C3869" s="11"/>
      <c r="K3869" s="11"/>
    </row>
    <row r="3870" spans="3:11">
      <c r="C3870" s="11"/>
      <c r="K3870" s="11"/>
    </row>
    <row r="3871" spans="3:11">
      <c r="C3871" s="11"/>
      <c r="K3871" s="11"/>
    </row>
    <row r="3872" spans="3:11">
      <c r="C3872" s="11"/>
      <c r="K3872" s="11"/>
    </row>
    <row r="3873" spans="3:11">
      <c r="C3873" s="11"/>
      <c r="K3873" s="11"/>
    </row>
    <row r="3874" spans="3:11">
      <c r="C3874" s="11"/>
      <c r="K3874" s="11"/>
    </row>
    <row r="3875" spans="3:11">
      <c r="C3875" s="11"/>
      <c r="K3875" s="11"/>
    </row>
    <row r="3876" spans="3:11">
      <c r="C3876" s="11"/>
      <c r="K3876" s="11"/>
    </row>
    <row r="3877" spans="3:11">
      <c r="C3877" s="11"/>
      <c r="K3877" s="11"/>
    </row>
    <row r="3878" spans="3:11">
      <c r="C3878" s="11"/>
      <c r="K3878" s="11"/>
    </row>
    <row r="3879" spans="3:11">
      <c r="C3879" s="11"/>
      <c r="K3879" s="11"/>
    </row>
    <row r="3880" spans="3:11">
      <c r="C3880" s="11"/>
      <c r="K3880" s="11"/>
    </row>
    <row r="3881" spans="3:11">
      <c r="C3881" s="11"/>
      <c r="K3881" s="11"/>
    </row>
    <row r="3882" spans="3:11">
      <c r="C3882" s="11"/>
      <c r="K3882" s="11"/>
    </row>
    <row r="3883" spans="3:11">
      <c r="C3883" s="11"/>
      <c r="K3883" s="11"/>
    </row>
    <row r="3884" spans="3:11">
      <c r="C3884" s="11"/>
      <c r="K3884" s="11"/>
    </row>
    <row r="3885" spans="3:11">
      <c r="C3885" s="11"/>
      <c r="K3885" s="11"/>
    </row>
    <row r="3886" spans="3:11">
      <c r="C3886" s="11"/>
      <c r="K3886" s="11"/>
    </row>
    <row r="3887" spans="3:11">
      <c r="C3887" s="11"/>
      <c r="K3887" s="11"/>
    </row>
    <row r="3888" spans="3:11">
      <c r="C3888" s="11"/>
      <c r="K3888" s="11"/>
    </row>
    <row r="3889" spans="3:11">
      <c r="C3889" s="11"/>
      <c r="K3889" s="11"/>
    </row>
    <row r="3890" spans="3:11">
      <c r="C3890" s="11"/>
      <c r="K3890" s="11"/>
    </row>
    <row r="3891" spans="3:11">
      <c r="C3891" s="11"/>
      <c r="K3891" s="11"/>
    </row>
    <row r="3892" spans="3:11">
      <c r="C3892" s="11"/>
      <c r="K3892" s="11"/>
    </row>
    <row r="3893" spans="3:11">
      <c r="C3893" s="11"/>
      <c r="K3893" s="11"/>
    </row>
    <row r="3894" spans="3:11">
      <c r="C3894" s="11"/>
      <c r="K3894" s="11"/>
    </row>
    <row r="3895" spans="3:11">
      <c r="C3895" s="11"/>
      <c r="K3895" s="11"/>
    </row>
    <row r="3896" spans="3:11">
      <c r="C3896" s="11"/>
      <c r="K3896" s="11"/>
    </row>
    <row r="3897" spans="3:11">
      <c r="C3897" s="11"/>
      <c r="K3897" s="11"/>
    </row>
    <row r="3898" spans="3:11">
      <c r="C3898" s="11"/>
      <c r="K3898" s="11"/>
    </row>
    <row r="3899" spans="3:11">
      <c r="C3899" s="11"/>
      <c r="K3899" s="11"/>
    </row>
    <row r="3900" spans="3:11">
      <c r="C3900" s="11"/>
      <c r="K3900" s="11"/>
    </row>
    <row r="3901" spans="3:11">
      <c r="C3901" s="11"/>
      <c r="K3901" s="11"/>
    </row>
    <row r="3902" spans="3:11">
      <c r="C3902" s="11"/>
      <c r="K3902" s="11"/>
    </row>
    <row r="3903" spans="3:11">
      <c r="C3903" s="11"/>
      <c r="K3903" s="11"/>
    </row>
    <row r="3904" spans="3:11">
      <c r="C3904" s="11"/>
      <c r="K3904" s="11"/>
    </row>
    <row r="3905" spans="3:11">
      <c r="C3905" s="11"/>
      <c r="K3905" s="11"/>
    </row>
    <row r="3906" spans="3:11">
      <c r="C3906" s="11"/>
      <c r="K3906" s="11"/>
    </row>
    <row r="3907" spans="3:11">
      <c r="C3907" s="11"/>
      <c r="K3907" s="11"/>
    </row>
    <row r="3908" spans="3:11">
      <c r="C3908" s="11"/>
      <c r="K3908" s="11"/>
    </row>
    <row r="3909" spans="3:11">
      <c r="C3909" s="11"/>
      <c r="K3909" s="11"/>
    </row>
    <row r="3910" spans="3:11">
      <c r="C3910" s="11"/>
      <c r="K3910" s="11"/>
    </row>
    <row r="3911" spans="3:11">
      <c r="C3911" s="11"/>
      <c r="K3911" s="11"/>
    </row>
    <row r="3912" spans="3:11">
      <c r="C3912" s="11"/>
      <c r="K3912" s="11"/>
    </row>
    <row r="3913" spans="3:11">
      <c r="C3913" s="11"/>
      <c r="K3913" s="11"/>
    </row>
    <row r="3914" spans="3:11">
      <c r="C3914" s="11"/>
      <c r="K3914" s="11"/>
    </row>
    <row r="3915" spans="3:11">
      <c r="C3915" s="11"/>
      <c r="K3915" s="11"/>
    </row>
    <row r="3916" spans="3:11">
      <c r="C3916" s="11"/>
      <c r="K3916" s="11"/>
    </row>
    <row r="3917" spans="3:11">
      <c r="C3917" s="11"/>
      <c r="K3917" s="11"/>
    </row>
    <row r="3918" spans="3:11">
      <c r="C3918" s="11"/>
      <c r="K3918" s="11"/>
    </row>
    <row r="3919" spans="3:11">
      <c r="C3919" s="11"/>
      <c r="K3919" s="11"/>
    </row>
    <row r="3920" spans="3:11">
      <c r="C3920" s="11"/>
      <c r="K3920" s="11"/>
    </row>
    <row r="3921" spans="3:11">
      <c r="C3921" s="11"/>
      <c r="K3921" s="11"/>
    </row>
    <row r="3922" spans="3:11">
      <c r="C3922" s="11"/>
      <c r="K3922" s="11"/>
    </row>
    <row r="3923" spans="3:11">
      <c r="C3923" s="11"/>
      <c r="K3923" s="11"/>
    </row>
    <row r="3924" spans="3:11">
      <c r="C3924" s="11"/>
      <c r="K3924" s="11"/>
    </row>
    <row r="3925" spans="3:11">
      <c r="C3925" s="11"/>
      <c r="K3925" s="11"/>
    </row>
    <row r="3926" spans="3:11">
      <c r="C3926" s="11"/>
      <c r="K3926" s="11"/>
    </row>
    <row r="3927" spans="3:11">
      <c r="C3927" s="11"/>
      <c r="K3927" s="11"/>
    </row>
    <row r="3928" spans="3:11">
      <c r="C3928" s="11"/>
      <c r="K3928" s="11"/>
    </row>
    <row r="3929" spans="3:11">
      <c r="C3929" s="11"/>
      <c r="K3929" s="11"/>
    </row>
    <row r="3930" spans="3:11">
      <c r="C3930" s="11"/>
      <c r="K3930" s="11"/>
    </row>
    <row r="3931" spans="3:11">
      <c r="C3931" s="11"/>
      <c r="K3931" s="11"/>
    </row>
    <row r="3932" spans="3:11">
      <c r="C3932" s="11"/>
      <c r="K3932" s="11"/>
    </row>
    <row r="3933" spans="3:11">
      <c r="C3933" s="11"/>
      <c r="K3933" s="11"/>
    </row>
    <row r="3934" spans="3:11">
      <c r="C3934" s="11"/>
      <c r="K3934" s="11"/>
    </row>
    <row r="3935" spans="3:11">
      <c r="C3935" s="11"/>
      <c r="K3935" s="11"/>
    </row>
    <row r="3936" spans="3:11">
      <c r="C3936" s="11"/>
      <c r="K3936" s="11"/>
    </row>
    <row r="3937" spans="3:11">
      <c r="C3937" s="11"/>
      <c r="K3937" s="11"/>
    </row>
    <row r="3938" spans="3:11">
      <c r="C3938" s="11"/>
      <c r="K3938" s="11"/>
    </row>
    <row r="3939" spans="3:11">
      <c r="C3939" s="11"/>
      <c r="K3939" s="11"/>
    </row>
    <row r="3940" spans="3:11">
      <c r="C3940" s="11"/>
      <c r="K3940" s="11"/>
    </row>
    <row r="3941" spans="3:11">
      <c r="C3941" s="11"/>
      <c r="K3941" s="11"/>
    </row>
    <row r="3942" spans="3:11">
      <c r="C3942" s="11"/>
      <c r="K3942" s="11"/>
    </row>
    <row r="3943" spans="3:11">
      <c r="C3943" s="11"/>
      <c r="K3943" s="11"/>
    </row>
    <row r="3944" spans="3:11">
      <c r="C3944" s="11"/>
      <c r="K3944" s="11"/>
    </row>
    <row r="3945" spans="3:11">
      <c r="C3945" s="11"/>
      <c r="K3945" s="11"/>
    </row>
    <row r="3946" spans="3:11">
      <c r="C3946" s="11"/>
      <c r="K3946" s="11"/>
    </row>
    <row r="3947" spans="3:11">
      <c r="C3947" s="11"/>
      <c r="K3947" s="11"/>
    </row>
    <row r="3948" spans="3:11">
      <c r="C3948" s="11"/>
      <c r="K3948" s="11"/>
    </row>
    <row r="3949" spans="3:11">
      <c r="C3949" s="11"/>
      <c r="K3949" s="11"/>
    </row>
    <row r="3950" spans="3:11">
      <c r="C3950" s="11"/>
      <c r="K3950" s="11"/>
    </row>
    <row r="3951" spans="3:11">
      <c r="C3951" s="11"/>
      <c r="K3951" s="11"/>
    </row>
    <row r="3952" spans="3:11">
      <c r="C3952" s="11"/>
      <c r="K3952" s="11"/>
    </row>
    <row r="3953" spans="3:11">
      <c r="C3953" s="11"/>
      <c r="K3953" s="11"/>
    </row>
    <row r="3954" spans="3:11">
      <c r="C3954" s="11"/>
      <c r="K3954" s="11"/>
    </row>
    <row r="3955" spans="3:11">
      <c r="C3955" s="11"/>
      <c r="K3955" s="11"/>
    </row>
    <row r="3956" spans="3:11">
      <c r="C3956" s="11"/>
      <c r="K3956" s="11"/>
    </row>
    <row r="3957" spans="3:11">
      <c r="C3957" s="11"/>
      <c r="K3957" s="11"/>
    </row>
    <row r="3958" spans="3:11">
      <c r="C3958" s="11"/>
      <c r="K3958" s="11"/>
    </row>
    <row r="3959" spans="3:11">
      <c r="C3959" s="11"/>
      <c r="K3959" s="11"/>
    </row>
    <row r="3960" spans="3:11">
      <c r="C3960" s="11"/>
      <c r="K3960" s="11"/>
    </row>
    <row r="3961" spans="3:11">
      <c r="C3961" s="11"/>
      <c r="K3961" s="11"/>
    </row>
    <row r="3962" spans="3:11">
      <c r="C3962" s="11"/>
      <c r="K3962" s="11"/>
    </row>
    <row r="3963" spans="3:11">
      <c r="C3963" s="11"/>
      <c r="K3963" s="11"/>
    </row>
    <row r="3964" spans="3:11">
      <c r="C3964" s="11"/>
      <c r="K3964" s="11"/>
    </row>
    <row r="3965" spans="3:11">
      <c r="C3965" s="11"/>
      <c r="K3965" s="11"/>
    </row>
    <row r="3966" spans="3:11">
      <c r="C3966" s="11"/>
      <c r="K3966" s="11"/>
    </row>
    <row r="3967" spans="3:11">
      <c r="C3967" s="11"/>
      <c r="K3967" s="11"/>
    </row>
    <row r="3968" spans="3:11">
      <c r="C3968" s="11"/>
      <c r="K3968" s="11"/>
    </row>
    <row r="3969" spans="3:11">
      <c r="C3969" s="11"/>
      <c r="K3969" s="11"/>
    </row>
    <row r="3970" spans="3:11">
      <c r="C3970" s="11"/>
      <c r="K3970" s="11"/>
    </row>
    <row r="3971" spans="3:11">
      <c r="C3971" s="11"/>
      <c r="K3971" s="11"/>
    </row>
    <row r="3972" spans="3:11">
      <c r="C3972" s="11"/>
      <c r="K3972" s="11"/>
    </row>
    <row r="3973" spans="3:11">
      <c r="C3973" s="11"/>
      <c r="K3973" s="11"/>
    </row>
    <row r="3974" spans="3:11">
      <c r="C3974" s="11"/>
      <c r="K3974" s="11"/>
    </row>
    <row r="3975" spans="3:11">
      <c r="C3975" s="11"/>
      <c r="K3975" s="11"/>
    </row>
    <row r="3976" spans="3:11">
      <c r="C3976" s="11"/>
      <c r="K3976" s="11"/>
    </row>
    <row r="3977" spans="3:11">
      <c r="C3977" s="11"/>
      <c r="K3977" s="11"/>
    </row>
    <row r="3978" spans="3:11">
      <c r="C3978" s="11"/>
      <c r="K3978" s="11"/>
    </row>
    <row r="3979" spans="3:11">
      <c r="C3979" s="11"/>
      <c r="K3979" s="11"/>
    </row>
    <row r="3980" spans="3:11">
      <c r="C3980" s="11"/>
      <c r="K3980" s="11"/>
    </row>
    <row r="3981" spans="3:11">
      <c r="C3981" s="11"/>
      <c r="K3981" s="11"/>
    </row>
    <row r="3982" spans="3:11">
      <c r="C3982" s="11"/>
      <c r="K3982" s="11"/>
    </row>
    <row r="3983" spans="3:11">
      <c r="C3983" s="11"/>
      <c r="K3983" s="11"/>
    </row>
    <row r="3984" spans="3:11">
      <c r="C3984" s="11"/>
      <c r="K3984" s="11"/>
    </row>
    <row r="3985" spans="3:11">
      <c r="C3985" s="11"/>
      <c r="K3985" s="11"/>
    </row>
    <row r="3986" spans="3:11">
      <c r="C3986" s="11"/>
      <c r="K3986" s="11"/>
    </row>
    <row r="3987" spans="3:11">
      <c r="C3987" s="11"/>
      <c r="K3987" s="11"/>
    </row>
    <row r="3988" spans="3:11">
      <c r="C3988" s="11"/>
      <c r="K3988" s="11"/>
    </row>
    <row r="3989" spans="3:11">
      <c r="C3989" s="11"/>
      <c r="K3989" s="11"/>
    </row>
    <row r="3990" spans="3:11">
      <c r="C3990" s="11"/>
      <c r="K3990" s="11"/>
    </row>
    <row r="3991" spans="3:11">
      <c r="C3991" s="11"/>
      <c r="K3991" s="11"/>
    </row>
    <row r="3992" spans="3:11">
      <c r="C3992" s="11"/>
      <c r="K3992" s="11"/>
    </row>
    <row r="3993" spans="3:11">
      <c r="C3993" s="11"/>
      <c r="K3993" s="11"/>
    </row>
    <row r="3994" spans="3:11">
      <c r="C3994" s="11"/>
      <c r="K3994" s="11"/>
    </row>
    <row r="3995" spans="3:11">
      <c r="C3995" s="11"/>
      <c r="K3995" s="11"/>
    </row>
    <row r="3996" spans="3:11">
      <c r="C3996" s="11"/>
      <c r="K3996" s="11"/>
    </row>
    <row r="3997" spans="3:11">
      <c r="C3997" s="11"/>
      <c r="K3997" s="11"/>
    </row>
    <row r="3998" spans="3:11">
      <c r="C3998" s="11"/>
      <c r="K3998" s="11"/>
    </row>
    <row r="3999" spans="3:11">
      <c r="C3999" s="11"/>
      <c r="K3999" s="11"/>
    </row>
    <row r="4000" spans="3:11">
      <c r="C4000" s="11"/>
      <c r="K4000" s="11"/>
    </row>
    <row r="4001" spans="3:11">
      <c r="C4001" s="11"/>
      <c r="K4001" s="11"/>
    </row>
    <row r="4002" spans="3:11">
      <c r="C4002" s="11"/>
      <c r="K4002" s="11"/>
    </row>
    <row r="4003" spans="3:11">
      <c r="C4003" s="11"/>
      <c r="K4003" s="11"/>
    </row>
    <row r="4004" spans="3:11">
      <c r="C4004" s="11"/>
      <c r="K4004" s="11"/>
    </row>
    <row r="4005" spans="3:11">
      <c r="C4005" s="11"/>
      <c r="K4005" s="11"/>
    </row>
    <row r="4006" spans="3:11">
      <c r="C4006" s="11"/>
      <c r="K4006" s="11"/>
    </row>
    <row r="4007" spans="3:11">
      <c r="C4007" s="11"/>
      <c r="K4007" s="11"/>
    </row>
    <row r="4008" spans="3:11">
      <c r="C4008" s="11"/>
      <c r="K4008" s="11"/>
    </row>
    <row r="4009" spans="3:11">
      <c r="C4009" s="11"/>
      <c r="K4009" s="11"/>
    </row>
    <row r="4010" spans="3:11">
      <c r="C4010" s="11"/>
      <c r="K4010" s="11"/>
    </row>
    <row r="4011" spans="3:11">
      <c r="C4011" s="11"/>
      <c r="K4011" s="11"/>
    </row>
    <row r="4012" spans="3:11">
      <c r="C4012" s="11"/>
      <c r="K4012" s="11"/>
    </row>
    <row r="4013" spans="3:11">
      <c r="C4013" s="11"/>
      <c r="K4013" s="11"/>
    </row>
    <row r="4014" spans="3:11">
      <c r="C4014" s="11"/>
      <c r="K4014" s="11"/>
    </row>
    <row r="4015" spans="3:11">
      <c r="C4015" s="11"/>
      <c r="K4015" s="11"/>
    </row>
    <row r="4016" spans="3:11">
      <c r="C4016" s="11"/>
      <c r="K4016" s="11"/>
    </row>
    <row r="4017" spans="3:11">
      <c r="C4017" s="11"/>
      <c r="K4017" s="11"/>
    </row>
    <row r="4018" spans="3:11">
      <c r="C4018" s="11"/>
      <c r="K4018" s="11"/>
    </row>
    <row r="4019" spans="3:11">
      <c r="C4019" s="11"/>
      <c r="K4019" s="11"/>
    </row>
    <row r="4020" spans="3:11">
      <c r="C4020" s="11"/>
      <c r="K4020" s="11"/>
    </row>
    <row r="4021" spans="3:11">
      <c r="C4021" s="11"/>
      <c r="K4021" s="11"/>
    </row>
    <row r="4022" spans="3:11">
      <c r="C4022" s="11"/>
      <c r="K4022" s="11"/>
    </row>
    <row r="4023" spans="3:11">
      <c r="C4023" s="11"/>
      <c r="K4023" s="11"/>
    </row>
    <row r="4024" spans="3:11">
      <c r="C4024" s="11"/>
      <c r="K4024" s="11"/>
    </row>
    <row r="4025" spans="3:11">
      <c r="C4025" s="11"/>
      <c r="K4025" s="11"/>
    </row>
    <row r="4026" spans="3:11">
      <c r="C4026" s="11"/>
      <c r="K4026" s="11"/>
    </row>
    <row r="4027" spans="3:11">
      <c r="C4027" s="11"/>
      <c r="K4027" s="11"/>
    </row>
    <row r="4028" spans="3:11">
      <c r="C4028" s="11"/>
      <c r="K4028" s="11"/>
    </row>
    <row r="4029" spans="3:11">
      <c r="C4029" s="11"/>
      <c r="K4029" s="11"/>
    </row>
    <row r="4030" spans="3:11">
      <c r="C4030" s="11"/>
      <c r="K4030" s="11"/>
    </row>
    <row r="4031" spans="3:11">
      <c r="C4031" s="11"/>
      <c r="K4031" s="11"/>
    </row>
    <row r="4032" spans="3:11">
      <c r="C4032" s="11"/>
      <c r="K4032" s="11"/>
    </row>
    <row r="4033" spans="3:11">
      <c r="C4033" s="11"/>
      <c r="K4033" s="11"/>
    </row>
    <row r="4034" spans="3:11">
      <c r="C4034" s="11"/>
      <c r="K4034" s="11"/>
    </row>
    <row r="4035" spans="3:11">
      <c r="C4035" s="11"/>
      <c r="K4035" s="11"/>
    </row>
    <row r="4036" spans="3:11">
      <c r="C4036" s="11"/>
      <c r="K4036" s="11"/>
    </row>
    <row r="4037" spans="3:11">
      <c r="C4037" s="11"/>
      <c r="K4037" s="11"/>
    </row>
    <row r="4038" spans="3:11">
      <c r="C4038" s="11"/>
      <c r="K4038" s="11"/>
    </row>
    <row r="4039" spans="3:11">
      <c r="C4039" s="11"/>
      <c r="K4039" s="11"/>
    </row>
    <row r="4040" spans="3:11">
      <c r="C4040" s="11"/>
      <c r="K4040" s="11"/>
    </row>
    <row r="4041" spans="3:11">
      <c r="C4041" s="11"/>
      <c r="K4041" s="11"/>
    </row>
    <row r="4042" spans="3:11">
      <c r="C4042" s="11"/>
      <c r="K4042" s="11"/>
    </row>
    <row r="4043" spans="3:11">
      <c r="C4043" s="11"/>
      <c r="K4043" s="11"/>
    </row>
    <row r="4044" spans="3:11">
      <c r="C4044" s="11"/>
      <c r="K4044" s="11"/>
    </row>
    <row r="4045" spans="3:11">
      <c r="C4045" s="11"/>
      <c r="K4045" s="11"/>
    </row>
    <row r="4046" spans="3:11">
      <c r="C4046" s="11"/>
      <c r="K4046" s="11"/>
    </row>
    <row r="4047" spans="3:11">
      <c r="C4047" s="11"/>
      <c r="K4047" s="11"/>
    </row>
    <row r="4048" spans="3:11">
      <c r="C4048" s="11"/>
      <c r="K4048" s="11"/>
    </row>
    <row r="4049" spans="3:11">
      <c r="C4049" s="11"/>
      <c r="K4049" s="11"/>
    </row>
    <row r="4050" spans="3:11">
      <c r="C4050" s="11"/>
      <c r="K4050" s="11"/>
    </row>
    <row r="4051" spans="3:11">
      <c r="C4051" s="11"/>
      <c r="K4051" s="11"/>
    </row>
    <row r="4052" spans="3:11">
      <c r="C4052" s="11"/>
      <c r="K4052" s="11"/>
    </row>
    <row r="4053" spans="3:11">
      <c r="C4053" s="11"/>
      <c r="K4053" s="11"/>
    </row>
    <row r="4054" spans="3:11">
      <c r="C4054" s="11"/>
      <c r="K4054" s="11"/>
    </row>
    <row r="4055" spans="3:11">
      <c r="C4055" s="11"/>
      <c r="K4055" s="11"/>
    </row>
    <row r="4056" spans="3:11">
      <c r="C4056" s="11"/>
      <c r="K4056" s="11"/>
    </row>
    <row r="4057" spans="3:11">
      <c r="C4057" s="11"/>
      <c r="K4057" s="11"/>
    </row>
    <row r="4058" spans="3:11">
      <c r="C4058" s="11"/>
      <c r="K4058" s="11"/>
    </row>
    <row r="4059" spans="3:11">
      <c r="C4059" s="11"/>
      <c r="K4059" s="11"/>
    </row>
    <row r="4060" spans="3:11">
      <c r="C4060" s="11"/>
      <c r="K4060" s="11"/>
    </row>
    <row r="4061" spans="3:11">
      <c r="C4061" s="11"/>
      <c r="K4061" s="11"/>
    </row>
    <row r="4062" spans="3:11">
      <c r="C4062" s="11"/>
      <c r="K4062" s="11"/>
    </row>
    <row r="4063" spans="3:11">
      <c r="C4063" s="11"/>
      <c r="K4063" s="11"/>
    </row>
    <row r="4064" spans="3:11">
      <c r="C4064" s="11"/>
      <c r="K4064" s="11"/>
    </row>
    <row r="4065" spans="3:11">
      <c r="C4065" s="11"/>
      <c r="K4065" s="11"/>
    </row>
    <row r="4066" spans="3:11">
      <c r="C4066" s="11"/>
      <c r="K4066" s="11"/>
    </row>
    <row r="4067" spans="3:11">
      <c r="C4067" s="11"/>
      <c r="K4067" s="11"/>
    </row>
    <row r="4068" spans="3:11">
      <c r="C4068" s="11"/>
      <c r="K4068" s="11"/>
    </row>
    <row r="4069" spans="3:11">
      <c r="C4069" s="11"/>
      <c r="K4069" s="11"/>
    </row>
    <row r="4070" spans="3:11">
      <c r="C4070" s="11"/>
      <c r="K4070" s="11"/>
    </row>
    <row r="4071" spans="3:11">
      <c r="C4071" s="11"/>
      <c r="K4071" s="11"/>
    </row>
    <row r="4072" spans="3:11">
      <c r="C4072" s="11"/>
      <c r="K4072" s="11"/>
    </row>
    <row r="4073" spans="3:11">
      <c r="C4073" s="11"/>
      <c r="K4073" s="11"/>
    </row>
    <row r="4074" spans="3:11">
      <c r="C4074" s="11"/>
      <c r="K4074" s="11"/>
    </row>
    <row r="4075" spans="3:11">
      <c r="C4075" s="11"/>
      <c r="K4075" s="11"/>
    </row>
    <row r="4076" spans="3:11">
      <c r="C4076" s="11"/>
      <c r="K4076" s="11"/>
    </row>
    <row r="4077" spans="3:11">
      <c r="C4077" s="11"/>
      <c r="K4077" s="11"/>
    </row>
    <row r="4078" spans="3:11">
      <c r="C4078" s="11"/>
      <c r="K4078" s="11"/>
    </row>
    <row r="4079" spans="3:11">
      <c r="C4079" s="11"/>
      <c r="K4079" s="11"/>
    </row>
    <row r="4080" spans="3:11">
      <c r="C4080" s="11"/>
      <c r="K4080" s="11"/>
    </row>
    <row r="4081" spans="3:11">
      <c r="C4081" s="11"/>
      <c r="K4081" s="11"/>
    </row>
    <row r="4082" spans="3:11">
      <c r="C4082" s="11"/>
      <c r="K4082" s="11"/>
    </row>
    <row r="4083" spans="3:11">
      <c r="C4083" s="11"/>
      <c r="K4083" s="11"/>
    </row>
    <row r="4084" spans="3:11">
      <c r="C4084" s="11"/>
      <c r="K4084" s="11"/>
    </row>
    <row r="4085" spans="3:11">
      <c r="C4085" s="11"/>
      <c r="K4085" s="11"/>
    </row>
    <row r="4086" spans="3:11">
      <c r="C4086" s="11"/>
      <c r="K4086" s="11"/>
    </row>
    <row r="4087" spans="3:11">
      <c r="C4087" s="11"/>
      <c r="K4087" s="11"/>
    </row>
    <row r="4088" spans="3:11">
      <c r="C4088" s="11"/>
      <c r="K4088" s="11"/>
    </row>
    <row r="4089" spans="3:11">
      <c r="C4089" s="11"/>
      <c r="K4089" s="11"/>
    </row>
    <row r="4090" spans="3:11">
      <c r="C4090" s="11"/>
      <c r="K4090" s="11"/>
    </row>
    <row r="4091" spans="3:11">
      <c r="C4091" s="11"/>
      <c r="K4091" s="11"/>
    </row>
    <row r="4092" spans="3:11">
      <c r="C4092" s="11"/>
      <c r="K4092" s="11"/>
    </row>
    <row r="4093" spans="3:11">
      <c r="C4093" s="11"/>
      <c r="K4093" s="11"/>
    </row>
    <row r="4094" spans="3:11">
      <c r="C4094" s="11"/>
      <c r="K4094" s="11"/>
    </row>
    <row r="4095" spans="3:11">
      <c r="C4095" s="11"/>
      <c r="K4095" s="11"/>
    </row>
    <row r="4096" spans="3:11">
      <c r="C4096" s="11"/>
      <c r="K4096" s="11"/>
    </row>
    <row r="4097" spans="3:11">
      <c r="C4097" s="11"/>
      <c r="K4097" s="11"/>
    </row>
    <row r="4098" spans="3:11">
      <c r="C4098" s="11"/>
      <c r="K4098" s="11"/>
    </row>
    <row r="4099" spans="3:11">
      <c r="C4099" s="11"/>
      <c r="K4099" s="11"/>
    </row>
    <row r="4100" spans="3:11">
      <c r="C4100" s="11"/>
      <c r="K4100" s="11"/>
    </row>
    <row r="4101" spans="3:11">
      <c r="C4101" s="11"/>
      <c r="K4101" s="11"/>
    </row>
    <row r="4102" spans="3:11">
      <c r="C4102" s="11"/>
      <c r="K4102" s="11"/>
    </row>
    <row r="4103" spans="3:11">
      <c r="C4103" s="11"/>
      <c r="K4103" s="11"/>
    </row>
    <row r="4104" spans="3:11">
      <c r="C4104" s="11"/>
      <c r="K4104" s="11"/>
    </row>
    <row r="4105" spans="3:11">
      <c r="C4105" s="11"/>
      <c r="K4105" s="11"/>
    </row>
    <row r="4106" spans="3:11">
      <c r="C4106" s="11"/>
      <c r="K4106" s="11"/>
    </row>
    <row r="4107" spans="3:11">
      <c r="C4107" s="11"/>
      <c r="K4107" s="11"/>
    </row>
    <row r="4108" spans="3:11">
      <c r="C4108" s="11"/>
      <c r="K4108" s="11"/>
    </row>
    <row r="4109" spans="3:11">
      <c r="C4109" s="11"/>
      <c r="K4109" s="11"/>
    </row>
    <row r="4110" spans="3:11">
      <c r="C4110" s="11"/>
      <c r="K4110" s="11"/>
    </row>
    <row r="4111" spans="3:11">
      <c r="C4111" s="11"/>
      <c r="K4111" s="11"/>
    </row>
    <row r="4112" spans="3:11">
      <c r="C4112" s="11"/>
      <c r="K4112" s="11"/>
    </row>
    <row r="4113" spans="3:11">
      <c r="C4113" s="11"/>
      <c r="K4113" s="11"/>
    </row>
    <row r="4114" spans="3:11">
      <c r="C4114" s="11"/>
      <c r="K4114" s="11"/>
    </row>
    <row r="4115" spans="3:11">
      <c r="C4115" s="11"/>
      <c r="K4115" s="11"/>
    </row>
    <row r="4116" spans="3:11">
      <c r="C4116" s="11"/>
      <c r="K4116" s="11"/>
    </row>
    <row r="4117" spans="3:11">
      <c r="C4117" s="11"/>
      <c r="K4117" s="11"/>
    </row>
    <row r="4118" spans="3:11">
      <c r="C4118" s="11"/>
      <c r="K4118" s="11"/>
    </row>
    <row r="4119" spans="3:11">
      <c r="C4119" s="11"/>
      <c r="K4119" s="11"/>
    </row>
    <row r="4120" spans="3:11">
      <c r="C4120" s="11"/>
      <c r="K4120" s="11"/>
    </row>
    <row r="4121" spans="3:11">
      <c r="C4121" s="11"/>
      <c r="K4121" s="11"/>
    </row>
    <row r="4122" spans="3:11">
      <c r="C4122" s="11"/>
      <c r="K4122" s="11"/>
    </row>
    <row r="4123" spans="3:11">
      <c r="C4123" s="11"/>
      <c r="K4123" s="11"/>
    </row>
    <row r="4124" spans="3:11">
      <c r="C4124" s="11"/>
      <c r="K4124" s="11"/>
    </row>
    <row r="4125" spans="3:11">
      <c r="C4125" s="11"/>
      <c r="K4125" s="11"/>
    </row>
    <row r="4126" spans="3:11">
      <c r="C4126" s="11"/>
      <c r="K4126" s="11"/>
    </row>
    <row r="4127" spans="3:11">
      <c r="C4127" s="11"/>
      <c r="K4127" s="11"/>
    </row>
    <row r="4128" spans="3:11">
      <c r="C4128" s="11"/>
      <c r="K4128" s="11"/>
    </row>
    <row r="4129" spans="3:11">
      <c r="C4129" s="11"/>
      <c r="K4129" s="11"/>
    </row>
    <row r="4130" spans="3:11">
      <c r="C4130" s="11"/>
      <c r="K4130" s="11"/>
    </row>
    <row r="4131" spans="3:11">
      <c r="C4131" s="11"/>
      <c r="K4131" s="11"/>
    </row>
    <row r="4132" spans="3:11">
      <c r="C4132" s="11"/>
      <c r="K4132" s="11"/>
    </row>
    <row r="4133" spans="3:11">
      <c r="C4133" s="11"/>
      <c r="K4133" s="11"/>
    </row>
    <row r="4134" spans="3:11">
      <c r="C4134" s="11"/>
      <c r="K4134" s="11"/>
    </row>
    <row r="4135" spans="3:11">
      <c r="C4135" s="11"/>
      <c r="K4135" s="11"/>
    </row>
    <row r="4136" spans="3:11">
      <c r="C4136" s="11"/>
      <c r="K4136" s="11"/>
    </row>
    <row r="4137" spans="3:11">
      <c r="C4137" s="11"/>
      <c r="K4137" s="11"/>
    </row>
    <row r="4138" spans="3:11">
      <c r="C4138" s="11"/>
      <c r="K4138" s="11"/>
    </row>
    <row r="4139" spans="3:11">
      <c r="C4139" s="11"/>
      <c r="K4139" s="11"/>
    </row>
    <row r="4140" spans="3:11">
      <c r="C4140" s="11"/>
      <c r="K4140" s="11"/>
    </row>
    <row r="4141" spans="3:11">
      <c r="C4141" s="11"/>
      <c r="K4141" s="11"/>
    </row>
    <row r="4142" spans="3:11">
      <c r="C4142" s="11"/>
      <c r="K4142" s="11"/>
    </row>
    <row r="4143" spans="3:11">
      <c r="C4143" s="11"/>
      <c r="K4143" s="11"/>
    </row>
    <row r="4144" spans="3:11">
      <c r="C4144" s="11"/>
      <c r="K4144" s="11"/>
    </row>
    <row r="4145" spans="3:11">
      <c r="C4145" s="11"/>
      <c r="K4145" s="11"/>
    </row>
    <row r="4146" spans="3:11">
      <c r="C4146" s="11"/>
      <c r="K4146" s="11"/>
    </row>
    <row r="4147" spans="3:11">
      <c r="C4147" s="11"/>
      <c r="K4147" s="11"/>
    </row>
    <row r="4148" spans="3:11">
      <c r="C4148" s="11"/>
      <c r="K4148" s="11"/>
    </row>
    <row r="4149" spans="3:11">
      <c r="C4149" s="11"/>
      <c r="K4149" s="11"/>
    </row>
    <row r="4150" spans="3:11">
      <c r="C4150" s="11"/>
      <c r="K4150" s="11"/>
    </row>
    <row r="4151" spans="3:11">
      <c r="C4151" s="11"/>
      <c r="K4151" s="11"/>
    </row>
    <row r="4152" spans="3:11">
      <c r="C4152" s="11"/>
      <c r="K4152" s="11"/>
    </row>
    <row r="4153" spans="3:11">
      <c r="C4153" s="11"/>
      <c r="K4153" s="11"/>
    </row>
    <row r="4154" spans="3:11">
      <c r="C4154" s="11"/>
      <c r="K4154" s="11"/>
    </row>
    <row r="4155" spans="3:11">
      <c r="C4155" s="11"/>
      <c r="K4155" s="11"/>
    </row>
    <row r="4156" spans="3:11">
      <c r="C4156" s="11"/>
      <c r="K4156" s="11"/>
    </row>
    <row r="4157" spans="3:11">
      <c r="C4157" s="11"/>
      <c r="K4157" s="11"/>
    </row>
    <row r="4158" spans="3:11">
      <c r="C4158" s="11"/>
      <c r="K4158" s="11"/>
    </row>
    <row r="4159" spans="3:11">
      <c r="C4159" s="11"/>
      <c r="K4159" s="11"/>
    </row>
    <row r="4160" spans="3:11">
      <c r="C4160" s="11"/>
      <c r="K4160" s="11"/>
    </row>
    <row r="4161" spans="3:11">
      <c r="C4161" s="11"/>
      <c r="K4161" s="11"/>
    </row>
    <row r="4162" spans="3:11">
      <c r="C4162" s="11"/>
      <c r="K4162" s="11"/>
    </row>
    <row r="4163" spans="3:11">
      <c r="C4163" s="11"/>
      <c r="K4163" s="11"/>
    </row>
    <row r="4164" spans="3:11">
      <c r="C4164" s="11"/>
      <c r="K4164" s="11"/>
    </row>
    <row r="4165" spans="3:11">
      <c r="C4165" s="11"/>
      <c r="K4165" s="11"/>
    </row>
    <row r="4166" spans="3:11">
      <c r="C4166" s="11"/>
      <c r="K4166" s="11"/>
    </row>
    <row r="4167" spans="3:11">
      <c r="C4167" s="11"/>
      <c r="K4167" s="11"/>
    </row>
    <row r="4168" spans="3:11">
      <c r="C4168" s="11"/>
      <c r="K4168" s="11"/>
    </row>
    <row r="4169" spans="3:11">
      <c r="C4169" s="11"/>
      <c r="K4169" s="11"/>
    </row>
    <row r="4170" spans="3:11">
      <c r="C4170" s="11"/>
      <c r="K4170" s="11"/>
    </row>
    <row r="4171" spans="3:11">
      <c r="C4171" s="11"/>
      <c r="K4171" s="11"/>
    </row>
    <row r="4172" spans="3:11">
      <c r="C4172" s="11"/>
      <c r="K4172" s="11"/>
    </row>
    <row r="4173" spans="3:11">
      <c r="C4173" s="11"/>
      <c r="K4173" s="11"/>
    </row>
    <row r="4174" spans="3:11">
      <c r="C4174" s="11"/>
      <c r="K4174" s="11"/>
    </row>
    <row r="4175" spans="3:11">
      <c r="C4175" s="11"/>
      <c r="K4175" s="11"/>
    </row>
    <row r="4176" spans="3:11">
      <c r="C4176" s="11"/>
      <c r="K4176" s="11"/>
    </row>
    <row r="4177" spans="3:11">
      <c r="C4177" s="11"/>
      <c r="K4177" s="11"/>
    </row>
    <row r="4178" spans="3:11">
      <c r="C4178" s="11"/>
      <c r="K4178" s="11"/>
    </row>
    <row r="4179" spans="3:11">
      <c r="C4179" s="11"/>
      <c r="K4179" s="11"/>
    </row>
    <row r="4180" spans="3:11">
      <c r="C4180" s="11"/>
      <c r="K4180" s="11"/>
    </row>
    <row r="4181" spans="3:11">
      <c r="C4181" s="11"/>
      <c r="K4181" s="11"/>
    </row>
    <row r="4182" spans="3:11">
      <c r="C4182" s="11"/>
      <c r="K4182" s="11"/>
    </row>
    <row r="4183" spans="3:11">
      <c r="C4183" s="11"/>
      <c r="K4183" s="11"/>
    </row>
    <row r="4184" spans="3:11">
      <c r="C4184" s="11"/>
      <c r="K4184" s="11"/>
    </row>
    <row r="4185" spans="3:11">
      <c r="C4185" s="11"/>
      <c r="K4185" s="11"/>
    </row>
    <row r="4186" spans="3:11">
      <c r="C4186" s="11"/>
      <c r="K4186" s="11"/>
    </row>
    <row r="4187" spans="3:11">
      <c r="C4187" s="11"/>
      <c r="K4187" s="11"/>
    </row>
    <row r="4188" spans="3:11">
      <c r="C4188" s="11"/>
      <c r="K4188" s="11"/>
    </row>
    <row r="4189" spans="3:11">
      <c r="C4189" s="11"/>
      <c r="K4189" s="11"/>
    </row>
    <row r="4190" spans="3:11">
      <c r="C4190" s="11"/>
      <c r="K4190" s="11"/>
    </row>
    <row r="4191" spans="3:11">
      <c r="C4191" s="11"/>
      <c r="K4191" s="11"/>
    </row>
    <row r="4192" spans="3:11">
      <c r="C4192" s="11"/>
      <c r="K4192" s="11"/>
    </row>
    <row r="4193" spans="3:11">
      <c r="C4193" s="11"/>
      <c r="K4193" s="11"/>
    </row>
    <row r="4194" spans="3:11">
      <c r="C4194" s="11"/>
      <c r="K4194" s="11"/>
    </row>
    <row r="4195" spans="3:11">
      <c r="C4195" s="11"/>
      <c r="K4195" s="11"/>
    </row>
    <row r="4196" spans="3:11">
      <c r="C4196" s="11"/>
      <c r="K4196" s="11"/>
    </row>
    <row r="4197" spans="3:11">
      <c r="C4197" s="11"/>
      <c r="K4197" s="11"/>
    </row>
    <row r="4198" spans="3:11">
      <c r="C4198" s="11"/>
      <c r="K4198" s="11"/>
    </row>
    <row r="4199" spans="3:11">
      <c r="C4199" s="11"/>
      <c r="K4199" s="11"/>
    </row>
    <row r="4200" spans="3:11">
      <c r="C4200" s="11"/>
      <c r="K4200" s="11"/>
    </row>
    <row r="4201" spans="3:11">
      <c r="C4201" s="11"/>
      <c r="K4201" s="11"/>
    </row>
    <row r="4202" spans="3:11">
      <c r="C4202" s="11"/>
      <c r="K4202" s="11"/>
    </row>
    <row r="4203" spans="3:11">
      <c r="C4203" s="11"/>
      <c r="K4203" s="11"/>
    </row>
    <row r="4204" spans="3:11">
      <c r="C4204" s="11"/>
      <c r="K4204" s="11"/>
    </row>
    <row r="4205" spans="3:11">
      <c r="C4205" s="11"/>
      <c r="K4205" s="11"/>
    </row>
    <row r="4206" spans="3:11">
      <c r="C4206" s="11"/>
      <c r="K4206" s="11"/>
    </row>
    <row r="4207" spans="3:11">
      <c r="C4207" s="11"/>
      <c r="K4207" s="11"/>
    </row>
    <row r="4208" spans="3:11">
      <c r="C4208" s="11"/>
      <c r="K4208" s="11"/>
    </row>
    <row r="4209" spans="3:11">
      <c r="C4209" s="11"/>
      <c r="K4209" s="11"/>
    </row>
    <row r="4210" spans="3:11">
      <c r="C4210" s="11"/>
      <c r="K4210" s="11"/>
    </row>
    <row r="4211" spans="3:11">
      <c r="C4211" s="11"/>
      <c r="K4211" s="11"/>
    </row>
    <row r="4212" spans="3:11">
      <c r="C4212" s="11"/>
      <c r="K4212" s="11"/>
    </row>
    <row r="4213" spans="3:11">
      <c r="C4213" s="11"/>
      <c r="K4213" s="11"/>
    </row>
    <row r="4214" spans="3:11">
      <c r="C4214" s="11"/>
      <c r="K4214" s="11"/>
    </row>
    <row r="4215" spans="3:11">
      <c r="C4215" s="11"/>
      <c r="K4215" s="11"/>
    </row>
    <row r="4216" spans="3:11">
      <c r="C4216" s="11"/>
      <c r="K4216" s="11"/>
    </row>
    <row r="4217" spans="3:11">
      <c r="C4217" s="11"/>
      <c r="K4217" s="11"/>
    </row>
    <row r="4218" spans="3:11">
      <c r="C4218" s="11"/>
      <c r="K4218" s="11"/>
    </row>
    <row r="4219" spans="3:11">
      <c r="C4219" s="11"/>
      <c r="K4219" s="11"/>
    </row>
    <row r="4220" spans="3:11">
      <c r="C4220" s="11"/>
      <c r="K4220" s="11"/>
    </row>
    <row r="4221" spans="3:11">
      <c r="C4221" s="11"/>
      <c r="K4221" s="11"/>
    </row>
    <row r="4222" spans="3:11">
      <c r="C4222" s="11"/>
      <c r="K4222" s="11"/>
    </row>
    <row r="4223" spans="3:11">
      <c r="C4223" s="11"/>
      <c r="K4223" s="11"/>
    </row>
    <row r="4224" spans="3:11">
      <c r="C4224" s="11"/>
      <c r="K4224" s="11"/>
    </row>
    <row r="4225" spans="3:11">
      <c r="C4225" s="11"/>
      <c r="K4225" s="11"/>
    </row>
    <row r="4226" spans="3:11">
      <c r="C4226" s="11"/>
      <c r="K4226" s="11"/>
    </row>
    <row r="4227" spans="3:11">
      <c r="C4227" s="11"/>
      <c r="K4227" s="11"/>
    </row>
    <row r="4228" spans="3:11">
      <c r="C4228" s="11"/>
      <c r="K4228" s="11"/>
    </row>
    <row r="4229" spans="3:11">
      <c r="C4229" s="11"/>
      <c r="K4229" s="11"/>
    </row>
    <row r="4230" spans="3:11">
      <c r="C4230" s="11"/>
      <c r="K4230" s="11"/>
    </row>
    <row r="4231" spans="3:11">
      <c r="C4231" s="11"/>
      <c r="K4231" s="11"/>
    </row>
    <row r="4232" spans="3:11">
      <c r="C4232" s="11"/>
      <c r="K4232" s="11"/>
    </row>
    <row r="4233" spans="3:11">
      <c r="C4233" s="11"/>
      <c r="K4233" s="11"/>
    </row>
    <row r="4234" spans="3:11">
      <c r="C4234" s="11"/>
      <c r="K4234" s="11"/>
    </row>
    <row r="4235" spans="3:11">
      <c r="C4235" s="11"/>
      <c r="K4235" s="11"/>
    </row>
    <row r="4236" spans="3:11">
      <c r="C4236" s="11"/>
      <c r="K4236" s="11"/>
    </row>
    <row r="4237" spans="3:11">
      <c r="C4237" s="11"/>
      <c r="K4237" s="11"/>
    </row>
    <row r="4238" spans="3:11">
      <c r="C4238" s="11"/>
      <c r="K4238" s="11"/>
    </row>
    <row r="4239" spans="3:11">
      <c r="C4239" s="11"/>
      <c r="K4239" s="11"/>
    </row>
    <row r="4240" spans="3:11">
      <c r="C4240" s="11"/>
      <c r="K4240" s="11"/>
    </row>
    <row r="4241" spans="3:11">
      <c r="C4241" s="11"/>
      <c r="K4241" s="11"/>
    </row>
    <row r="4242" spans="3:11">
      <c r="C4242" s="11"/>
      <c r="K4242" s="11"/>
    </row>
    <row r="4243" spans="3:11">
      <c r="C4243" s="11"/>
      <c r="K4243" s="11"/>
    </row>
    <row r="4244" spans="3:11">
      <c r="C4244" s="11"/>
      <c r="K4244" s="11"/>
    </row>
    <row r="4245" spans="3:11">
      <c r="C4245" s="11"/>
      <c r="K4245" s="11"/>
    </row>
    <row r="4246" spans="3:11">
      <c r="C4246" s="11"/>
      <c r="K4246" s="11"/>
    </row>
    <row r="4247" spans="3:11">
      <c r="C4247" s="11"/>
      <c r="K4247" s="11"/>
    </row>
    <row r="4248" spans="3:11">
      <c r="C4248" s="11"/>
      <c r="K4248" s="11"/>
    </row>
    <row r="4249" spans="3:11">
      <c r="C4249" s="11"/>
      <c r="K4249" s="11"/>
    </row>
    <row r="4250" spans="3:11">
      <c r="C4250" s="11"/>
      <c r="K4250" s="11"/>
    </row>
    <row r="4251" spans="3:11">
      <c r="C4251" s="11"/>
      <c r="K4251" s="11"/>
    </row>
    <row r="4252" spans="3:11">
      <c r="C4252" s="11"/>
      <c r="K4252" s="11"/>
    </row>
    <row r="4253" spans="3:11">
      <c r="C4253" s="11"/>
      <c r="K4253" s="11"/>
    </row>
    <row r="4254" spans="3:11">
      <c r="C4254" s="11"/>
      <c r="K4254" s="11"/>
    </row>
    <row r="4255" spans="3:11">
      <c r="C4255" s="11"/>
      <c r="K4255" s="11"/>
    </row>
    <row r="4256" spans="3:11">
      <c r="C4256" s="11"/>
      <c r="K4256" s="11"/>
    </row>
    <row r="4257" spans="3:11">
      <c r="C4257" s="11"/>
      <c r="K4257" s="11"/>
    </row>
    <row r="4258" spans="3:11">
      <c r="C4258" s="11"/>
      <c r="K4258" s="11"/>
    </row>
    <row r="4259" spans="3:11">
      <c r="C4259" s="11"/>
      <c r="K4259" s="11"/>
    </row>
    <row r="4260" spans="3:11">
      <c r="C4260" s="11"/>
      <c r="K4260" s="11"/>
    </row>
    <row r="4261" spans="3:11">
      <c r="C4261" s="11"/>
      <c r="K4261" s="11"/>
    </row>
    <row r="4262" spans="3:11">
      <c r="C4262" s="11"/>
      <c r="K4262" s="11"/>
    </row>
    <row r="4263" spans="3:11">
      <c r="C4263" s="11"/>
      <c r="K4263" s="11"/>
    </row>
    <row r="4264" spans="3:11">
      <c r="C4264" s="11"/>
      <c r="K4264" s="11"/>
    </row>
    <row r="4265" spans="3:11">
      <c r="C4265" s="11"/>
      <c r="K4265" s="11"/>
    </row>
    <row r="4266" spans="3:11">
      <c r="C4266" s="11"/>
      <c r="K4266" s="11"/>
    </row>
    <row r="4267" spans="3:11">
      <c r="C4267" s="11"/>
      <c r="K4267" s="11"/>
    </row>
    <row r="4268" spans="3:11">
      <c r="C4268" s="11"/>
      <c r="K4268" s="11"/>
    </row>
    <row r="4269" spans="3:11">
      <c r="C4269" s="11"/>
      <c r="K4269" s="11"/>
    </row>
    <row r="4270" spans="3:11">
      <c r="C4270" s="11"/>
      <c r="K4270" s="11"/>
    </row>
    <row r="4271" spans="3:11">
      <c r="C4271" s="11"/>
      <c r="K4271" s="11"/>
    </row>
    <row r="4272" spans="3:11">
      <c r="C4272" s="11"/>
      <c r="K4272" s="11"/>
    </row>
    <row r="4273" spans="3:11">
      <c r="C4273" s="11"/>
      <c r="K4273" s="11"/>
    </row>
    <row r="4274" spans="3:11">
      <c r="C4274" s="11"/>
      <c r="K4274" s="11"/>
    </row>
    <row r="4275" spans="3:11">
      <c r="C4275" s="11"/>
      <c r="K4275" s="11"/>
    </row>
    <row r="4276" spans="3:11">
      <c r="C4276" s="11"/>
      <c r="K4276" s="11"/>
    </row>
    <row r="4277" spans="3:11">
      <c r="C4277" s="11"/>
      <c r="K4277" s="11"/>
    </row>
    <row r="4278" spans="3:11">
      <c r="C4278" s="11"/>
      <c r="K4278" s="11"/>
    </row>
    <row r="4279" spans="3:11">
      <c r="C4279" s="11"/>
      <c r="K4279" s="11"/>
    </row>
    <row r="4280" spans="3:11">
      <c r="C4280" s="11"/>
      <c r="K4280" s="11"/>
    </row>
    <row r="4281" spans="3:11">
      <c r="C4281" s="11"/>
      <c r="K4281" s="11"/>
    </row>
    <row r="4282" spans="3:11">
      <c r="C4282" s="11"/>
      <c r="K4282" s="11"/>
    </row>
    <row r="4283" spans="3:11">
      <c r="C4283" s="11"/>
      <c r="K4283" s="11"/>
    </row>
    <row r="4284" spans="3:11">
      <c r="C4284" s="11"/>
      <c r="K4284" s="11"/>
    </row>
    <row r="4285" spans="3:11">
      <c r="C4285" s="11"/>
      <c r="K4285" s="11"/>
    </row>
    <row r="4286" spans="3:11">
      <c r="C4286" s="11"/>
      <c r="K4286" s="11"/>
    </row>
    <row r="4287" spans="3:11">
      <c r="C4287" s="11"/>
      <c r="K4287" s="11"/>
    </row>
    <row r="4288" spans="3:11">
      <c r="C4288" s="11"/>
      <c r="K4288" s="11"/>
    </row>
    <row r="4289" spans="3:11">
      <c r="C4289" s="11"/>
      <c r="K4289" s="11"/>
    </row>
    <row r="4290" spans="3:11">
      <c r="C4290" s="11"/>
      <c r="K4290" s="11"/>
    </row>
    <row r="4291" spans="3:11">
      <c r="C4291" s="11"/>
      <c r="K4291" s="11"/>
    </row>
    <row r="4292" spans="3:11">
      <c r="C4292" s="11"/>
      <c r="K4292" s="11"/>
    </row>
    <row r="4293" spans="3:11">
      <c r="C4293" s="11"/>
      <c r="K4293" s="11"/>
    </row>
    <row r="4294" spans="3:11">
      <c r="C4294" s="11"/>
      <c r="K4294" s="11"/>
    </row>
    <row r="4295" spans="3:11">
      <c r="C4295" s="11"/>
      <c r="K4295" s="11"/>
    </row>
    <row r="4296" spans="3:11">
      <c r="C4296" s="11"/>
      <c r="K4296" s="11"/>
    </row>
    <row r="4297" spans="3:11">
      <c r="C4297" s="11"/>
      <c r="K4297" s="11"/>
    </row>
    <row r="4298" spans="3:11">
      <c r="C4298" s="11"/>
      <c r="K4298" s="11"/>
    </row>
    <row r="4299" spans="3:11">
      <c r="C4299" s="11"/>
      <c r="K4299" s="11"/>
    </row>
    <row r="4300" spans="3:11">
      <c r="C4300" s="11"/>
      <c r="K4300" s="11"/>
    </row>
    <row r="4301" spans="3:11">
      <c r="C4301" s="11"/>
      <c r="K4301" s="11"/>
    </row>
    <row r="4302" spans="3:11">
      <c r="C4302" s="11"/>
      <c r="K4302" s="11"/>
    </row>
    <row r="4303" spans="3:11">
      <c r="C4303" s="11"/>
      <c r="K4303" s="11"/>
    </row>
    <row r="4304" spans="3:11">
      <c r="C4304" s="11"/>
      <c r="K4304" s="11"/>
    </row>
    <row r="4305" spans="3:11">
      <c r="C4305" s="11"/>
      <c r="K4305" s="11"/>
    </row>
    <row r="4306" spans="3:11">
      <c r="C4306" s="11"/>
      <c r="K4306" s="11"/>
    </row>
    <row r="4307" spans="3:11">
      <c r="C4307" s="11"/>
      <c r="K4307" s="11"/>
    </row>
    <row r="4308" spans="3:11">
      <c r="C4308" s="11"/>
      <c r="K4308" s="11"/>
    </row>
    <row r="4309" spans="3:11">
      <c r="C4309" s="11"/>
      <c r="K4309" s="11"/>
    </row>
    <row r="4310" spans="3:11">
      <c r="C4310" s="11"/>
      <c r="K4310" s="11"/>
    </row>
    <row r="4311" spans="3:11">
      <c r="C4311" s="11"/>
      <c r="K4311" s="11"/>
    </row>
    <row r="4312" spans="3:11">
      <c r="C4312" s="11"/>
      <c r="K4312" s="11"/>
    </row>
    <row r="4313" spans="3:11">
      <c r="C4313" s="11"/>
      <c r="K4313" s="11"/>
    </row>
    <row r="4314" spans="3:11">
      <c r="C4314" s="11"/>
      <c r="K4314" s="11"/>
    </row>
    <row r="4315" spans="3:11">
      <c r="C4315" s="11"/>
      <c r="K4315" s="11"/>
    </row>
    <row r="4316" spans="3:11">
      <c r="C4316" s="11"/>
      <c r="K4316" s="11"/>
    </row>
    <row r="4317" spans="3:11">
      <c r="C4317" s="11"/>
      <c r="K4317" s="11"/>
    </row>
    <row r="4318" spans="3:11">
      <c r="C4318" s="11"/>
      <c r="K4318" s="11"/>
    </row>
    <row r="4319" spans="3:11">
      <c r="C4319" s="11"/>
      <c r="K4319" s="11"/>
    </row>
    <row r="4320" spans="3:11">
      <c r="C4320" s="11"/>
      <c r="K4320" s="11"/>
    </row>
    <row r="4321" spans="3:11">
      <c r="C4321" s="11"/>
      <c r="K4321" s="11"/>
    </row>
    <row r="4322" spans="3:11">
      <c r="C4322" s="11"/>
      <c r="K4322" s="11"/>
    </row>
    <row r="4323" spans="3:11">
      <c r="C4323" s="11"/>
      <c r="K4323" s="11"/>
    </row>
    <row r="4324" spans="3:11">
      <c r="C4324" s="11"/>
      <c r="K4324" s="11"/>
    </row>
    <row r="4325" spans="3:11">
      <c r="C4325" s="11"/>
      <c r="K4325" s="11"/>
    </row>
    <row r="4326" spans="3:11">
      <c r="C4326" s="11"/>
      <c r="K4326" s="11"/>
    </row>
    <row r="4327" spans="3:11">
      <c r="C4327" s="11"/>
      <c r="K4327" s="11"/>
    </row>
    <row r="4328" spans="3:11">
      <c r="C4328" s="11"/>
      <c r="K4328" s="11"/>
    </row>
    <row r="4329" spans="3:11">
      <c r="C4329" s="11"/>
      <c r="K4329" s="11"/>
    </row>
    <row r="4330" spans="3:11">
      <c r="C4330" s="11"/>
      <c r="K4330" s="11"/>
    </row>
    <row r="4331" spans="3:11">
      <c r="C4331" s="11"/>
      <c r="K4331" s="11"/>
    </row>
    <row r="4332" spans="3:11">
      <c r="C4332" s="11"/>
      <c r="K4332" s="11"/>
    </row>
    <row r="4333" spans="3:11">
      <c r="C4333" s="11"/>
      <c r="K4333" s="11"/>
    </row>
    <row r="4334" spans="3:11">
      <c r="C4334" s="11"/>
      <c r="K4334" s="11"/>
    </row>
    <row r="4335" spans="3:11">
      <c r="C4335" s="11"/>
      <c r="K4335" s="11"/>
    </row>
    <row r="4336" spans="3:11">
      <c r="C4336" s="11"/>
      <c r="K4336" s="11"/>
    </row>
    <row r="4337" spans="3:11">
      <c r="C4337" s="11"/>
      <c r="K4337" s="11"/>
    </row>
    <row r="4338" spans="3:11">
      <c r="C4338" s="11"/>
      <c r="K4338" s="11"/>
    </row>
    <row r="4339" spans="3:11">
      <c r="C4339" s="11"/>
      <c r="K4339" s="11"/>
    </row>
    <row r="4340" spans="3:11">
      <c r="C4340" s="11"/>
      <c r="K4340" s="11"/>
    </row>
    <row r="4341" spans="3:11">
      <c r="C4341" s="11"/>
      <c r="K4341" s="11"/>
    </row>
    <row r="4342" spans="3:11">
      <c r="C4342" s="11"/>
      <c r="K4342" s="11"/>
    </row>
    <row r="4343" spans="3:11">
      <c r="C4343" s="11"/>
      <c r="K4343" s="11"/>
    </row>
    <row r="4344" spans="3:11">
      <c r="C4344" s="11"/>
      <c r="K4344" s="11"/>
    </row>
    <row r="4345" spans="3:11">
      <c r="C4345" s="11"/>
      <c r="K4345" s="11"/>
    </row>
    <row r="4346" spans="3:11">
      <c r="C4346" s="11"/>
      <c r="K4346" s="11"/>
    </row>
    <row r="4347" spans="3:11">
      <c r="C4347" s="11"/>
      <c r="K4347" s="11"/>
    </row>
    <row r="4348" spans="3:11">
      <c r="C4348" s="11"/>
      <c r="K4348" s="11"/>
    </row>
    <row r="4349" spans="3:11">
      <c r="C4349" s="11"/>
      <c r="K4349" s="11"/>
    </row>
    <row r="4350" spans="3:11">
      <c r="C4350" s="11"/>
      <c r="K4350" s="11"/>
    </row>
    <row r="4351" spans="3:11">
      <c r="C4351" s="11"/>
      <c r="K4351" s="11"/>
    </row>
    <row r="4352" spans="3:11">
      <c r="C4352" s="11"/>
      <c r="K4352" s="11"/>
    </row>
    <row r="4353" spans="3:11">
      <c r="C4353" s="11"/>
      <c r="K4353" s="11"/>
    </row>
    <row r="4354" spans="3:11">
      <c r="C4354" s="11"/>
      <c r="K4354" s="11"/>
    </row>
    <row r="4355" spans="3:11">
      <c r="C4355" s="11"/>
      <c r="K4355" s="11"/>
    </row>
    <row r="4356" spans="3:11">
      <c r="C4356" s="11"/>
      <c r="K4356" s="11"/>
    </row>
    <row r="4357" spans="3:11">
      <c r="C4357" s="11"/>
      <c r="K4357" s="11"/>
    </row>
    <row r="4358" spans="3:11">
      <c r="C4358" s="11"/>
      <c r="K4358" s="11"/>
    </row>
    <row r="4359" spans="3:11">
      <c r="C4359" s="11"/>
      <c r="K4359" s="11"/>
    </row>
    <row r="4360" spans="3:11">
      <c r="C4360" s="11"/>
      <c r="K4360" s="11"/>
    </row>
    <row r="4361" spans="3:11">
      <c r="C4361" s="11"/>
      <c r="K4361" s="11"/>
    </row>
    <row r="4362" spans="3:11">
      <c r="C4362" s="11"/>
      <c r="K4362" s="11"/>
    </row>
    <row r="4363" spans="3:11">
      <c r="C4363" s="11"/>
      <c r="K4363" s="11"/>
    </row>
    <row r="4364" spans="3:11">
      <c r="C4364" s="11"/>
      <c r="K4364" s="11"/>
    </row>
    <row r="4365" spans="3:11">
      <c r="C4365" s="11"/>
      <c r="K4365" s="11"/>
    </row>
    <row r="4366" spans="3:11">
      <c r="C4366" s="11"/>
      <c r="K4366" s="11"/>
    </row>
    <row r="4367" spans="3:11">
      <c r="C4367" s="11"/>
      <c r="K4367" s="11"/>
    </row>
    <row r="4368" spans="3:11">
      <c r="C4368" s="11"/>
      <c r="K4368" s="11"/>
    </row>
    <row r="4369" spans="3:11">
      <c r="C4369" s="11"/>
      <c r="K4369" s="11"/>
    </row>
    <row r="4370" spans="3:11">
      <c r="C4370" s="11"/>
      <c r="K4370" s="11"/>
    </row>
    <row r="4371" spans="3:11">
      <c r="C4371" s="11"/>
      <c r="K4371" s="11"/>
    </row>
    <row r="4372" spans="3:11">
      <c r="C4372" s="11"/>
      <c r="K4372" s="11"/>
    </row>
    <row r="4373" spans="3:11">
      <c r="C4373" s="11"/>
      <c r="K4373" s="11"/>
    </row>
    <row r="4374" spans="3:11">
      <c r="C4374" s="11"/>
      <c r="K4374" s="11"/>
    </row>
    <row r="4375" spans="3:11">
      <c r="C4375" s="11"/>
      <c r="K4375" s="11"/>
    </row>
    <row r="4376" spans="3:11">
      <c r="C4376" s="11"/>
      <c r="K4376" s="11"/>
    </row>
    <row r="4377" spans="3:11">
      <c r="C4377" s="11"/>
      <c r="K4377" s="11"/>
    </row>
    <row r="4378" spans="3:11">
      <c r="C4378" s="11"/>
      <c r="K4378" s="11"/>
    </row>
    <row r="4379" spans="3:11">
      <c r="C4379" s="11"/>
      <c r="K4379" s="11"/>
    </row>
    <row r="4380" spans="3:11">
      <c r="C4380" s="11"/>
      <c r="K4380" s="11"/>
    </row>
    <row r="4381" spans="3:11">
      <c r="C4381" s="11"/>
      <c r="K4381" s="11"/>
    </row>
    <row r="4382" spans="3:11">
      <c r="C4382" s="11"/>
      <c r="K4382" s="11"/>
    </row>
    <row r="4383" spans="3:11">
      <c r="C4383" s="11"/>
      <c r="K4383" s="11"/>
    </row>
    <row r="4384" spans="3:11">
      <c r="C4384" s="11"/>
      <c r="K4384" s="11"/>
    </row>
    <row r="4385" spans="3:11">
      <c r="C4385" s="11"/>
      <c r="K4385" s="11"/>
    </row>
    <row r="4386" spans="3:11">
      <c r="C4386" s="11"/>
      <c r="K4386" s="11"/>
    </row>
    <row r="4387" spans="3:11">
      <c r="C4387" s="11"/>
      <c r="K4387" s="11"/>
    </row>
    <row r="4388" spans="3:11">
      <c r="C4388" s="11"/>
      <c r="K4388" s="11"/>
    </row>
    <row r="4389" spans="3:11">
      <c r="C4389" s="11"/>
      <c r="K4389" s="11"/>
    </row>
    <row r="4390" spans="3:11">
      <c r="C4390" s="11"/>
      <c r="K4390" s="11"/>
    </row>
    <row r="4391" spans="3:11">
      <c r="C4391" s="11"/>
      <c r="K4391" s="11"/>
    </row>
    <row r="4392" spans="3:11">
      <c r="C4392" s="11"/>
      <c r="K4392" s="11"/>
    </row>
    <row r="4393" spans="3:11">
      <c r="C4393" s="11"/>
      <c r="K4393" s="11"/>
    </row>
    <row r="4394" spans="3:11">
      <c r="C4394" s="11"/>
      <c r="K4394" s="11"/>
    </row>
    <row r="4395" spans="3:11">
      <c r="C4395" s="11"/>
      <c r="K4395" s="11"/>
    </row>
    <row r="4396" spans="3:11">
      <c r="C4396" s="11"/>
      <c r="K4396" s="11"/>
    </row>
    <row r="4397" spans="3:11">
      <c r="C4397" s="11"/>
      <c r="K4397" s="11"/>
    </row>
    <row r="4398" spans="3:11">
      <c r="C4398" s="11"/>
      <c r="K4398" s="11"/>
    </row>
    <row r="4399" spans="3:11">
      <c r="C4399" s="11"/>
      <c r="K4399" s="11"/>
    </row>
    <row r="4400" spans="3:11">
      <c r="C4400" s="11"/>
      <c r="K4400" s="11"/>
    </row>
    <row r="4401" spans="3:11">
      <c r="C4401" s="11"/>
      <c r="K4401" s="11"/>
    </row>
    <row r="4402" spans="3:11">
      <c r="C4402" s="11"/>
      <c r="K4402" s="11"/>
    </row>
    <row r="4403" spans="3:11">
      <c r="C4403" s="11"/>
      <c r="K4403" s="11"/>
    </row>
    <row r="4404" spans="3:11">
      <c r="C4404" s="11"/>
      <c r="K4404" s="11"/>
    </row>
    <row r="4405" spans="3:11">
      <c r="C4405" s="11"/>
      <c r="K4405" s="11"/>
    </row>
    <row r="4406" spans="3:11">
      <c r="C4406" s="11"/>
      <c r="K4406" s="11"/>
    </row>
    <row r="4407" spans="3:11">
      <c r="C4407" s="11"/>
      <c r="K4407" s="11"/>
    </row>
    <row r="4408" spans="3:11">
      <c r="C4408" s="11"/>
      <c r="K4408" s="11"/>
    </row>
    <row r="4409" spans="3:11">
      <c r="C4409" s="11"/>
      <c r="K4409" s="11"/>
    </row>
    <row r="4410" spans="3:11">
      <c r="C4410" s="11"/>
      <c r="K4410" s="11"/>
    </row>
    <row r="4411" spans="3:11">
      <c r="C4411" s="11"/>
      <c r="K4411" s="11"/>
    </row>
    <row r="4412" spans="3:11">
      <c r="C4412" s="11"/>
      <c r="K4412" s="11"/>
    </row>
    <row r="4413" spans="3:11">
      <c r="C4413" s="11"/>
      <c r="K4413" s="11"/>
    </row>
    <row r="4414" spans="3:11">
      <c r="C4414" s="11"/>
      <c r="K4414" s="11"/>
    </row>
    <row r="4415" spans="3:11">
      <c r="C4415" s="11"/>
      <c r="K4415" s="11"/>
    </row>
    <row r="4416" spans="3:11">
      <c r="C4416" s="11"/>
      <c r="K4416" s="11"/>
    </row>
    <row r="4417" spans="3:11">
      <c r="C4417" s="11"/>
      <c r="K4417" s="11"/>
    </row>
    <row r="4418" spans="3:11">
      <c r="C4418" s="11"/>
      <c r="K4418" s="11"/>
    </row>
    <row r="4419" spans="3:11">
      <c r="C4419" s="11"/>
      <c r="K4419" s="11"/>
    </row>
    <row r="4420" spans="3:11">
      <c r="C4420" s="11"/>
      <c r="K4420" s="11"/>
    </row>
    <row r="4421" spans="3:11">
      <c r="C4421" s="11"/>
      <c r="K4421" s="11"/>
    </row>
    <row r="4422" spans="3:11">
      <c r="C4422" s="11"/>
      <c r="K4422" s="11"/>
    </row>
    <row r="4423" spans="3:11">
      <c r="C4423" s="11"/>
      <c r="K4423" s="11"/>
    </row>
    <row r="4424" spans="3:11">
      <c r="C4424" s="11"/>
      <c r="K4424" s="11"/>
    </row>
    <row r="4425" spans="3:11">
      <c r="C4425" s="11"/>
      <c r="K4425" s="11"/>
    </row>
    <row r="4426" spans="3:11">
      <c r="C4426" s="11"/>
      <c r="K4426" s="11"/>
    </row>
    <row r="4427" spans="3:11">
      <c r="C4427" s="11"/>
      <c r="K4427" s="11"/>
    </row>
    <row r="4428" spans="3:11">
      <c r="C4428" s="11"/>
      <c r="K4428" s="11"/>
    </row>
    <row r="4429" spans="3:11">
      <c r="C4429" s="11"/>
      <c r="K4429" s="11"/>
    </row>
    <row r="4430" spans="3:11">
      <c r="C4430" s="11"/>
      <c r="K4430" s="11"/>
    </row>
    <row r="4431" spans="3:11">
      <c r="C4431" s="11"/>
      <c r="K4431" s="11"/>
    </row>
    <row r="4432" spans="3:11">
      <c r="C4432" s="11"/>
      <c r="K4432" s="11"/>
    </row>
    <row r="4433" spans="3:11">
      <c r="C4433" s="11"/>
      <c r="K4433" s="11"/>
    </row>
    <row r="4434" spans="3:11">
      <c r="C4434" s="11"/>
      <c r="K4434" s="11"/>
    </row>
    <row r="4435" spans="3:11">
      <c r="C4435" s="11"/>
      <c r="K4435" s="11"/>
    </row>
    <row r="4436" spans="3:11">
      <c r="C4436" s="11"/>
      <c r="K4436" s="11"/>
    </row>
    <row r="4437" spans="3:11">
      <c r="C4437" s="11"/>
      <c r="K4437" s="11"/>
    </row>
    <row r="4438" spans="3:11">
      <c r="C4438" s="11"/>
      <c r="K4438" s="11"/>
    </row>
    <row r="4439" spans="3:11">
      <c r="C4439" s="11"/>
      <c r="K4439" s="11"/>
    </row>
    <row r="4440" spans="3:11">
      <c r="C4440" s="11"/>
      <c r="K4440" s="11"/>
    </row>
    <row r="4441" spans="3:11">
      <c r="C4441" s="11"/>
      <c r="K4441" s="11"/>
    </row>
    <row r="4442" spans="3:11">
      <c r="C4442" s="11"/>
      <c r="K4442" s="11"/>
    </row>
    <row r="4443" spans="3:11">
      <c r="C4443" s="11"/>
      <c r="K4443" s="11"/>
    </row>
    <row r="4444" spans="3:11">
      <c r="C4444" s="11"/>
      <c r="K4444" s="11"/>
    </row>
    <row r="4445" spans="3:11">
      <c r="C4445" s="11"/>
      <c r="K4445" s="11"/>
    </row>
    <row r="4446" spans="3:11">
      <c r="C4446" s="11"/>
      <c r="K4446" s="11"/>
    </row>
    <row r="4447" spans="3:11">
      <c r="C4447" s="11"/>
      <c r="K4447" s="11"/>
    </row>
    <row r="4448" spans="3:11">
      <c r="C4448" s="11"/>
      <c r="K4448" s="11"/>
    </row>
    <row r="4449" spans="3:11">
      <c r="C4449" s="11"/>
      <c r="K4449" s="11"/>
    </row>
    <row r="4450" spans="3:11">
      <c r="C4450" s="11"/>
      <c r="K4450" s="11"/>
    </row>
    <row r="4451" spans="3:11">
      <c r="C4451" s="11"/>
      <c r="K4451" s="11"/>
    </row>
    <row r="4452" spans="3:11">
      <c r="C4452" s="11"/>
      <c r="K4452" s="11"/>
    </row>
    <row r="4453" spans="3:11">
      <c r="C4453" s="11"/>
      <c r="K4453" s="11"/>
    </row>
    <row r="4454" spans="3:11">
      <c r="C4454" s="11"/>
      <c r="K4454" s="11"/>
    </row>
    <row r="4455" spans="3:11">
      <c r="C4455" s="11"/>
      <c r="K4455" s="11"/>
    </row>
    <row r="4456" spans="3:11">
      <c r="C4456" s="11"/>
      <c r="K4456" s="11"/>
    </row>
    <row r="4457" spans="3:11">
      <c r="C4457" s="11"/>
      <c r="K4457" s="11"/>
    </row>
    <row r="4458" spans="3:11">
      <c r="C4458" s="11"/>
      <c r="K4458" s="11"/>
    </row>
    <row r="4459" spans="3:11">
      <c r="C4459" s="11"/>
      <c r="K4459" s="11"/>
    </row>
    <row r="4460" spans="3:11">
      <c r="C4460" s="11"/>
      <c r="K4460" s="11"/>
    </row>
    <row r="4461" spans="3:11">
      <c r="C4461" s="11"/>
      <c r="K4461" s="11"/>
    </row>
    <row r="4462" spans="3:11">
      <c r="C4462" s="11"/>
      <c r="K4462" s="11"/>
    </row>
    <row r="4463" spans="3:11">
      <c r="C4463" s="11"/>
      <c r="K4463" s="11"/>
    </row>
    <row r="4464" spans="3:11">
      <c r="C4464" s="11"/>
      <c r="K4464" s="11"/>
    </row>
    <row r="4465" spans="3:11">
      <c r="C4465" s="11"/>
      <c r="K4465" s="11"/>
    </row>
    <row r="4466" spans="3:11">
      <c r="C4466" s="11"/>
      <c r="K4466" s="11"/>
    </row>
    <row r="4467" spans="3:11">
      <c r="C4467" s="11"/>
      <c r="K4467" s="11"/>
    </row>
    <row r="4468" spans="3:11">
      <c r="C4468" s="11"/>
      <c r="K4468" s="11"/>
    </row>
    <row r="4469" spans="3:11">
      <c r="C4469" s="11"/>
      <c r="K4469" s="11"/>
    </row>
    <row r="4470" spans="3:11">
      <c r="C4470" s="11"/>
      <c r="K4470" s="11"/>
    </row>
    <row r="4471" spans="3:11">
      <c r="C4471" s="11"/>
      <c r="K4471" s="11"/>
    </row>
    <row r="4472" spans="3:11">
      <c r="C4472" s="11"/>
      <c r="K4472" s="11"/>
    </row>
    <row r="4473" spans="3:11">
      <c r="C4473" s="11"/>
      <c r="K4473" s="11"/>
    </row>
    <row r="4474" spans="3:11">
      <c r="C4474" s="11"/>
      <c r="K4474" s="11"/>
    </row>
    <row r="4475" spans="3:11">
      <c r="C4475" s="11"/>
      <c r="K4475" s="11"/>
    </row>
    <row r="4476" spans="3:11">
      <c r="C4476" s="11"/>
      <c r="K4476" s="11"/>
    </row>
    <row r="4477" spans="3:11">
      <c r="C4477" s="11"/>
      <c r="K4477" s="11"/>
    </row>
    <row r="4478" spans="3:11">
      <c r="C4478" s="11"/>
      <c r="K4478" s="11"/>
    </row>
    <row r="4479" spans="3:11">
      <c r="C4479" s="11"/>
      <c r="K4479" s="11"/>
    </row>
    <row r="4480" spans="3:11">
      <c r="C4480" s="11"/>
      <c r="K4480" s="11"/>
    </row>
    <row r="4481" spans="3:11">
      <c r="C4481" s="11"/>
      <c r="K4481" s="11"/>
    </row>
    <row r="4482" spans="3:11">
      <c r="C4482" s="11"/>
      <c r="K4482" s="11"/>
    </row>
    <row r="4483" spans="3:11">
      <c r="C4483" s="11"/>
      <c r="K4483" s="11"/>
    </row>
    <row r="4484" spans="3:11">
      <c r="C4484" s="11"/>
      <c r="K4484" s="11"/>
    </row>
    <row r="4485" spans="3:11">
      <c r="C4485" s="11"/>
      <c r="K4485" s="11"/>
    </row>
    <row r="4486" spans="3:11">
      <c r="C4486" s="11"/>
      <c r="K4486" s="11"/>
    </row>
    <row r="4487" spans="3:11">
      <c r="C4487" s="11"/>
      <c r="K4487" s="11"/>
    </row>
    <row r="4488" spans="3:11">
      <c r="C4488" s="11"/>
      <c r="K4488" s="11"/>
    </row>
    <row r="4489" spans="3:11">
      <c r="C4489" s="11"/>
      <c r="K4489" s="11"/>
    </row>
    <row r="4490" spans="3:11">
      <c r="C4490" s="11"/>
      <c r="K4490" s="11"/>
    </row>
    <row r="4491" spans="3:11">
      <c r="C4491" s="11"/>
      <c r="K4491" s="11"/>
    </row>
    <row r="4492" spans="3:11">
      <c r="C4492" s="11"/>
      <c r="K4492" s="11"/>
    </row>
    <row r="4493" spans="3:11">
      <c r="C4493" s="11"/>
      <c r="K4493" s="11"/>
    </row>
    <row r="4494" spans="3:11">
      <c r="C4494" s="11"/>
      <c r="K4494" s="11"/>
    </row>
    <row r="4495" spans="3:11">
      <c r="C4495" s="11"/>
      <c r="K4495" s="11"/>
    </row>
    <row r="4496" spans="3:11">
      <c r="C4496" s="11"/>
      <c r="K4496" s="11"/>
    </row>
    <row r="4497" spans="3:11">
      <c r="C4497" s="11"/>
      <c r="K4497" s="11"/>
    </row>
    <row r="4498" spans="3:11">
      <c r="C4498" s="11"/>
      <c r="K4498" s="11"/>
    </row>
    <row r="4499" spans="3:11">
      <c r="C4499" s="11"/>
      <c r="K4499" s="11"/>
    </row>
    <row r="4500" spans="3:11">
      <c r="C4500" s="11"/>
      <c r="K4500" s="11"/>
    </row>
    <row r="4501" spans="3:11">
      <c r="C4501" s="11"/>
      <c r="K4501" s="11"/>
    </row>
    <row r="4502" spans="3:11">
      <c r="C4502" s="11"/>
      <c r="K4502" s="11"/>
    </row>
    <row r="4503" spans="3:11">
      <c r="C4503" s="11"/>
      <c r="K4503" s="11"/>
    </row>
    <row r="4504" spans="3:11">
      <c r="C4504" s="11"/>
      <c r="K4504" s="11"/>
    </row>
    <row r="4505" spans="3:11">
      <c r="C4505" s="11"/>
      <c r="K4505" s="11"/>
    </row>
    <row r="4506" spans="3:11">
      <c r="C4506" s="11"/>
      <c r="K4506" s="11"/>
    </row>
    <row r="4507" spans="3:11">
      <c r="C4507" s="11"/>
      <c r="K4507" s="11"/>
    </row>
    <row r="4508" spans="3:11">
      <c r="C4508" s="11"/>
      <c r="K4508" s="11"/>
    </row>
    <row r="4509" spans="3:11">
      <c r="C4509" s="11"/>
      <c r="K4509" s="11"/>
    </row>
    <row r="4510" spans="3:11">
      <c r="C4510" s="11"/>
      <c r="K4510" s="11"/>
    </row>
    <row r="4511" spans="3:11">
      <c r="C4511" s="11"/>
      <c r="K4511" s="11"/>
    </row>
    <row r="4512" spans="3:11">
      <c r="C4512" s="11"/>
      <c r="K4512" s="11"/>
    </row>
    <row r="4513" spans="3:11">
      <c r="C4513" s="11"/>
      <c r="K4513" s="11"/>
    </row>
    <row r="4514" spans="3:11">
      <c r="C4514" s="11"/>
      <c r="K4514" s="11"/>
    </row>
    <row r="4515" spans="3:11">
      <c r="C4515" s="11"/>
      <c r="K4515" s="11"/>
    </row>
    <row r="4516" spans="3:11">
      <c r="C4516" s="11"/>
      <c r="K4516" s="11"/>
    </row>
    <row r="4517" spans="3:11">
      <c r="C4517" s="11"/>
      <c r="K4517" s="11"/>
    </row>
    <row r="4518" spans="3:11">
      <c r="C4518" s="11"/>
      <c r="K4518" s="11"/>
    </row>
    <row r="4519" spans="3:11">
      <c r="C4519" s="11"/>
      <c r="K4519" s="11"/>
    </row>
    <row r="4520" spans="3:11">
      <c r="C4520" s="11"/>
      <c r="K4520" s="11"/>
    </row>
    <row r="4521" spans="3:11">
      <c r="C4521" s="11"/>
      <c r="K4521" s="11"/>
    </row>
    <row r="4522" spans="3:11">
      <c r="C4522" s="11"/>
      <c r="K4522" s="11"/>
    </row>
    <row r="4523" spans="3:11">
      <c r="C4523" s="11"/>
      <c r="K4523" s="11"/>
    </row>
    <row r="4524" spans="3:11">
      <c r="C4524" s="11"/>
      <c r="K4524" s="11"/>
    </row>
    <row r="4525" spans="3:11">
      <c r="C4525" s="11"/>
      <c r="K4525" s="11"/>
    </row>
    <row r="4526" spans="3:11">
      <c r="C4526" s="11"/>
      <c r="K4526" s="11"/>
    </row>
    <row r="4527" spans="3:11">
      <c r="C4527" s="11"/>
      <c r="K4527" s="11"/>
    </row>
    <row r="4528" spans="3:11">
      <c r="C4528" s="11"/>
      <c r="K4528" s="11"/>
    </row>
    <row r="4529" spans="3:11">
      <c r="C4529" s="11"/>
      <c r="K4529" s="11"/>
    </row>
    <row r="4530" spans="3:11">
      <c r="C4530" s="11"/>
      <c r="K4530" s="11"/>
    </row>
    <row r="4531" spans="3:11">
      <c r="C4531" s="11"/>
      <c r="K4531" s="11"/>
    </row>
    <row r="4532" spans="3:11">
      <c r="C4532" s="11"/>
      <c r="K4532" s="11"/>
    </row>
    <row r="4533" spans="3:11">
      <c r="C4533" s="11"/>
      <c r="K4533" s="11"/>
    </row>
    <row r="4534" spans="3:11">
      <c r="C4534" s="11"/>
      <c r="K4534" s="11"/>
    </row>
    <row r="4535" spans="3:11">
      <c r="C4535" s="11"/>
      <c r="K4535" s="11"/>
    </row>
    <row r="4536" spans="3:11">
      <c r="C4536" s="11"/>
      <c r="K4536" s="11"/>
    </row>
    <row r="4537" spans="3:11">
      <c r="C4537" s="11"/>
      <c r="K4537" s="11"/>
    </row>
    <row r="4538" spans="3:11">
      <c r="C4538" s="11"/>
      <c r="K4538" s="11"/>
    </row>
    <row r="4539" spans="3:11">
      <c r="C4539" s="11"/>
      <c r="K4539" s="11"/>
    </row>
    <row r="4540" spans="3:11">
      <c r="C4540" s="11"/>
      <c r="K4540" s="11"/>
    </row>
    <row r="4541" spans="3:11">
      <c r="C4541" s="11"/>
      <c r="K4541" s="11"/>
    </row>
    <row r="4542" spans="3:11">
      <c r="C4542" s="11"/>
      <c r="K4542" s="11"/>
    </row>
    <row r="4543" spans="3:11">
      <c r="C4543" s="11"/>
      <c r="K4543" s="11"/>
    </row>
    <row r="4544" spans="3:11">
      <c r="C4544" s="11"/>
      <c r="K4544" s="11"/>
    </row>
    <row r="4545" spans="3:11">
      <c r="C4545" s="11"/>
      <c r="K4545" s="11"/>
    </row>
    <row r="4546" spans="3:11">
      <c r="C4546" s="11"/>
      <c r="K4546" s="11"/>
    </row>
    <row r="4547" spans="3:11">
      <c r="C4547" s="11"/>
      <c r="K4547" s="11"/>
    </row>
    <row r="4548" spans="3:11">
      <c r="C4548" s="11"/>
      <c r="K4548" s="11"/>
    </row>
    <row r="4549" spans="3:11">
      <c r="C4549" s="11"/>
      <c r="K4549" s="11"/>
    </row>
    <row r="4550" spans="3:11">
      <c r="C4550" s="11"/>
      <c r="K4550" s="11"/>
    </row>
    <row r="4551" spans="3:11">
      <c r="C4551" s="11"/>
      <c r="K4551" s="11"/>
    </row>
    <row r="4552" spans="3:11">
      <c r="C4552" s="11"/>
      <c r="K4552" s="11"/>
    </row>
    <row r="4553" spans="3:11">
      <c r="C4553" s="11"/>
      <c r="K4553" s="11"/>
    </row>
    <row r="4554" spans="3:11">
      <c r="C4554" s="11"/>
      <c r="K4554" s="11"/>
    </row>
    <row r="4555" spans="3:11">
      <c r="C4555" s="11"/>
      <c r="K4555" s="11"/>
    </row>
    <row r="4556" spans="3:11">
      <c r="C4556" s="11"/>
      <c r="K4556" s="11"/>
    </row>
    <row r="4557" spans="3:11">
      <c r="C4557" s="11"/>
      <c r="K4557" s="11"/>
    </row>
    <row r="4558" spans="3:11">
      <c r="C4558" s="11"/>
      <c r="K4558" s="11"/>
    </row>
    <row r="4559" spans="3:11">
      <c r="C4559" s="11"/>
      <c r="K4559" s="11"/>
    </row>
    <row r="4560" spans="3:11">
      <c r="C4560" s="11"/>
      <c r="K4560" s="11"/>
    </row>
    <row r="4561" spans="3:11">
      <c r="C4561" s="11"/>
      <c r="K4561" s="11"/>
    </row>
    <row r="4562" spans="3:11">
      <c r="C4562" s="11"/>
      <c r="K4562" s="11"/>
    </row>
    <row r="4563" spans="3:11">
      <c r="C4563" s="11"/>
      <c r="K4563" s="11"/>
    </row>
    <row r="4564" spans="3:11">
      <c r="C4564" s="11"/>
      <c r="K4564" s="11"/>
    </row>
    <row r="4565" spans="3:11">
      <c r="C4565" s="11"/>
      <c r="K4565" s="11"/>
    </row>
    <row r="4566" spans="3:11">
      <c r="C4566" s="11"/>
      <c r="K4566" s="11"/>
    </row>
    <row r="4567" spans="3:11">
      <c r="C4567" s="11"/>
      <c r="K4567" s="11"/>
    </row>
    <row r="4568" spans="3:11">
      <c r="C4568" s="11"/>
      <c r="K4568" s="11"/>
    </row>
    <row r="4569" spans="3:11">
      <c r="C4569" s="11"/>
      <c r="K4569" s="11"/>
    </row>
    <row r="4570" spans="3:11">
      <c r="C4570" s="11"/>
      <c r="K4570" s="11"/>
    </row>
    <row r="4571" spans="3:11">
      <c r="C4571" s="11"/>
      <c r="K4571" s="11"/>
    </row>
    <row r="4572" spans="3:11">
      <c r="C4572" s="11"/>
      <c r="K4572" s="11"/>
    </row>
    <row r="4573" spans="3:11">
      <c r="C4573" s="11"/>
      <c r="K4573" s="11"/>
    </row>
    <row r="4574" spans="3:11">
      <c r="C4574" s="11"/>
      <c r="K4574" s="11"/>
    </row>
    <row r="4575" spans="3:11">
      <c r="C4575" s="11"/>
      <c r="K4575" s="11"/>
    </row>
    <row r="4576" spans="3:11">
      <c r="C4576" s="11"/>
      <c r="K4576" s="11"/>
    </row>
    <row r="4577" spans="3:11">
      <c r="C4577" s="11"/>
      <c r="K4577" s="11"/>
    </row>
    <row r="4578" spans="3:11">
      <c r="C4578" s="11"/>
      <c r="K4578" s="11"/>
    </row>
    <row r="4579" spans="3:11">
      <c r="C4579" s="11"/>
      <c r="K4579" s="11"/>
    </row>
    <row r="4580" spans="3:11">
      <c r="C4580" s="11"/>
      <c r="K4580" s="11"/>
    </row>
    <row r="4581" spans="3:11">
      <c r="C4581" s="11"/>
      <c r="K4581" s="11"/>
    </row>
    <row r="4582" spans="3:11">
      <c r="C4582" s="11"/>
      <c r="K4582" s="11"/>
    </row>
    <row r="4583" spans="3:11">
      <c r="C4583" s="11"/>
      <c r="K4583" s="11"/>
    </row>
    <row r="4584" spans="3:11">
      <c r="C4584" s="11"/>
      <c r="K4584" s="11"/>
    </row>
    <row r="4585" spans="3:11">
      <c r="C4585" s="11"/>
      <c r="K4585" s="11"/>
    </row>
    <row r="4586" spans="3:11">
      <c r="C4586" s="11"/>
      <c r="K4586" s="11"/>
    </row>
    <row r="4587" spans="3:11">
      <c r="C4587" s="11"/>
      <c r="K4587" s="11"/>
    </row>
    <row r="4588" spans="3:11">
      <c r="C4588" s="11"/>
      <c r="K4588" s="11"/>
    </row>
    <row r="4589" spans="3:11">
      <c r="C4589" s="11"/>
      <c r="K4589" s="11"/>
    </row>
    <row r="4590" spans="3:11">
      <c r="C4590" s="11"/>
      <c r="K4590" s="11"/>
    </row>
    <row r="4591" spans="3:11">
      <c r="C4591" s="11"/>
      <c r="K4591" s="11"/>
    </row>
    <row r="4592" spans="3:11">
      <c r="C4592" s="11"/>
      <c r="K4592" s="11"/>
    </row>
    <row r="4593" spans="3:11">
      <c r="C4593" s="11"/>
      <c r="K4593" s="11"/>
    </row>
    <row r="4594" spans="3:11">
      <c r="C4594" s="11"/>
      <c r="K4594" s="11"/>
    </row>
    <row r="4595" spans="3:11">
      <c r="C4595" s="11"/>
      <c r="K4595" s="11"/>
    </row>
    <row r="4596" spans="3:11">
      <c r="C4596" s="11"/>
      <c r="K4596" s="11"/>
    </row>
    <row r="4597" spans="3:11">
      <c r="C4597" s="11"/>
      <c r="K4597" s="11"/>
    </row>
    <row r="4598" spans="3:11">
      <c r="C4598" s="11"/>
      <c r="K4598" s="11"/>
    </row>
    <row r="4599" spans="3:11">
      <c r="C4599" s="11"/>
      <c r="K4599" s="11"/>
    </row>
    <row r="4600" spans="3:11">
      <c r="C4600" s="11"/>
      <c r="K4600" s="11"/>
    </row>
    <row r="4601" spans="3:11">
      <c r="C4601" s="11"/>
      <c r="K4601" s="11"/>
    </row>
    <row r="4602" spans="3:11">
      <c r="C4602" s="11"/>
      <c r="K4602" s="11"/>
    </row>
    <row r="4603" spans="3:11">
      <c r="C4603" s="11"/>
      <c r="K4603" s="11"/>
    </row>
    <row r="4604" spans="3:11">
      <c r="C4604" s="11"/>
      <c r="K4604" s="11"/>
    </row>
    <row r="4605" spans="3:11">
      <c r="C4605" s="11"/>
      <c r="K4605" s="11"/>
    </row>
    <row r="4606" spans="3:11">
      <c r="C4606" s="11"/>
      <c r="K4606" s="11"/>
    </row>
    <row r="4607" spans="3:11">
      <c r="C4607" s="11"/>
      <c r="K4607" s="11"/>
    </row>
    <row r="4608" spans="3:11">
      <c r="C4608" s="11"/>
      <c r="K4608" s="11"/>
    </row>
    <row r="4609" spans="3:11">
      <c r="C4609" s="11"/>
      <c r="K4609" s="11"/>
    </row>
    <row r="4610" spans="3:11">
      <c r="C4610" s="11"/>
      <c r="K4610" s="11"/>
    </row>
    <row r="4611" spans="3:11">
      <c r="C4611" s="11"/>
      <c r="K4611" s="11"/>
    </row>
    <row r="4612" spans="3:11">
      <c r="C4612" s="11"/>
      <c r="K4612" s="11"/>
    </row>
    <row r="4613" spans="3:11">
      <c r="C4613" s="11"/>
      <c r="K4613" s="11"/>
    </row>
    <row r="4614" spans="3:11">
      <c r="C4614" s="11"/>
      <c r="K4614" s="11"/>
    </row>
    <row r="4615" spans="3:11">
      <c r="C4615" s="11"/>
      <c r="K4615" s="11"/>
    </row>
    <row r="4616" spans="3:11">
      <c r="C4616" s="11"/>
      <c r="K4616" s="11"/>
    </row>
    <row r="4617" spans="3:11">
      <c r="C4617" s="11"/>
      <c r="K4617" s="11"/>
    </row>
    <row r="4618" spans="3:11">
      <c r="C4618" s="11"/>
      <c r="K4618" s="11"/>
    </row>
    <row r="4619" spans="3:11">
      <c r="C4619" s="11"/>
      <c r="K4619" s="11"/>
    </row>
    <row r="4620" spans="3:11">
      <c r="C4620" s="11"/>
      <c r="K4620" s="11"/>
    </row>
    <row r="4621" spans="3:11">
      <c r="C4621" s="11"/>
      <c r="K4621" s="11"/>
    </row>
    <row r="4622" spans="3:11">
      <c r="C4622" s="11"/>
      <c r="K4622" s="11"/>
    </row>
    <row r="4623" spans="3:11">
      <c r="C4623" s="11"/>
      <c r="K4623" s="11"/>
    </row>
    <row r="4624" spans="3:11">
      <c r="C4624" s="11"/>
      <c r="K4624" s="11"/>
    </row>
    <row r="4625" spans="3:11">
      <c r="C4625" s="11"/>
      <c r="K4625" s="11"/>
    </row>
    <row r="4626" spans="3:11">
      <c r="C4626" s="11"/>
      <c r="K4626" s="11"/>
    </row>
    <row r="4627" spans="3:11">
      <c r="C4627" s="11"/>
      <c r="K4627" s="11"/>
    </row>
    <row r="4628" spans="3:11">
      <c r="C4628" s="11"/>
      <c r="K4628" s="11"/>
    </row>
    <row r="4629" spans="3:11">
      <c r="C4629" s="11"/>
      <c r="K4629" s="11"/>
    </row>
    <row r="4630" spans="3:11">
      <c r="C4630" s="11"/>
      <c r="K4630" s="11"/>
    </row>
    <row r="4631" spans="3:11">
      <c r="C4631" s="11"/>
      <c r="K4631" s="11"/>
    </row>
    <row r="4632" spans="3:11">
      <c r="C4632" s="11"/>
      <c r="K4632" s="11"/>
    </row>
    <row r="4633" spans="3:11">
      <c r="C4633" s="11"/>
      <c r="K4633" s="11"/>
    </row>
    <row r="4634" spans="3:11">
      <c r="C4634" s="11"/>
      <c r="K4634" s="11"/>
    </row>
    <row r="4635" spans="3:11">
      <c r="C4635" s="11"/>
      <c r="K4635" s="11"/>
    </row>
    <row r="4636" spans="3:11">
      <c r="C4636" s="11"/>
      <c r="K4636" s="11"/>
    </row>
    <row r="4637" spans="3:11">
      <c r="C4637" s="11"/>
      <c r="K4637" s="11"/>
    </row>
    <row r="4638" spans="3:11">
      <c r="C4638" s="11"/>
      <c r="K4638" s="11"/>
    </row>
    <row r="4639" spans="3:11">
      <c r="C4639" s="11"/>
      <c r="K4639" s="11"/>
    </row>
    <row r="4640" spans="3:11">
      <c r="C4640" s="11"/>
      <c r="K4640" s="11"/>
    </row>
    <row r="4641" spans="3:11">
      <c r="C4641" s="11"/>
      <c r="K4641" s="11"/>
    </row>
    <row r="4642" spans="3:11">
      <c r="C4642" s="11"/>
      <c r="K4642" s="11"/>
    </row>
    <row r="4643" spans="3:11">
      <c r="C4643" s="11"/>
      <c r="K4643" s="11"/>
    </row>
    <row r="4644" spans="3:11">
      <c r="C4644" s="11"/>
      <c r="K4644" s="11"/>
    </row>
    <row r="4645" spans="3:11">
      <c r="C4645" s="11"/>
      <c r="K4645" s="11"/>
    </row>
    <row r="4646" spans="3:11">
      <c r="C4646" s="11"/>
      <c r="K4646" s="11"/>
    </row>
    <row r="4647" spans="3:11">
      <c r="C4647" s="11"/>
      <c r="K4647" s="11"/>
    </row>
    <row r="4648" spans="3:11">
      <c r="C4648" s="11"/>
      <c r="K4648" s="11"/>
    </row>
    <row r="4649" spans="3:11">
      <c r="C4649" s="11"/>
      <c r="K4649" s="11"/>
    </row>
    <row r="4650" spans="3:11">
      <c r="C4650" s="11"/>
      <c r="K4650" s="11"/>
    </row>
    <row r="4651" spans="3:11">
      <c r="C4651" s="11"/>
      <c r="K4651" s="11"/>
    </row>
    <row r="4652" spans="3:11">
      <c r="C4652" s="11"/>
      <c r="K4652" s="11"/>
    </row>
    <row r="4653" spans="3:11">
      <c r="C4653" s="11"/>
      <c r="K4653" s="11"/>
    </row>
    <row r="4654" spans="3:11">
      <c r="C4654" s="11"/>
      <c r="K4654" s="11"/>
    </row>
    <row r="4655" spans="3:11">
      <c r="C4655" s="11"/>
      <c r="K4655" s="11"/>
    </row>
    <row r="4656" spans="3:11">
      <c r="C4656" s="11"/>
      <c r="K4656" s="11"/>
    </row>
    <row r="4657" spans="3:11">
      <c r="C4657" s="11"/>
      <c r="K4657" s="11"/>
    </row>
    <row r="4658" spans="3:11">
      <c r="C4658" s="11"/>
      <c r="K4658" s="11"/>
    </row>
    <row r="4659" spans="3:11">
      <c r="C4659" s="11"/>
      <c r="K4659" s="11"/>
    </row>
    <row r="4660" spans="3:11">
      <c r="C4660" s="11"/>
      <c r="K4660" s="11"/>
    </row>
    <row r="4661" spans="3:11">
      <c r="C4661" s="11"/>
      <c r="K4661" s="11"/>
    </row>
    <row r="4662" spans="3:11">
      <c r="C4662" s="11"/>
      <c r="K4662" s="11"/>
    </row>
    <row r="4663" spans="3:11">
      <c r="C4663" s="11"/>
      <c r="K4663" s="11"/>
    </row>
    <row r="4664" spans="3:11">
      <c r="C4664" s="11"/>
      <c r="K4664" s="11"/>
    </row>
    <row r="4665" spans="3:11">
      <c r="C4665" s="11"/>
      <c r="K4665" s="11"/>
    </row>
    <row r="4666" spans="3:11">
      <c r="C4666" s="11"/>
      <c r="K4666" s="11"/>
    </row>
    <row r="4667" spans="3:11">
      <c r="C4667" s="11"/>
      <c r="K4667" s="11"/>
    </row>
    <row r="4668" spans="3:11">
      <c r="C4668" s="11"/>
      <c r="K4668" s="11"/>
    </row>
    <row r="4669" spans="3:11">
      <c r="C4669" s="11"/>
      <c r="K4669" s="11"/>
    </row>
    <row r="4670" spans="3:11">
      <c r="C4670" s="11"/>
      <c r="K4670" s="11"/>
    </row>
    <row r="4671" spans="3:11">
      <c r="C4671" s="11"/>
      <c r="K4671" s="11"/>
    </row>
    <row r="4672" spans="3:11">
      <c r="C4672" s="11"/>
      <c r="K4672" s="11"/>
    </row>
    <row r="4673" spans="3:11">
      <c r="C4673" s="11"/>
      <c r="K4673" s="11"/>
    </row>
    <row r="4674" spans="3:11">
      <c r="C4674" s="11"/>
      <c r="K4674" s="11"/>
    </row>
    <row r="4675" spans="3:11">
      <c r="C4675" s="11"/>
      <c r="K4675" s="11"/>
    </row>
    <row r="4676" spans="3:11">
      <c r="C4676" s="11"/>
      <c r="K4676" s="11"/>
    </row>
    <row r="4677" spans="3:11">
      <c r="C4677" s="11"/>
      <c r="K4677" s="11"/>
    </row>
    <row r="4678" spans="3:11">
      <c r="C4678" s="11"/>
      <c r="K4678" s="11"/>
    </row>
    <row r="4679" spans="3:11">
      <c r="C4679" s="11"/>
      <c r="K4679" s="11"/>
    </row>
    <row r="4680" spans="3:11">
      <c r="C4680" s="11"/>
      <c r="K4680" s="11"/>
    </row>
    <row r="4681" spans="3:11">
      <c r="C4681" s="11"/>
      <c r="K4681" s="11"/>
    </row>
    <row r="4682" spans="3:11">
      <c r="C4682" s="11"/>
      <c r="K4682" s="11"/>
    </row>
    <row r="4683" spans="3:11">
      <c r="C4683" s="11"/>
      <c r="K4683" s="11"/>
    </row>
    <row r="4684" spans="3:11">
      <c r="C4684" s="11"/>
      <c r="K4684" s="11"/>
    </row>
    <row r="4685" spans="3:11">
      <c r="C4685" s="11"/>
      <c r="K4685" s="11"/>
    </row>
    <row r="4686" spans="3:11">
      <c r="C4686" s="11"/>
      <c r="K4686" s="11"/>
    </row>
    <row r="4687" spans="3:11">
      <c r="C4687" s="11"/>
      <c r="K4687" s="11"/>
    </row>
    <row r="4688" spans="3:11">
      <c r="C4688" s="11"/>
      <c r="K4688" s="11"/>
    </row>
    <row r="4689" spans="3:11">
      <c r="C4689" s="11"/>
      <c r="K4689" s="11"/>
    </row>
    <row r="4690" spans="3:11">
      <c r="C4690" s="11"/>
      <c r="K4690" s="11"/>
    </row>
    <row r="4691" spans="3:11">
      <c r="C4691" s="11"/>
      <c r="K4691" s="11"/>
    </row>
    <row r="4692" spans="3:11">
      <c r="C4692" s="11"/>
      <c r="K4692" s="11"/>
    </row>
    <row r="4693" spans="3:11">
      <c r="C4693" s="11"/>
      <c r="K4693" s="11"/>
    </row>
    <row r="4694" spans="3:11">
      <c r="C4694" s="11"/>
      <c r="K4694" s="11"/>
    </row>
    <row r="4695" spans="3:11">
      <c r="C4695" s="11"/>
      <c r="K4695" s="11"/>
    </row>
    <row r="4696" spans="3:11">
      <c r="C4696" s="11"/>
      <c r="K4696" s="11"/>
    </row>
    <row r="4697" spans="3:11">
      <c r="C4697" s="11"/>
      <c r="K4697" s="11"/>
    </row>
    <row r="4698" spans="3:11">
      <c r="C4698" s="11"/>
      <c r="K4698" s="11"/>
    </row>
    <row r="4699" spans="3:11">
      <c r="C4699" s="11"/>
      <c r="K4699" s="11"/>
    </row>
    <row r="4700" spans="3:11">
      <c r="C4700" s="11"/>
      <c r="K4700" s="11"/>
    </row>
    <row r="4701" spans="3:11">
      <c r="C4701" s="11"/>
      <c r="K4701" s="11"/>
    </row>
    <row r="4702" spans="3:11">
      <c r="C4702" s="11"/>
      <c r="K4702" s="11"/>
    </row>
    <row r="4703" spans="3:11">
      <c r="C4703" s="11"/>
      <c r="K4703" s="11"/>
    </row>
    <row r="4704" spans="3:11">
      <c r="C4704" s="11"/>
      <c r="K4704" s="11"/>
    </row>
    <row r="4705" spans="3:11">
      <c r="C4705" s="11"/>
      <c r="K4705" s="11"/>
    </row>
    <row r="4706" spans="3:11">
      <c r="C4706" s="11"/>
      <c r="K4706" s="11"/>
    </row>
    <row r="4707" spans="3:11">
      <c r="C4707" s="11"/>
      <c r="K4707" s="11"/>
    </row>
    <row r="4708" spans="3:11">
      <c r="C4708" s="11"/>
      <c r="K4708" s="11"/>
    </row>
    <row r="4709" spans="3:11">
      <c r="C4709" s="11"/>
      <c r="K4709" s="11"/>
    </row>
    <row r="4710" spans="3:11">
      <c r="C4710" s="11"/>
      <c r="K4710" s="11"/>
    </row>
    <row r="4711" spans="3:11">
      <c r="C4711" s="11"/>
      <c r="K4711" s="11"/>
    </row>
    <row r="4712" spans="3:11">
      <c r="C4712" s="11"/>
      <c r="K4712" s="11"/>
    </row>
    <row r="4713" spans="3:11">
      <c r="C4713" s="11"/>
      <c r="K4713" s="11"/>
    </row>
    <row r="4714" spans="3:11">
      <c r="C4714" s="11"/>
      <c r="K4714" s="11"/>
    </row>
    <row r="4715" spans="3:11">
      <c r="C4715" s="11"/>
      <c r="K4715" s="11"/>
    </row>
    <row r="4716" spans="3:11">
      <c r="C4716" s="11"/>
      <c r="K4716" s="11"/>
    </row>
    <row r="4717" spans="3:11">
      <c r="C4717" s="11"/>
      <c r="K4717" s="11"/>
    </row>
    <row r="4718" spans="3:11">
      <c r="C4718" s="11"/>
      <c r="K4718" s="11"/>
    </row>
    <row r="4719" spans="3:11">
      <c r="C4719" s="11"/>
      <c r="K4719" s="11"/>
    </row>
    <row r="4720" spans="3:11">
      <c r="C4720" s="11"/>
      <c r="K4720" s="11"/>
    </row>
    <row r="4721" spans="3:11">
      <c r="C4721" s="11"/>
      <c r="K4721" s="11"/>
    </row>
    <row r="4722" spans="3:11">
      <c r="C4722" s="11"/>
      <c r="K4722" s="11"/>
    </row>
    <row r="4723" spans="3:11">
      <c r="C4723" s="11"/>
      <c r="K4723" s="11"/>
    </row>
    <row r="4724" spans="3:11">
      <c r="C4724" s="11"/>
      <c r="K4724" s="11"/>
    </row>
    <row r="4725" spans="3:11">
      <c r="C4725" s="11"/>
      <c r="K4725" s="11"/>
    </row>
    <row r="4726" spans="3:11">
      <c r="C4726" s="11"/>
      <c r="K4726" s="11"/>
    </row>
    <row r="4727" spans="3:11">
      <c r="C4727" s="11"/>
      <c r="K4727" s="11"/>
    </row>
    <row r="4728" spans="3:11">
      <c r="C4728" s="11"/>
      <c r="K4728" s="11"/>
    </row>
    <row r="4729" spans="3:11">
      <c r="C4729" s="11"/>
      <c r="K4729" s="11"/>
    </row>
    <row r="4730" spans="3:11">
      <c r="C4730" s="11"/>
      <c r="K4730" s="11"/>
    </row>
    <row r="4731" spans="3:11">
      <c r="C4731" s="11"/>
      <c r="K4731" s="11"/>
    </row>
    <row r="4732" spans="3:11">
      <c r="C4732" s="11"/>
      <c r="K4732" s="11"/>
    </row>
    <row r="4733" spans="3:11">
      <c r="C4733" s="11"/>
      <c r="K4733" s="11"/>
    </row>
    <row r="4734" spans="3:11">
      <c r="C4734" s="11"/>
      <c r="K4734" s="11"/>
    </row>
    <row r="4735" spans="3:11">
      <c r="C4735" s="11"/>
      <c r="K4735" s="11"/>
    </row>
    <row r="4736" spans="3:11">
      <c r="C4736" s="11"/>
      <c r="K4736" s="11"/>
    </row>
    <row r="4737" spans="3:11">
      <c r="C4737" s="11"/>
      <c r="K4737" s="11"/>
    </row>
    <row r="4738" spans="3:11">
      <c r="C4738" s="11"/>
      <c r="K4738" s="11"/>
    </row>
    <row r="4739" spans="3:11">
      <c r="C4739" s="11"/>
      <c r="K4739" s="11"/>
    </row>
    <row r="4740" spans="3:11">
      <c r="C4740" s="11"/>
      <c r="K4740" s="11"/>
    </row>
    <row r="4741" spans="3:11">
      <c r="C4741" s="11"/>
      <c r="K4741" s="11"/>
    </row>
    <row r="4742" spans="3:11">
      <c r="C4742" s="11"/>
      <c r="K4742" s="11"/>
    </row>
    <row r="4743" spans="3:11">
      <c r="C4743" s="11"/>
      <c r="K4743" s="11"/>
    </row>
    <row r="4744" spans="3:11">
      <c r="C4744" s="11"/>
      <c r="K4744" s="11"/>
    </row>
    <row r="4745" spans="3:11">
      <c r="C4745" s="11"/>
      <c r="K4745" s="11"/>
    </row>
    <row r="4746" spans="3:11">
      <c r="C4746" s="11"/>
      <c r="K4746" s="11"/>
    </row>
    <row r="4747" spans="3:11">
      <c r="C4747" s="11"/>
      <c r="K4747" s="11"/>
    </row>
    <row r="4748" spans="3:11">
      <c r="C4748" s="11"/>
      <c r="K4748" s="11"/>
    </row>
    <row r="4749" spans="3:11">
      <c r="C4749" s="11"/>
      <c r="K4749" s="11"/>
    </row>
    <row r="4750" spans="3:11">
      <c r="C4750" s="11"/>
      <c r="K4750" s="11"/>
    </row>
    <row r="4751" spans="3:11">
      <c r="C4751" s="11"/>
      <c r="K4751" s="11"/>
    </row>
    <row r="4752" spans="3:11">
      <c r="C4752" s="11"/>
      <c r="K4752" s="11"/>
    </row>
    <row r="4753" spans="3:11">
      <c r="C4753" s="11"/>
      <c r="K4753" s="11"/>
    </row>
    <row r="4754" spans="3:11">
      <c r="C4754" s="11"/>
      <c r="K4754" s="11"/>
    </row>
    <row r="4755" spans="3:11">
      <c r="C4755" s="11"/>
      <c r="K4755" s="11"/>
    </row>
    <row r="4756" spans="3:11">
      <c r="C4756" s="11"/>
      <c r="K4756" s="11"/>
    </row>
    <row r="4757" spans="3:11">
      <c r="C4757" s="11"/>
      <c r="K4757" s="11"/>
    </row>
    <row r="4758" spans="3:11">
      <c r="C4758" s="11"/>
      <c r="K4758" s="11"/>
    </row>
    <row r="4759" spans="3:11">
      <c r="C4759" s="11"/>
      <c r="K4759" s="11"/>
    </row>
    <row r="4760" spans="3:11">
      <c r="C4760" s="11"/>
      <c r="K4760" s="11"/>
    </row>
    <row r="4761" spans="3:11">
      <c r="C4761" s="11"/>
      <c r="K4761" s="11"/>
    </row>
    <row r="4762" spans="3:11">
      <c r="C4762" s="11"/>
      <c r="K4762" s="11"/>
    </row>
    <row r="4763" spans="3:11">
      <c r="C4763" s="11"/>
      <c r="K4763" s="11"/>
    </row>
    <row r="4764" spans="3:11">
      <c r="C4764" s="11"/>
      <c r="K4764" s="11"/>
    </row>
    <row r="4765" spans="3:11">
      <c r="C4765" s="11"/>
      <c r="K4765" s="11"/>
    </row>
    <row r="4766" spans="3:11">
      <c r="C4766" s="11"/>
      <c r="K4766" s="11"/>
    </row>
    <row r="4767" spans="3:11">
      <c r="C4767" s="11"/>
      <c r="K4767" s="11"/>
    </row>
    <row r="4768" spans="3:11">
      <c r="C4768" s="11"/>
      <c r="K4768" s="11"/>
    </row>
    <row r="4769" spans="3:11">
      <c r="C4769" s="11"/>
      <c r="K4769" s="11"/>
    </row>
    <row r="4770" spans="3:11">
      <c r="C4770" s="11"/>
      <c r="K4770" s="11"/>
    </row>
    <row r="4771" spans="3:11">
      <c r="C4771" s="11"/>
      <c r="K4771" s="11"/>
    </row>
    <row r="4772" spans="3:11">
      <c r="C4772" s="11"/>
      <c r="K4772" s="11"/>
    </row>
    <row r="4773" spans="3:11">
      <c r="C4773" s="11"/>
      <c r="K4773" s="11"/>
    </row>
    <row r="4774" spans="3:11">
      <c r="C4774" s="11"/>
      <c r="K4774" s="11"/>
    </row>
    <row r="4775" spans="3:11">
      <c r="C4775" s="11"/>
      <c r="K4775" s="11"/>
    </row>
    <row r="4776" spans="3:11">
      <c r="C4776" s="11"/>
      <c r="K4776" s="11"/>
    </row>
    <row r="4777" spans="3:11">
      <c r="C4777" s="11"/>
      <c r="K4777" s="11"/>
    </row>
    <row r="4778" spans="3:11">
      <c r="C4778" s="11"/>
      <c r="K4778" s="11"/>
    </row>
    <row r="4779" spans="3:11">
      <c r="C4779" s="11"/>
      <c r="K4779" s="11"/>
    </row>
    <row r="4780" spans="3:11">
      <c r="C4780" s="11"/>
      <c r="K4780" s="11"/>
    </row>
    <row r="4781" spans="3:11">
      <c r="C4781" s="11"/>
      <c r="K4781" s="11"/>
    </row>
    <row r="4782" spans="3:11">
      <c r="C4782" s="11"/>
      <c r="K4782" s="11"/>
    </row>
    <row r="4783" spans="3:11">
      <c r="C4783" s="11"/>
      <c r="K4783" s="11"/>
    </row>
    <row r="4784" spans="3:11">
      <c r="C4784" s="11"/>
      <c r="K4784" s="11"/>
    </row>
    <row r="4785" spans="3:11">
      <c r="C4785" s="11"/>
      <c r="K4785" s="11"/>
    </row>
    <row r="4786" spans="3:11">
      <c r="C4786" s="11"/>
      <c r="K4786" s="11"/>
    </row>
    <row r="4787" spans="3:11">
      <c r="C4787" s="11"/>
      <c r="K4787" s="11"/>
    </row>
    <row r="4788" spans="3:11">
      <c r="C4788" s="11"/>
      <c r="K4788" s="11"/>
    </row>
    <row r="4789" spans="3:11">
      <c r="C4789" s="11"/>
      <c r="K4789" s="11"/>
    </row>
    <row r="4790" spans="3:11">
      <c r="C4790" s="11"/>
      <c r="K4790" s="11"/>
    </row>
    <row r="4791" spans="3:11">
      <c r="C4791" s="11"/>
      <c r="K4791" s="11"/>
    </row>
    <row r="4792" spans="3:11">
      <c r="C4792" s="11"/>
      <c r="K4792" s="11"/>
    </row>
    <row r="4793" spans="3:11">
      <c r="C4793" s="11"/>
      <c r="K4793" s="11"/>
    </row>
    <row r="4794" spans="3:11">
      <c r="C4794" s="11"/>
      <c r="K4794" s="11"/>
    </row>
    <row r="4795" spans="3:11">
      <c r="C4795" s="11"/>
      <c r="K4795" s="11"/>
    </row>
    <row r="4796" spans="3:11">
      <c r="C4796" s="11"/>
      <c r="K4796" s="11"/>
    </row>
    <row r="4797" spans="3:11">
      <c r="C4797" s="11"/>
      <c r="K4797" s="11"/>
    </row>
    <row r="4798" spans="3:11">
      <c r="C4798" s="11"/>
      <c r="K4798" s="11"/>
    </row>
    <row r="4799" spans="3:11">
      <c r="C4799" s="11"/>
      <c r="K4799" s="11"/>
    </row>
    <row r="4800" spans="3:11">
      <c r="C4800" s="11"/>
      <c r="K4800" s="11"/>
    </row>
    <row r="4801" spans="3:11">
      <c r="C4801" s="11"/>
      <c r="K4801" s="11"/>
    </row>
    <row r="4802" spans="3:11">
      <c r="C4802" s="11"/>
      <c r="K4802" s="11"/>
    </row>
    <row r="4803" spans="3:11">
      <c r="C4803" s="11"/>
      <c r="K4803" s="11"/>
    </row>
    <row r="4804" spans="3:11">
      <c r="C4804" s="11"/>
      <c r="K4804" s="11"/>
    </row>
    <row r="4805" spans="3:11">
      <c r="C4805" s="11"/>
      <c r="K4805" s="11"/>
    </row>
    <row r="4806" spans="3:11">
      <c r="C4806" s="11"/>
      <c r="K4806" s="11"/>
    </row>
    <row r="4807" spans="3:11">
      <c r="C4807" s="11"/>
      <c r="K4807" s="11"/>
    </row>
    <row r="4808" spans="3:11">
      <c r="C4808" s="11"/>
      <c r="K4808" s="11"/>
    </row>
    <row r="4809" spans="3:11">
      <c r="C4809" s="11"/>
      <c r="K4809" s="11"/>
    </row>
    <row r="4810" spans="3:11">
      <c r="C4810" s="11"/>
      <c r="K4810" s="11"/>
    </row>
    <row r="4811" spans="3:11">
      <c r="C4811" s="11"/>
      <c r="K4811" s="11"/>
    </row>
    <row r="4812" spans="3:11">
      <c r="C4812" s="11"/>
      <c r="K4812" s="11"/>
    </row>
    <row r="4813" spans="3:11">
      <c r="C4813" s="11"/>
      <c r="K4813" s="11"/>
    </row>
    <row r="4814" spans="3:11">
      <c r="C4814" s="11"/>
      <c r="K4814" s="11"/>
    </row>
    <row r="4815" spans="3:11">
      <c r="C4815" s="11"/>
      <c r="K4815" s="11"/>
    </row>
    <row r="4816" spans="3:11">
      <c r="C4816" s="11"/>
      <c r="K4816" s="11"/>
    </row>
    <row r="4817" spans="3:11">
      <c r="C4817" s="11"/>
      <c r="K4817" s="11"/>
    </row>
    <row r="4818" spans="3:11">
      <c r="C4818" s="11"/>
      <c r="K4818" s="11"/>
    </row>
    <row r="4819" spans="3:11">
      <c r="C4819" s="11"/>
      <c r="K4819" s="11"/>
    </row>
    <row r="4820" spans="3:11">
      <c r="C4820" s="11"/>
      <c r="K4820" s="11"/>
    </row>
    <row r="4821" spans="3:11">
      <c r="C4821" s="11"/>
      <c r="K4821" s="11"/>
    </row>
    <row r="4822" spans="3:11">
      <c r="C4822" s="11"/>
      <c r="K4822" s="11"/>
    </row>
    <row r="4823" spans="3:11">
      <c r="C4823" s="11"/>
      <c r="K4823" s="11"/>
    </row>
    <row r="4824" spans="3:11">
      <c r="C4824" s="11"/>
      <c r="K4824" s="11"/>
    </row>
    <row r="4825" spans="3:11">
      <c r="C4825" s="11"/>
      <c r="K4825" s="11"/>
    </row>
    <row r="4826" spans="3:11">
      <c r="C4826" s="11"/>
      <c r="K4826" s="11"/>
    </row>
    <row r="4827" spans="3:11">
      <c r="C4827" s="11"/>
      <c r="K4827" s="11"/>
    </row>
    <row r="4828" spans="3:11">
      <c r="C4828" s="11"/>
      <c r="K4828" s="11"/>
    </row>
    <row r="4829" spans="3:11">
      <c r="C4829" s="11"/>
      <c r="K4829" s="11"/>
    </row>
    <row r="4830" spans="3:11">
      <c r="C4830" s="11"/>
      <c r="K4830" s="11"/>
    </row>
    <row r="4831" spans="3:11">
      <c r="C4831" s="11"/>
      <c r="K4831" s="11"/>
    </row>
    <row r="4832" spans="3:11">
      <c r="C4832" s="11"/>
      <c r="K4832" s="11"/>
    </row>
    <row r="4833" spans="3:11">
      <c r="C4833" s="11"/>
      <c r="K4833" s="11"/>
    </row>
    <row r="4834" spans="3:11">
      <c r="C4834" s="11"/>
      <c r="K4834" s="11"/>
    </row>
    <row r="4835" spans="3:11">
      <c r="C4835" s="11"/>
      <c r="K4835" s="11"/>
    </row>
    <row r="4836" spans="3:11">
      <c r="C4836" s="11"/>
      <c r="K4836" s="11"/>
    </row>
    <row r="4837" spans="3:11">
      <c r="C4837" s="11"/>
      <c r="K4837" s="11"/>
    </row>
    <row r="4838" spans="3:11">
      <c r="C4838" s="11"/>
      <c r="K4838" s="11"/>
    </row>
    <row r="4839" spans="3:11">
      <c r="C4839" s="11"/>
      <c r="K4839" s="11"/>
    </row>
    <row r="4840" spans="3:11">
      <c r="C4840" s="11"/>
      <c r="K4840" s="11"/>
    </row>
    <row r="4841" spans="3:11">
      <c r="C4841" s="11"/>
      <c r="K4841" s="11"/>
    </row>
    <row r="4842" spans="3:11">
      <c r="C4842" s="11"/>
      <c r="K4842" s="11"/>
    </row>
    <row r="4843" spans="3:11">
      <c r="C4843" s="11"/>
      <c r="K4843" s="11"/>
    </row>
    <row r="4844" spans="3:11">
      <c r="C4844" s="11"/>
      <c r="K4844" s="11"/>
    </row>
    <row r="4845" spans="3:11">
      <c r="C4845" s="11"/>
      <c r="K4845" s="11"/>
    </row>
    <row r="4846" spans="3:11">
      <c r="C4846" s="11"/>
      <c r="K4846" s="11"/>
    </row>
    <row r="4847" spans="3:11">
      <c r="C4847" s="11"/>
      <c r="K4847" s="11"/>
    </row>
    <row r="4848" spans="3:11">
      <c r="C4848" s="11"/>
      <c r="K4848" s="11"/>
    </row>
    <row r="4849" spans="3:11">
      <c r="C4849" s="11"/>
      <c r="K4849" s="11"/>
    </row>
    <row r="4850" spans="3:11">
      <c r="C4850" s="11"/>
      <c r="K4850" s="11"/>
    </row>
    <row r="4851" spans="3:11">
      <c r="C4851" s="11"/>
      <c r="K4851" s="11"/>
    </row>
    <row r="4852" spans="3:11">
      <c r="C4852" s="11"/>
      <c r="K4852" s="11"/>
    </row>
    <row r="4853" spans="3:11">
      <c r="C4853" s="11"/>
      <c r="K4853" s="11"/>
    </row>
    <row r="4854" spans="3:11">
      <c r="C4854" s="11"/>
      <c r="K4854" s="11"/>
    </row>
    <row r="4855" spans="3:11">
      <c r="C4855" s="11"/>
      <c r="K4855" s="11"/>
    </row>
    <row r="4856" spans="3:11">
      <c r="C4856" s="11"/>
      <c r="K4856" s="11"/>
    </row>
    <row r="4857" spans="3:11">
      <c r="C4857" s="11"/>
      <c r="K4857" s="11"/>
    </row>
    <row r="4858" spans="3:11">
      <c r="C4858" s="11"/>
      <c r="K4858" s="11"/>
    </row>
    <row r="4859" spans="3:11">
      <c r="C4859" s="11"/>
      <c r="K4859" s="11"/>
    </row>
    <row r="4860" spans="3:11">
      <c r="C4860" s="11"/>
      <c r="K4860" s="11"/>
    </row>
    <row r="4861" spans="3:11">
      <c r="C4861" s="11"/>
      <c r="K4861" s="11"/>
    </row>
    <row r="4862" spans="3:11">
      <c r="C4862" s="11"/>
      <c r="K4862" s="11"/>
    </row>
    <row r="4863" spans="3:11">
      <c r="C4863" s="11"/>
      <c r="K4863" s="11"/>
    </row>
    <row r="4864" spans="3:11">
      <c r="C4864" s="11"/>
      <c r="K4864" s="11"/>
    </row>
    <row r="4865" spans="3:11">
      <c r="C4865" s="11"/>
      <c r="K4865" s="11"/>
    </row>
    <row r="4866" spans="3:11">
      <c r="C4866" s="11"/>
      <c r="K4866" s="11"/>
    </row>
    <row r="4867" spans="3:11">
      <c r="C4867" s="11"/>
      <c r="K4867" s="11"/>
    </row>
    <row r="4868" spans="3:11">
      <c r="C4868" s="11"/>
      <c r="K4868" s="11"/>
    </row>
    <row r="4869" spans="3:11">
      <c r="C4869" s="11"/>
      <c r="K4869" s="11"/>
    </row>
    <row r="4870" spans="3:11">
      <c r="C4870" s="11"/>
      <c r="K4870" s="11"/>
    </row>
    <row r="4871" spans="3:11">
      <c r="C4871" s="11"/>
      <c r="K4871" s="11"/>
    </row>
    <row r="4872" spans="3:11">
      <c r="C4872" s="11"/>
      <c r="K4872" s="11"/>
    </row>
    <row r="4873" spans="3:11">
      <c r="C4873" s="11"/>
      <c r="K4873" s="11"/>
    </row>
    <row r="4874" spans="3:11">
      <c r="C4874" s="11"/>
      <c r="K4874" s="11"/>
    </row>
    <row r="4875" spans="3:11">
      <c r="C4875" s="11"/>
      <c r="K4875" s="11"/>
    </row>
    <row r="4876" spans="3:11">
      <c r="C4876" s="11"/>
      <c r="K4876" s="11"/>
    </row>
    <row r="4877" spans="3:11">
      <c r="C4877" s="11"/>
      <c r="K4877" s="11"/>
    </row>
    <row r="4878" spans="3:11">
      <c r="C4878" s="11"/>
      <c r="K4878" s="11"/>
    </row>
    <row r="4879" spans="3:11">
      <c r="C4879" s="11"/>
      <c r="K4879" s="11"/>
    </row>
    <row r="4880" spans="3:11">
      <c r="C4880" s="11"/>
      <c r="K4880" s="11"/>
    </row>
    <row r="4881" spans="3:11">
      <c r="C4881" s="11"/>
      <c r="K4881" s="11"/>
    </row>
    <row r="4882" spans="3:11">
      <c r="C4882" s="11"/>
      <c r="K4882" s="11"/>
    </row>
    <row r="4883" spans="3:11">
      <c r="C4883" s="11"/>
      <c r="K4883" s="11"/>
    </row>
    <row r="4884" spans="3:11">
      <c r="C4884" s="11"/>
      <c r="K4884" s="11"/>
    </row>
    <row r="4885" spans="3:11">
      <c r="C4885" s="11"/>
      <c r="K4885" s="11"/>
    </row>
    <row r="4886" spans="3:11">
      <c r="C4886" s="11"/>
      <c r="K4886" s="11"/>
    </row>
    <row r="4887" spans="3:11">
      <c r="C4887" s="11"/>
      <c r="K4887" s="11"/>
    </row>
    <row r="4888" spans="3:11">
      <c r="C4888" s="11"/>
      <c r="K4888" s="11"/>
    </row>
    <row r="4889" spans="3:11">
      <c r="C4889" s="11"/>
      <c r="K4889" s="11"/>
    </row>
    <row r="4890" spans="3:11">
      <c r="C4890" s="11"/>
      <c r="K4890" s="11"/>
    </row>
    <row r="4891" spans="3:11">
      <c r="C4891" s="11"/>
      <c r="K4891" s="11"/>
    </row>
    <row r="4892" spans="3:11">
      <c r="C4892" s="11"/>
      <c r="K4892" s="11"/>
    </row>
    <row r="4893" spans="3:11">
      <c r="C4893" s="11"/>
      <c r="K4893" s="11"/>
    </row>
    <row r="4894" spans="3:11">
      <c r="C4894" s="11"/>
      <c r="K4894" s="11"/>
    </row>
    <row r="4895" spans="3:11">
      <c r="C4895" s="11"/>
      <c r="K4895" s="11"/>
    </row>
    <row r="4896" spans="3:11">
      <c r="C4896" s="11"/>
      <c r="K4896" s="11"/>
    </row>
    <row r="4897" spans="3:11">
      <c r="C4897" s="11"/>
      <c r="K4897" s="11"/>
    </row>
    <row r="4898" spans="3:11">
      <c r="C4898" s="11"/>
      <c r="K4898" s="11"/>
    </row>
    <row r="4899" spans="3:11">
      <c r="C4899" s="11"/>
      <c r="K4899" s="11"/>
    </row>
    <row r="4900" spans="3:11">
      <c r="C4900" s="11"/>
      <c r="K4900" s="11"/>
    </row>
    <row r="4901" spans="3:11">
      <c r="C4901" s="11"/>
      <c r="K4901" s="11"/>
    </row>
    <row r="4902" spans="3:11">
      <c r="C4902" s="11"/>
      <c r="K4902" s="11"/>
    </row>
    <row r="4903" spans="3:11">
      <c r="C4903" s="11"/>
      <c r="K4903" s="11"/>
    </row>
    <row r="4904" spans="3:11">
      <c r="C4904" s="11"/>
      <c r="K4904" s="11"/>
    </row>
    <row r="4905" spans="3:11">
      <c r="C4905" s="11"/>
      <c r="K4905" s="11"/>
    </row>
    <row r="4906" spans="3:11">
      <c r="C4906" s="11"/>
      <c r="K4906" s="11"/>
    </row>
    <row r="4907" spans="3:11">
      <c r="C4907" s="11"/>
      <c r="K4907" s="11"/>
    </row>
    <row r="4908" spans="3:11">
      <c r="C4908" s="11"/>
      <c r="K4908" s="11"/>
    </row>
    <row r="4909" spans="3:11">
      <c r="C4909" s="11"/>
      <c r="K4909" s="11"/>
    </row>
    <row r="4910" spans="3:11">
      <c r="C4910" s="11"/>
      <c r="K4910" s="11"/>
    </row>
    <row r="4911" spans="3:11">
      <c r="C4911" s="11"/>
      <c r="K4911" s="11"/>
    </row>
    <row r="4912" spans="3:11">
      <c r="C4912" s="11"/>
      <c r="K4912" s="11"/>
    </row>
    <row r="4913" spans="3:11">
      <c r="C4913" s="11"/>
      <c r="K4913" s="11"/>
    </row>
    <row r="4914" spans="3:11">
      <c r="C4914" s="11"/>
      <c r="K4914" s="11"/>
    </row>
    <row r="4915" spans="3:11">
      <c r="C4915" s="11"/>
      <c r="K4915" s="11"/>
    </row>
    <row r="4916" spans="3:11">
      <c r="C4916" s="11"/>
      <c r="K4916" s="11"/>
    </row>
    <row r="4917" spans="3:11">
      <c r="C4917" s="11"/>
      <c r="K4917" s="11"/>
    </row>
    <row r="4918" spans="3:11">
      <c r="C4918" s="11"/>
      <c r="K4918" s="11"/>
    </row>
    <row r="4919" spans="3:11">
      <c r="C4919" s="11"/>
      <c r="K4919" s="11"/>
    </row>
    <row r="4920" spans="3:11">
      <c r="C4920" s="11"/>
      <c r="K4920" s="11"/>
    </row>
    <row r="4921" spans="3:11">
      <c r="C4921" s="11"/>
      <c r="K4921" s="11"/>
    </row>
    <row r="4922" spans="3:11">
      <c r="C4922" s="11"/>
      <c r="K4922" s="11"/>
    </row>
    <row r="4923" spans="3:11">
      <c r="C4923" s="11"/>
      <c r="K4923" s="11"/>
    </row>
    <row r="4924" spans="3:11">
      <c r="C4924" s="11"/>
      <c r="K4924" s="11"/>
    </row>
    <row r="4925" spans="3:11">
      <c r="C4925" s="11"/>
      <c r="K4925" s="11"/>
    </row>
    <row r="4926" spans="3:11">
      <c r="C4926" s="11"/>
      <c r="K4926" s="11"/>
    </row>
    <row r="4927" spans="3:11">
      <c r="C4927" s="11"/>
      <c r="K4927" s="11"/>
    </row>
    <row r="4928" spans="3:11">
      <c r="C4928" s="11"/>
      <c r="K4928" s="11"/>
    </row>
    <row r="4929" spans="3:11">
      <c r="C4929" s="11"/>
      <c r="K4929" s="11"/>
    </row>
    <row r="4930" spans="3:11">
      <c r="C4930" s="11"/>
      <c r="K4930" s="11"/>
    </row>
    <row r="4931" spans="3:11">
      <c r="C4931" s="11"/>
      <c r="K4931" s="11"/>
    </row>
    <row r="4932" spans="3:11">
      <c r="C4932" s="11"/>
      <c r="K4932" s="11"/>
    </row>
    <row r="4933" spans="3:11">
      <c r="C4933" s="11"/>
      <c r="K4933" s="11"/>
    </row>
    <row r="4934" spans="3:11">
      <c r="C4934" s="11"/>
      <c r="K4934" s="11"/>
    </row>
    <row r="4935" spans="3:11">
      <c r="C4935" s="11"/>
      <c r="K4935" s="11"/>
    </row>
    <row r="4936" spans="3:11">
      <c r="C4936" s="11"/>
      <c r="K4936" s="11"/>
    </row>
    <row r="4937" spans="3:11">
      <c r="C4937" s="11"/>
      <c r="K4937" s="11"/>
    </row>
    <row r="4938" spans="3:11">
      <c r="C4938" s="11"/>
      <c r="K4938" s="11"/>
    </row>
    <row r="4939" spans="3:11">
      <c r="C4939" s="11"/>
      <c r="K4939" s="11"/>
    </row>
    <row r="4940" spans="3:11">
      <c r="C4940" s="11"/>
      <c r="K4940" s="11"/>
    </row>
    <row r="4941" spans="3:11">
      <c r="C4941" s="11"/>
      <c r="K4941" s="11"/>
    </row>
    <row r="4942" spans="3:11">
      <c r="C4942" s="11"/>
      <c r="K4942" s="11"/>
    </row>
    <row r="4943" spans="3:11">
      <c r="C4943" s="11"/>
      <c r="K4943" s="11"/>
    </row>
    <row r="4944" spans="3:11">
      <c r="C4944" s="11"/>
      <c r="K4944" s="11"/>
    </row>
    <row r="4945" spans="3:11">
      <c r="C4945" s="11"/>
      <c r="K4945" s="11"/>
    </row>
    <row r="4946" spans="3:11">
      <c r="C4946" s="11"/>
      <c r="K4946" s="11"/>
    </row>
    <row r="4947" spans="3:11">
      <c r="C4947" s="11"/>
      <c r="K4947" s="11"/>
    </row>
    <row r="4948" spans="3:11">
      <c r="C4948" s="11"/>
      <c r="K4948" s="11"/>
    </row>
    <row r="4949" spans="3:11">
      <c r="C4949" s="11"/>
      <c r="K4949" s="11"/>
    </row>
    <row r="4950" spans="3:11">
      <c r="C4950" s="11"/>
      <c r="K4950" s="11"/>
    </row>
    <row r="4951" spans="3:11">
      <c r="C4951" s="11"/>
      <c r="K4951" s="11"/>
    </row>
    <row r="4952" spans="3:11">
      <c r="C4952" s="11"/>
      <c r="K4952" s="11"/>
    </row>
    <row r="4953" spans="3:11">
      <c r="C4953" s="11"/>
      <c r="K4953" s="11"/>
    </row>
    <row r="4954" spans="3:11">
      <c r="C4954" s="11"/>
      <c r="K4954" s="11"/>
    </row>
    <row r="4955" spans="3:11">
      <c r="C4955" s="11"/>
      <c r="K4955" s="11"/>
    </row>
    <row r="4956" spans="3:11">
      <c r="C4956" s="11"/>
      <c r="K4956" s="11"/>
    </row>
    <row r="4957" spans="3:11">
      <c r="C4957" s="11"/>
      <c r="K4957" s="11"/>
    </row>
    <row r="4958" spans="3:11">
      <c r="C4958" s="11"/>
      <c r="K4958" s="11"/>
    </row>
    <row r="4959" spans="3:11">
      <c r="C4959" s="11"/>
      <c r="K4959" s="11"/>
    </row>
    <row r="4960" spans="3:11">
      <c r="C4960" s="11"/>
      <c r="K4960" s="11"/>
    </row>
    <row r="4961" spans="3:11">
      <c r="C4961" s="11"/>
      <c r="K4961" s="11"/>
    </row>
    <row r="4962" spans="3:11">
      <c r="C4962" s="11"/>
      <c r="K4962" s="11"/>
    </row>
    <row r="4963" spans="3:11">
      <c r="C4963" s="11"/>
      <c r="K4963" s="11"/>
    </row>
    <row r="4964" spans="3:11">
      <c r="C4964" s="11"/>
      <c r="K4964" s="11"/>
    </row>
    <row r="4965" spans="3:11">
      <c r="C4965" s="11"/>
      <c r="K4965" s="11"/>
    </row>
    <row r="4966" spans="3:11">
      <c r="C4966" s="11"/>
      <c r="K4966" s="11"/>
    </row>
    <row r="4967" spans="3:11">
      <c r="C4967" s="11"/>
      <c r="K4967" s="11"/>
    </row>
    <row r="4968" spans="3:11">
      <c r="C4968" s="11"/>
      <c r="K4968" s="11"/>
    </row>
    <row r="4969" spans="3:11">
      <c r="C4969" s="11"/>
      <c r="K4969" s="11"/>
    </row>
    <row r="4970" spans="3:11">
      <c r="C4970" s="11"/>
      <c r="K4970" s="11"/>
    </row>
    <row r="4971" spans="3:11">
      <c r="C4971" s="11"/>
      <c r="K4971" s="11"/>
    </row>
    <row r="4972" spans="3:11">
      <c r="C4972" s="11"/>
      <c r="K4972" s="11"/>
    </row>
    <row r="4973" spans="3:11">
      <c r="C4973" s="11"/>
      <c r="K4973" s="11"/>
    </row>
    <row r="4974" spans="3:11">
      <c r="C4974" s="11"/>
      <c r="K4974" s="11"/>
    </row>
    <row r="4975" spans="3:11">
      <c r="C4975" s="11"/>
      <c r="K4975" s="11"/>
    </row>
    <row r="4976" spans="3:11">
      <c r="C4976" s="11"/>
      <c r="K4976" s="11"/>
    </row>
    <row r="4977" spans="3:11">
      <c r="C4977" s="11"/>
      <c r="K4977" s="11"/>
    </row>
    <row r="4978" spans="3:11">
      <c r="C4978" s="11"/>
      <c r="K4978" s="11"/>
    </row>
    <row r="4979" spans="3:11">
      <c r="C4979" s="11"/>
      <c r="K4979" s="11"/>
    </row>
    <row r="4980" spans="3:11">
      <c r="C4980" s="11"/>
      <c r="K4980" s="11"/>
    </row>
    <row r="4981" spans="3:11">
      <c r="C4981" s="11"/>
      <c r="K4981" s="11"/>
    </row>
    <row r="4982" spans="3:11">
      <c r="C4982" s="11"/>
      <c r="K4982" s="11"/>
    </row>
    <row r="4983" spans="3:11">
      <c r="C4983" s="11"/>
      <c r="K4983" s="11"/>
    </row>
    <row r="4984" spans="3:11">
      <c r="C4984" s="11"/>
      <c r="K4984" s="11"/>
    </row>
    <row r="4985" spans="3:11">
      <c r="C4985" s="11"/>
      <c r="K4985" s="11"/>
    </row>
    <row r="4986" spans="3:11">
      <c r="C4986" s="11"/>
      <c r="K4986" s="11"/>
    </row>
    <row r="4987" spans="3:11">
      <c r="C4987" s="11"/>
      <c r="K4987" s="11"/>
    </row>
    <row r="4988" spans="3:11">
      <c r="C4988" s="11"/>
      <c r="K4988" s="11"/>
    </row>
    <row r="4989" spans="3:11">
      <c r="C4989" s="11"/>
      <c r="K4989" s="11"/>
    </row>
    <row r="4990" spans="3:11">
      <c r="C4990" s="11"/>
      <c r="K4990" s="11"/>
    </row>
    <row r="4991" spans="3:11">
      <c r="C4991" s="11"/>
      <c r="K4991" s="11"/>
    </row>
    <row r="4992" spans="3:11">
      <c r="C4992" s="11"/>
      <c r="K4992" s="11"/>
    </row>
    <row r="4993" spans="3:11">
      <c r="C4993" s="11"/>
      <c r="K4993" s="11"/>
    </row>
    <row r="4994" spans="3:11">
      <c r="C4994" s="11"/>
      <c r="K4994" s="11"/>
    </row>
    <row r="4995" spans="3:11">
      <c r="C4995" s="11"/>
      <c r="K4995" s="11"/>
    </row>
    <row r="4996" spans="3:11">
      <c r="C4996" s="11"/>
      <c r="K4996" s="11"/>
    </row>
    <row r="4997" spans="3:11">
      <c r="C4997" s="11"/>
      <c r="K4997" s="11"/>
    </row>
    <row r="4998" spans="3:11">
      <c r="C4998" s="11"/>
      <c r="K4998" s="11"/>
    </row>
    <row r="4999" spans="3:11">
      <c r="C4999" s="11"/>
      <c r="K4999" s="11"/>
    </row>
    <row r="5000" spans="3:11">
      <c r="C5000" s="11"/>
      <c r="K5000" s="11"/>
    </row>
    <row r="5001" spans="3:11">
      <c r="C5001" s="11"/>
      <c r="K5001" s="11"/>
    </row>
    <row r="5002" spans="3:11">
      <c r="C5002" s="11"/>
      <c r="K5002" s="11"/>
    </row>
    <row r="5003" spans="3:11">
      <c r="C5003" s="11"/>
      <c r="K5003" s="11"/>
    </row>
    <row r="5004" spans="3:11">
      <c r="C5004" s="11"/>
      <c r="K5004" s="11"/>
    </row>
    <row r="5005" spans="3:11">
      <c r="C5005" s="11"/>
      <c r="K5005" s="11"/>
    </row>
    <row r="5006" spans="3:11">
      <c r="C5006" s="11"/>
      <c r="K5006" s="11"/>
    </row>
    <row r="5007" spans="3:11">
      <c r="C5007" s="11"/>
      <c r="K5007" s="11"/>
    </row>
    <row r="5008" spans="3:11">
      <c r="C5008" s="11"/>
      <c r="K5008" s="11"/>
    </row>
    <row r="5009" spans="3:11">
      <c r="C5009" s="11"/>
      <c r="K5009" s="11"/>
    </row>
    <row r="5010" spans="3:11">
      <c r="C5010" s="11"/>
      <c r="K5010" s="11"/>
    </row>
    <row r="5011" spans="3:11">
      <c r="C5011" s="11"/>
      <c r="K5011" s="11"/>
    </row>
    <row r="5012" spans="3:11">
      <c r="C5012" s="11"/>
      <c r="K5012" s="11"/>
    </row>
    <row r="5013" spans="3:11">
      <c r="C5013" s="11"/>
      <c r="K5013" s="11"/>
    </row>
    <row r="5014" spans="3:11">
      <c r="C5014" s="11"/>
      <c r="K5014" s="11"/>
    </row>
    <row r="5015" spans="3:11">
      <c r="C5015" s="11"/>
      <c r="K5015" s="11"/>
    </row>
    <row r="5016" spans="3:11">
      <c r="C5016" s="11"/>
      <c r="K5016" s="11"/>
    </row>
    <row r="5017" spans="3:11">
      <c r="C5017" s="11"/>
      <c r="K5017" s="11"/>
    </row>
    <row r="5018" spans="3:11">
      <c r="C5018" s="11"/>
      <c r="K5018" s="11"/>
    </row>
    <row r="5019" spans="3:11">
      <c r="C5019" s="11"/>
      <c r="K5019" s="11"/>
    </row>
    <row r="5020" spans="3:11">
      <c r="C5020" s="11"/>
      <c r="K5020" s="11"/>
    </row>
    <row r="5021" spans="3:11">
      <c r="C5021" s="11"/>
      <c r="K5021" s="11"/>
    </row>
    <row r="5022" spans="3:11">
      <c r="C5022" s="11"/>
      <c r="K5022" s="11"/>
    </row>
    <row r="5023" spans="3:11">
      <c r="C5023" s="11"/>
      <c r="K5023" s="11"/>
    </row>
    <row r="5024" spans="3:11">
      <c r="C5024" s="11"/>
      <c r="K5024" s="11"/>
    </row>
    <row r="5025" spans="3:11">
      <c r="C5025" s="11"/>
      <c r="K5025" s="11"/>
    </row>
    <row r="5026" spans="3:11">
      <c r="C5026" s="11"/>
      <c r="K5026" s="11"/>
    </row>
    <row r="5027" spans="3:11">
      <c r="C5027" s="11"/>
      <c r="K5027" s="11"/>
    </row>
    <row r="5028" spans="3:11">
      <c r="C5028" s="11"/>
      <c r="K5028" s="11"/>
    </row>
    <row r="5029" spans="3:11">
      <c r="C5029" s="11"/>
      <c r="K5029" s="11"/>
    </row>
    <row r="5030" spans="3:11">
      <c r="C5030" s="11"/>
      <c r="K5030" s="11"/>
    </row>
    <row r="5031" spans="3:11">
      <c r="C5031" s="11"/>
      <c r="K5031" s="11"/>
    </row>
    <row r="5032" spans="3:11">
      <c r="C5032" s="11"/>
      <c r="K5032" s="11"/>
    </row>
    <row r="5033" spans="3:11">
      <c r="C5033" s="11"/>
      <c r="K5033" s="11"/>
    </row>
    <row r="5034" spans="3:11">
      <c r="C5034" s="11"/>
      <c r="K5034" s="11"/>
    </row>
    <row r="5035" spans="3:11">
      <c r="C5035" s="11"/>
      <c r="K5035" s="11"/>
    </row>
    <row r="5036" spans="3:11">
      <c r="C5036" s="11"/>
      <c r="K5036" s="11"/>
    </row>
    <row r="5037" spans="3:11">
      <c r="C5037" s="11"/>
      <c r="K5037" s="11"/>
    </row>
    <row r="5038" spans="3:11">
      <c r="C5038" s="11"/>
      <c r="K5038" s="11"/>
    </row>
    <row r="5039" spans="3:11">
      <c r="C5039" s="11"/>
      <c r="K5039" s="11"/>
    </row>
    <row r="5040" spans="3:11">
      <c r="C5040" s="11"/>
      <c r="K5040" s="11"/>
    </row>
    <row r="5041" spans="3:11">
      <c r="C5041" s="11"/>
      <c r="K5041" s="11"/>
    </row>
    <row r="5042" spans="3:11">
      <c r="C5042" s="11"/>
      <c r="K5042" s="11"/>
    </row>
    <row r="5043" spans="3:11">
      <c r="C5043" s="11"/>
      <c r="K5043" s="11"/>
    </row>
    <row r="5044" spans="3:11">
      <c r="C5044" s="11"/>
      <c r="K5044" s="11"/>
    </row>
    <row r="5045" spans="3:11">
      <c r="C5045" s="11"/>
      <c r="K5045" s="11"/>
    </row>
    <row r="5046" spans="3:11">
      <c r="C5046" s="11"/>
      <c r="K5046" s="11"/>
    </row>
    <row r="5047" spans="3:11">
      <c r="C5047" s="11"/>
      <c r="K5047" s="11"/>
    </row>
    <row r="5048" spans="3:11">
      <c r="C5048" s="11"/>
      <c r="K5048" s="11"/>
    </row>
    <row r="5049" spans="3:11">
      <c r="C5049" s="11"/>
      <c r="K5049" s="11"/>
    </row>
    <row r="5050" spans="3:11">
      <c r="C5050" s="11"/>
      <c r="K5050" s="11"/>
    </row>
    <row r="5051" spans="3:11">
      <c r="C5051" s="11"/>
      <c r="K5051" s="11"/>
    </row>
    <row r="5052" spans="3:11">
      <c r="C5052" s="11"/>
      <c r="K5052" s="11"/>
    </row>
    <row r="5053" spans="3:11">
      <c r="C5053" s="11"/>
      <c r="K5053" s="11"/>
    </row>
    <row r="5054" spans="3:11">
      <c r="C5054" s="11"/>
      <c r="K5054" s="11"/>
    </row>
    <row r="5055" spans="3:11">
      <c r="C5055" s="11"/>
      <c r="K5055" s="11"/>
    </row>
    <row r="5056" spans="3:11">
      <c r="C5056" s="11"/>
      <c r="K5056" s="11"/>
    </row>
    <row r="5057" spans="3:11">
      <c r="C5057" s="11"/>
      <c r="K5057" s="11"/>
    </row>
    <row r="5058" spans="3:11">
      <c r="C5058" s="11"/>
      <c r="K5058" s="11"/>
    </row>
    <row r="5059" spans="3:11">
      <c r="C5059" s="11"/>
      <c r="K5059" s="11"/>
    </row>
    <row r="5060" spans="3:11">
      <c r="C5060" s="11"/>
      <c r="K5060" s="11"/>
    </row>
    <row r="5061" spans="3:11">
      <c r="C5061" s="11"/>
      <c r="K5061" s="11"/>
    </row>
    <row r="5062" spans="3:11">
      <c r="C5062" s="11"/>
      <c r="K5062" s="11"/>
    </row>
    <row r="5063" spans="3:11">
      <c r="C5063" s="11"/>
      <c r="K5063" s="11"/>
    </row>
    <row r="5064" spans="3:11">
      <c r="C5064" s="11"/>
      <c r="K5064" s="11"/>
    </row>
    <row r="5065" spans="3:11">
      <c r="C5065" s="11"/>
      <c r="K5065" s="11"/>
    </row>
    <row r="5066" spans="3:11">
      <c r="C5066" s="11"/>
      <c r="K5066" s="11"/>
    </row>
    <row r="5067" spans="3:11">
      <c r="C5067" s="11"/>
      <c r="K5067" s="11"/>
    </row>
    <row r="5068" spans="3:11">
      <c r="C5068" s="11"/>
      <c r="K5068" s="11"/>
    </row>
    <row r="5069" spans="3:11">
      <c r="C5069" s="11"/>
      <c r="K5069" s="11"/>
    </row>
    <row r="5070" spans="3:11">
      <c r="C5070" s="11"/>
      <c r="K5070" s="11"/>
    </row>
    <row r="5071" spans="3:11">
      <c r="C5071" s="11"/>
      <c r="K5071" s="11"/>
    </row>
    <row r="5072" spans="3:11">
      <c r="C5072" s="11"/>
      <c r="K5072" s="11"/>
    </row>
    <row r="5073" spans="3:11">
      <c r="C5073" s="11"/>
      <c r="K5073" s="11"/>
    </row>
    <row r="5074" spans="3:11">
      <c r="C5074" s="11"/>
      <c r="K5074" s="11"/>
    </row>
    <row r="5075" spans="3:11">
      <c r="C5075" s="11"/>
      <c r="K5075" s="11"/>
    </row>
    <row r="5076" spans="3:11">
      <c r="C5076" s="11"/>
      <c r="K5076" s="11"/>
    </row>
    <row r="5077" spans="3:11">
      <c r="C5077" s="11"/>
      <c r="K5077" s="11"/>
    </row>
    <row r="5078" spans="3:11">
      <c r="C5078" s="11"/>
      <c r="K5078" s="11"/>
    </row>
    <row r="5079" spans="3:11">
      <c r="C5079" s="11"/>
      <c r="K5079" s="11"/>
    </row>
    <row r="5080" spans="3:11">
      <c r="C5080" s="11"/>
      <c r="K5080" s="11"/>
    </row>
    <row r="5081" spans="3:11">
      <c r="C5081" s="11"/>
      <c r="K5081" s="11"/>
    </row>
    <row r="5082" spans="3:11">
      <c r="C5082" s="11"/>
      <c r="K5082" s="11"/>
    </row>
    <row r="5083" spans="3:11">
      <c r="C5083" s="11"/>
      <c r="K5083" s="11"/>
    </row>
    <row r="5084" spans="3:11">
      <c r="C5084" s="11"/>
      <c r="K5084" s="11"/>
    </row>
    <row r="5085" spans="3:11">
      <c r="C5085" s="11"/>
      <c r="K5085" s="11"/>
    </row>
    <row r="5086" spans="3:11">
      <c r="C5086" s="11"/>
      <c r="K5086" s="11"/>
    </row>
    <row r="5087" spans="3:11">
      <c r="C5087" s="11"/>
      <c r="K5087" s="11"/>
    </row>
    <row r="5088" spans="3:11">
      <c r="C5088" s="11"/>
      <c r="K5088" s="11"/>
    </row>
    <row r="5089" spans="3:11">
      <c r="C5089" s="11"/>
      <c r="K5089" s="11"/>
    </row>
    <row r="5090" spans="3:11">
      <c r="C5090" s="11"/>
      <c r="K5090" s="11"/>
    </row>
    <row r="5091" spans="3:11">
      <c r="C5091" s="11"/>
      <c r="K5091" s="11"/>
    </row>
    <row r="5092" spans="3:11">
      <c r="C5092" s="11"/>
      <c r="K5092" s="11"/>
    </row>
    <row r="5093" spans="3:11">
      <c r="C5093" s="11"/>
      <c r="K5093" s="11"/>
    </row>
    <row r="5094" spans="3:11">
      <c r="C5094" s="11"/>
      <c r="K5094" s="11"/>
    </row>
    <row r="5095" spans="3:11">
      <c r="C5095" s="11"/>
      <c r="K5095" s="11"/>
    </row>
    <row r="5096" spans="3:11">
      <c r="C5096" s="11"/>
      <c r="K5096" s="11"/>
    </row>
    <row r="5097" spans="3:11">
      <c r="C5097" s="11"/>
      <c r="K5097" s="11"/>
    </row>
    <row r="5098" spans="3:11">
      <c r="C5098" s="11"/>
      <c r="K5098" s="11"/>
    </row>
    <row r="5099" spans="3:11">
      <c r="C5099" s="11"/>
      <c r="K5099" s="11"/>
    </row>
    <row r="5100" spans="3:11">
      <c r="C5100" s="11"/>
      <c r="K5100" s="11"/>
    </row>
    <row r="5101" spans="3:11">
      <c r="C5101" s="11"/>
      <c r="K5101" s="11"/>
    </row>
    <row r="5102" spans="3:11">
      <c r="C5102" s="11"/>
      <c r="K5102" s="11"/>
    </row>
    <row r="5103" spans="3:11">
      <c r="C5103" s="11"/>
      <c r="K5103" s="11"/>
    </row>
    <row r="5104" spans="3:11">
      <c r="C5104" s="11"/>
      <c r="K5104" s="11"/>
    </row>
    <row r="5105" spans="3:11">
      <c r="C5105" s="11"/>
      <c r="K5105" s="11"/>
    </row>
    <row r="5106" spans="3:11">
      <c r="C5106" s="11"/>
      <c r="K5106" s="11"/>
    </row>
    <row r="5107" spans="3:11">
      <c r="C5107" s="11"/>
      <c r="K5107" s="11"/>
    </row>
    <row r="5108" spans="3:11">
      <c r="C5108" s="11"/>
      <c r="K5108" s="11"/>
    </row>
    <row r="5109" spans="3:11">
      <c r="C5109" s="11"/>
      <c r="K5109" s="11"/>
    </row>
    <row r="5110" spans="3:11">
      <c r="C5110" s="11"/>
      <c r="K5110" s="11"/>
    </row>
    <row r="5111" spans="3:11">
      <c r="C5111" s="11"/>
      <c r="K5111" s="11"/>
    </row>
    <row r="5112" spans="3:11">
      <c r="C5112" s="11"/>
      <c r="K5112" s="11"/>
    </row>
    <row r="5113" spans="3:11">
      <c r="C5113" s="11"/>
      <c r="K5113" s="11"/>
    </row>
    <row r="5114" spans="3:11">
      <c r="C5114" s="11"/>
      <c r="K5114" s="11"/>
    </row>
    <row r="5115" spans="3:11">
      <c r="C5115" s="11"/>
      <c r="K5115" s="11"/>
    </row>
    <row r="5116" spans="3:11">
      <c r="C5116" s="11"/>
      <c r="K5116" s="11"/>
    </row>
    <row r="5117" spans="3:11">
      <c r="C5117" s="11"/>
      <c r="K5117" s="11"/>
    </row>
    <row r="5118" spans="3:11">
      <c r="C5118" s="11"/>
      <c r="K5118" s="11"/>
    </row>
    <row r="5119" spans="3:11">
      <c r="C5119" s="11"/>
      <c r="K5119" s="11"/>
    </row>
    <row r="5120" spans="3:11">
      <c r="C5120" s="11"/>
      <c r="K5120" s="11"/>
    </row>
    <row r="5121" spans="3:11">
      <c r="C5121" s="11"/>
      <c r="K5121" s="11"/>
    </row>
    <row r="5122" spans="3:11">
      <c r="C5122" s="11"/>
      <c r="K5122" s="11"/>
    </row>
    <row r="5123" spans="3:11">
      <c r="C5123" s="11"/>
      <c r="K5123" s="11"/>
    </row>
    <row r="5124" spans="3:11">
      <c r="C5124" s="11"/>
      <c r="K5124" s="11"/>
    </row>
    <row r="5125" spans="3:11">
      <c r="C5125" s="11"/>
      <c r="K5125" s="11"/>
    </row>
    <row r="5126" spans="3:11">
      <c r="C5126" s="11"/>
      <c r="K5126" s="11"/>
    </row>
    <row r="5127" spans="3:11">
      <c r="C5127" s="11"/>
      <c r="K5127" s="11"/>
    </row>
    <row r="5128" spans="3:11">
      <c r="C5128" s="11"/>
      <c r="K5128" s="11"/>
    </row>
    <row r="5129" spans="3:11">
      <c r="C5129" s="11"/>
      <c r="K5129" s="11"/>
    </row>
    <row r="5130" spans="3:11">
      <c r="C5130" s="11"/>
      <c r="K5130" s="11"/>
    </row>
    <row r="5131" spans="3:11">
      <c r="C5131" s="11"/>
      <c r="K5131" s="11"/>
    </row>
    <row r="5132" spans="3:11">
      <c r="C5132" s="11"/>
      <c r="K5132" s="11"/>
    </row>
    <row r="5133" spans="3:11">
      <c r="C5133" s="11"/>
      <c r="K5133" s="11"/>
    </row>
    <row r="5134" spans="3:11">
      <c r="C5134" s="11"/>
      <c r="K5134" s="11"/>
    </row>
    <row r="5135" spans="3:11">
      <c r="C5135" s="11"/>
      <c r="K5135" s="11"/>
    </row>
    <row r="5136" spans="3:11">
      <c r="C5136" s="11"/>
      <c r="K5136" s="11"/>
    </row>
    <row r="5137" spans="3:11">
      <c r="C5137" s="11"/>
      <c r="K5137" s="11"/>
    </row>
    <row r="5138" spans="3:11">
      <c r="C5138" s="11"/>
      <c r="K5138" s="11"/>
    </row>
    <row r="5139" spans="3:11">
      <c r="C5139" s="11"/>
      <c r="K5139" s="11"/>
    </row>
    <row r="5140" spans="3:11">
      <c r="C5140" s="11"/>
      <c r="K5140" s="11"/>
    </row>
    <row r="5141" spans="3:11">
      <c r="C5141" s="11"/>
      <c r="K5141" s="11"/>
    </row>
    <row r="5142" spans="3:11">
      <c r="C5142" s="11"/>
      <c r="K5142" s="11"/>
    </row>
    <row r="5143" spans="3:11">
      <c r="C5143" s="11"/>
      <c r="K5143" s="11"/>
    </row>
    <row r="5144" spans="3:11">
      <c r="C5144" s="11"/>
      <c r="K5144" s="11"/>
    </row>
    <row r="5145" spans="3:11">
      <c r="C5145" s="11"/>
      <c r="K5145" s="11"/>
    </row>
    <row r="5146" spans="3:11">
      <c r="C5146" s="11"/>
      <c r="K5146" s="11"/>
    </row>
    <row r="5147" spans="3:11">
      <c r="C5147" s="11"/>
      <c r="K5147" s="11"/>
    </row>
    <row r="5148" spans="3:11">
      <c r="C5148" s="11"/>
      <c r="K5148" s="11"/>
    </row>
    <row r="5149" spans="3:11">
      <c r="C5149" s="11"/>
      <c r="K5149" s="11"/>
    </row>
    <row r="5150" spans="3:11">
      <c r="C5150" s="11"/>
      <c r="K5150" s="11"/>
    </row>
    <row r="5151" spans="3:11">
      <c r="C5151" s="11"/>
      <c r="K5151" s="11"/>
    </row>
    <row r="5152" spans="3:11">
      <c r="C5152" s="11"/>
      <c r="K5152" s="11"/>
    </row>
    <row r="5153" spans="3:11">
      <c r="C5153" s="11"/>
      <c r="K5153" s="11"/>
    </row>
    <row r="5154" spans="3:11">
      <c r="C5154" s="11"/>
      <c r="K5154" s="11"/>
    </row>
    <row r="5155" spans="3:11">
      <c r="C5155" s="11"/>
      <c r="K5155" s="11"/>
    </row>
    <row r="5156" spans="3:11">
      <c r="C5156" s="11"/>
      <c r="K5156" s="11"/>
    </row>
    <row r="5157" spans="3:11">
      <c r="C5157" s="11"/>
      <c r="K5157" s="11"/>
    </row>
    <row r="5158" spans="3:11">
      <c r="C5158" s="11"/>
      <c r="K5158" s="11"/>
    </row>
    <row r="5159" spans="3:11">
      <c r="C5159" s="11"/>
      <c r="K5159" s="11"/>
    </row>
    <row r="5160" spans="3:11">
      <c r="C5160" s="11"/>
      <c r="K5160" s="11"/>
    </row>
    <row r="5161" spans="3:11">
      <c r="C5161" s="11"/>
      <c r="K5161" s="11"/>
    </row>
    <row r="5162" spans="3:11">
      <c r="C5162" s="11"/>
      <c r="K5162" s="11"/>
    </row>
    <row r="5163" spans="3:11">
      <c r="C5163" s="11"/>
      <c r="K5163" s="11"/>
    </row>
    <row r="5164" spans="3:11">
      <c r="C5164" s="11"/>
      <c r="K5164" s="11"/>
    </row>
    <row r="5165" spans="3:11">
      <c r="C5165" s="11"/>
      <c r="K5165" s="11"/>
    </row>
    <row r="5166" spans="3:11">
      <c r="C5166" s="11"/>
      <c r="K5166" s="11"/>
    </row>
    <row r="5167" spans="3:11">
      <c r="C5167" s="11"/>
      <c r="K5167" s="11"/>
    </row>
    <row r="5168" spans="3:11">
      <c r="C5168" s="11"/>
      <c r="K5168" s="11"/>
    </row>
    <row r="5169" spans="3:11">
      <c r="C5169" s="11"/>
      <c r="K5169" s="11"/>
    </row>
    <row r="5170" spans="3:11">
      <c r="C5170" s="11"/>
      <c r="K5170" s="11"/>
    </row>
    <row r="5171" spans="3:11">
      <c r="C5171" s="11"/>
      <c r="K5171" s="11"/>
    </row>
    <row r="5172" spans="3:11">
      <c r="C5172" s="11"/>
      <c r="K5172" s="11"/>
    </row>
    <row r="5173" spans="3:11">
      <c r="C5173" s="11"/>
      <c r="K5173" s="11"/>
    </row>
    <row r="5174" spans="3:11">
      <c r="C5174" s="11"/>
      <c r="K5174" s="11"/>
    </row>
    <row r="5175" spans="3:11">
      <c r="C5175" s="11"/>
      <c r="K5175" s="11"/>
    </row>
    <row r="5176" spans="3:11">
      <c r="C5176" s="11"/>
      <c r="K5176" s="11"/>
    </row>
    <row r="5177" spans="3:11">
      <c r="C5177" s="11"/>
      <c r="K5177" s="11"/>
    </row>
    <row r="5178" spans="3:11">
      <c r="C5178" s="11"/>
      <c r="K5178" s="11"/>
    </row>
    <row r="5179" spans="3:11">
      <c r="C5179" s="11"/>
      <c r="K5179" s="11"/>
    </row>
    <row r="5180" spans="3:11">
      <c r="C5180" s="11"/>
      <c r="K5180" s="11"/>
    </row>
    <row r="5181" spans="3:11">
      <c r="C5181" s="11"/>
      <c r="K5181" s="11"/>
    </row>
    <row r="5182" spans="3:11">
      <c r="C5182" s="11"/>
      <c r="K5182" s="11"/>
    </row>
    <row r="5183" spans="3:11">
      <c r="C5183" s="11"/>
      <c r="K5183" s="11"/>
    </row>
    <row r="5184" spans="3:11">
      <c r="C5184" s="11"/>
      <c r="K5184" s="11"/>
    </row>
    <row r="5185" spans="3:11">
      <c r="C5185" s="11"/>
      <c r="K5185" s="11"/>
    </row>
    <row r="5186" spans="3:11">
      <c r="C5186" s="11"/>
      <c r="K5186" s="11"/>
    </row>
    <row r="5187" spans="3:11">
      <c r="C5187" s="11"/>
      <c r="K5187" s="11"/>
    </row>
    <row r="5188" spans="3:11">
      <c r="C5188" s="11"/>
      <c r="K5188" s="11"/>
    </row>
    <row r="5189" spans="3:11">
      <c r="C5189" s="11"/>
      <c r="K5189" s="11"/>
    </row>
    <row r="5190" spans="3:11">
      <c r="C5190" s="11"/>
      <c r="K5190" s="11"/>
    </row>
    <row r="5191" spans="3:11">
      <c r="C5191" s="11"/>
      <c r="K5191" s="11"/>
    </row>
    <row r="5192" spans="3:11">
      <c r="C5192" s="11"/>
      <c r="K5192" s="11"/>
    </row>
    <row r="5193" spans="3:11">
      <c r="C5193" s="11"/>
      <c r="K5193" s="11"/>
    </row>
    <row r="5194" spans="3:11">
      <c r="C5194" s="11"/>
      <c r="K5194" s="11"/>
    </row>
    <row r="5195" spans="3:11">
      <c r="C5195" s="11"/>
      <c r="K5195" s="11"/>
    </row>
    <row r="5196" spans="3:11">
      <c r="C5196" s="11"/>
      <c r="K5196" s="11"/>
    </row>
    <row r="5197" spans="3:11">
      <c r="C5197" s="11"/>
      <c r="K5197" s="11"/>
    </row>
    <row r="5198" spans="3:11">
      <c r="C5198" s="11"/>
      <c r="K5198" s="11"/>
    </row>
    <row r="5199" spans="3:11">
      <c r="C5199" s="11"/>
      <c r="K5199" s="11"/>
    </row>
    <row r="5200" spans="3:11">
      <c r="C5200" s="11"/>
      <c r="K5200" s="11"/>
    </row>
    <row r="5201" spans="3:11">
      <c r="C5201" s="11"/>
      <c r="K5201" s="11"/>
    </row>
    <row r="5202" spans="3:11">
      <c r="C5202" s="11"/>
      <c r="K5202" s="11"/>
    </row>
    <row r="5203" spans="3:11">
      <c r="C5203" s="11"/>
      <c r="K5203" s="11"/>
    </row>
    <row r="5204" spans="3:11">
      <c r="C5204" s="11"/>
      <c r="K5204" s="11"/>
    </row>
    <row r="5205" spans="3:11">
      <c r="C5205" s="11"/>
      <c r="K5205" s="11"/>
    </row>
    <row r="5206" spans="3:11">
      <c r="C5206" s="11"/>
      <c r="K5206" s="11"/>
    </row>
    <row r="5207" spans="3:11">
      <c r="C5207" s="11"/>
      <c r="K5207" s="11"/>
    </row>
    <row r="5208" spans="3:11">
      <c r="C5208" s="11"/>
      <c r="K5208" s="11"/>
    </row>
    <row r="5209" spans="3:11">
      <c r="C5209" s="11"/>
      <c r="K5209" s="11"/>
    </row>
    <row r="5210" spans="3:11">
      <c r="C5210" s="11"/>
      <c r="K5210" s="11"/>
    </row>
    <row r="5211" spans="3:11">
      <c r="C5211" s="11"/>
      <c r="K5211" s="11"/>
    </row>
    <row r="5212" spans="3:11">
      <c r="C5212" s="11"/>
      <c r="K5212" s="11"/>
    </row>
    <row r="5213" spans="3:11">
      <c r="C5213" s="11"/>
      <c r="K5213" s="11"/>
    </row>
    <row r="5214" spans="3:11">
      <c r="C5214" s="11"/>
      <c r="K5214" s="11"/>
    </row>
    <row r="5215" spans="3:11">
      <c r="C5215" s="11"/>
      <c r="K5215" s="11"/>
    </row>
    <row r="5216" spans="3:11">
      <c r="C5216" s="11"/>
      <c r="K5216" s="11"/>
    </row>
    <row r="5217" spans="3:11">
      <c r="C5217" s="11"/>
      <c r="K5217" s="11"/>
    </row>
    <row r="5218" spans="3:11">
      <c r="C5218" s="11"/>
      <c r="K5218" s="11"/>
    </row>
    <row r="5219" spans="3:11">
      <c r="C5219" s="11"/>
      <c r="K5219" s="11"/>
    </row>
    <row r="5220" spans="3:11">
      <c r="C5220" s="11"/>
      <c r="K5220" s="11"/>
    </row>
    <row r="5221" spans="3:11">
      <c r="C5221" s="11"/>
      <c r="K5221" s="11"/>
    </row>
    <row r="5222" spans="3:11">
      <c r="C5222" s="11"/>
      <c r="K5222" s="11"/>
    </row>
    <row r="5223" spans="3:11">
      <c r="C5223" s="11"/>
      <c r="K5223" s="11"/>
    </row>
    <row r="5224" spans="3:11">
      <c r="C5224" s="11"/>
      <c r="K5224" s="11"/>
    </row>
    <row r="5225" spans="3:11">
      <c r="C5225" s="11"/>
      <c r="K5225" s="11"/>
    </row>
    <row r="5226" spans="3:11">
      <c r="C5226" s="11"/>
      <c r="K5226" s="11"/>
    </row>
    <row r="5227" spans="3:11">
      <c r="C5227" s="11"/>
      <c r="K5227" s="11"/>
    </row>
    <row r="5228" spans="3:11">
      <c r="C5228" s="11"/>
      <c r="K5228" s="11"/>
    </row>
    <row r="5229" spans="3:11">
      <c r="C5229" s="11"/>
      <c r="K5229" s="11"/>
    </row>
    <row r="5230" spans="3:11">
      <c r="C5230" s="11"/>
      <c r="K5230" s="11"/>
    </row>
    <row r="5231" spans="3:11">
      <c r="C5231" s="11"/>
      <c r="K5231" s="11"/>
    </row>
    <row r="5232" spans="3:11">
      <c r="C5232" s="11"/>
      <c r="K5232" s="11"/>
    </row>
    <row r="5233" spans="3:11">
      <c r="C5233" s="11"/>
      <c r="K5233" s="11"/>
    </row>
    <row r="5234" spans="3:11">
      <c r="C5234" s="11"/>
      <c r="K5234" s="11"/>
    </row>
    <row r="5235" spans="3:11">
      <c r="C5235" s="11"/>
      <c r="K5235" s="11"/>
    </row>
    <row r="5236" spans="3:11">
      <c r="C5236" s="11"/>
      <c r="K5236" s="11"/>
    </row>
    <row r="5237" spans="3:11">
      <c r="C5237" s="11"/>
      <c r="K5237" s="11"/>
    </row>
    <row r="5238" spans="3:11">
      <c r="C5238" s="11"/>
      <c r="K5238" s="11"/>
    </row>
    <row r="5239" spans="3:11">
      <c r="C5239" s="11"/>
      <c r="K5239" s="11"/>
    </row>
    <row r="5240" spans="3:11">
      <c r="C5240" s="11"/>
      <c r="K5240" s="11"/>
    </row>
    <row r="5241" spans="3:11">
      <c r="C5241" s="11"/>
      <c r="K5241" s="11"/>
    </row>
    <row r="5242" spans="3:11">
      <c r="C5242" s="11"/>
      <c r="K5242" s="11"/>
    </row>
    <row r="5243" spans="3:11">
      <c r="C5243" s="11"/>
      <c r="K5243" s="11"/>
    </row>
    <row r="5244" spans="3:11">
      <c r="C5244" s="11"/>
      <c r="K5244" s="11"/>
    </row>
    <row r="5245" spans="3:11">
      <c r="C5245" s="11"/>
      <c r="K5245" s="11"/>
    </row>
    <row r="5246" spans="3:11">
      <c r="C5246" s="11"/>
      <c r="K5246" s="11"/>
    </row>
    <row r="5247" spans="3:11">
      <c r="C5247" s="11"/>
      <c r="K5247" s="11"/>
    </row>
    <row r="5248" spans="3:11">
      <c r="C5248" s="11"/>
      <c r="K5248" s="11"/>
    </row>
    <row r="5249" spans="3:11">
      <c r="C5249" s="11"/>
      <c r="K5249" s="11"/>
    </row>
    <row r="5250" spans="3:11">
      <c r="C5250" s="11"/>
      <c r="K5250" s="11"/>
    </row>
    <row r="5251" spans="3:11">
      <c r="C5251" s="11"/>
      <c r="K5251" s="11"/>
    </row>
    <row r="5252" spans="3:11">
      <c r="C5252" s="11"/>
      <c r="K5252" s="11"/>
    </row>
    <row r="5253" spans="3:11">
      <c r="C5253" s="11"/>
      <c r="K5253" s="11"/>
    </row>
    <row r="5254" spans="3:11">
      <c r="C5254" s="11"/>
      <c r="K5254" s="11"/>
    </row>
    <row r="5255" spans="3:11">
      <c r="C5255" s="11"/>
      <c r="K5255" s="11"/>
    </row>
    <row r="5256" spans="3:11">
      <c r="C5256" s="11"/>
      <c r="K5256" s="11"/>
    </row>
    <row r="5257" spans="3:11">
      <c r="C5257" s="11"/>
      <c r="K5257" s="11"/>
    </row>
    <row r="5258" spans="3:11">
      <c r="C5258" s="11"/>
      <c r="K5258" s="11"/>
    </row>
    <row r="5259" spans="3:11">
      <c r="C5259" s="11"/>
      <c r="K5259" s="11"/>
    </row>
    <row r="5260" spans="3:11">
      <c r="C5260" s="11"/>
      <c r="K5260" s="11"/>
    </row>
    <row r="5261" spans="3:11">
      <c r="C5261" s="11"/>
      <c r="K5261" s="11"/>
    </row>
    <row r="5262" spans="3:11">
      <c r="C5262" s="11"/>
      <c r="K5262" s="11"/>
    </row>
    <row r="5263" spans="3:11">
      <c r="C5263" s="11"/>
      <c r="K5263" s="11"/>
    </row>
    <row r="5264" spans="3:11">
      <c r="C5264" s="11"/>
      <c r="K5264" s="11"/>
    </row>
    <row r="5265" spans="3:11">
      <c r="C5265" s="11"/>
      <c r="K5265" s="11"/>
    </row>
    <row r="5266" spans="3:11">
      <c r="C5266" s="11"/>
      <c r="K5266" s="11"/>
    </row>
    <row r="5267" spans="3:11">
      <c r="C5267" s="11"/>
      <c r="K5267" s="11"/>
    </row>
    <row r="5268" spans="3:11">
      <c r="C5268" s="11"/>
      <c r="K5268" s="11"/>
    </row>
    <row r="5269" spans="3:11">
      <c r="C5269" s="11"/>
      <c r="K5269" s="11"/>
    </row>
    <row r="5270" spans="3:11">
      <c r="C5270" s="11"/>
      <c r="K5270" s="11"/>
    </row>
    <row r="5271" spans="3:11">
      <c r="C5271" s="11"/>
      <c r="K5271" s="11"/>
    </row>
    <row r="5272" spans="3:11">
      <c r="C5272" s="11"/>
      <c r="K5272" s="11"/>
    </row>
    <row r="5273" spans="3:11">
      <c r="C5273" s="11"/>
      <c r="K5273" s="11"/>
    </row>
    <row r="5274" spans="3:11">
      <c r="C5274" s="11"/>
      <c r="K5274" s="11"/>
    </row>
    <row r="5275" spans="3:11">
      <c r="C5275" s="11"/>
      <c r="K5275" s="11"/>
    </row>
    <row r="5276" spans="3:11">
      <c r="C5276" s="11"/>
      <c r="K5276" s="11"/>
    </row>
    <row r="5277" spans="3:11">
      <c r="C5277" s="11"/>
      <c r="K5277" s="11"/>
    </row>
    <row r="5278" spans="3:11">
      <c r="C5278" s="11"/>
      <c r="K5278" s="11"/>
    </row>
    <row r="5279" spans="3:11">
      <c r="C5279" s="11"/>
      <c r="K5279" s="11"/>
    </row>
    <row r="5280" spans="3:11">
      <c r="C5280" s="11"/>
      <c r="K5280" s="11"/>
    </row>
    <row r="5281" spans="3:11">
      <c r="C5281" s="11"/>
      <c r="K5281" s="11"/>
    </row>
    <row r="5282" spans="3:11">
      <c r="C5282" s="11"/>
      <c r="K5282" s="11"/>
    </row>
    <row r="5283" spans="3:11">
      <c r="C5283" s="11"/>
      <c r="K5283" s="11"/>
    </row>
    <row r="5284" spans="3:11">
      <c r="C5284" s="11"/>
      <c r="K5284" s="11"/>
    </row>
    <row r="5285" spans="3:11">
      <c r="C5285" s="11"/>
      <c r="K5285" s="11"/>
    </row>
    <row r="5286" spans="3:11">
      <c r="C5286" s="11"/>
      <c r="K5286" s="11"/>
    </row>
    <row r="5287" spans="3:11">
      <c r="C5287" s="11"/>
      <c r="K5287" s="11"/>
    </row>
    <row r="5288" spans="3:11">
      <c r="C5288" s="11"/>
      <c r="K5288" s="11"/>
    </row>
    <row r="5289" spans="3:11">
      <c r="C5289" s="11"/>
      <c r="K5289" s="11"/>
    </row>
    <row r="5290" spans="3:11">
      <c r="C5290" s="11"/>
      <c r="K5290" s="11"/>
    </row>
    <row r="5291" spans="3:11">
      <c r="C5291" s="11"/>
      <c r="K5291" s="11"/>
    </row>
    <row r="5292" spans="3:11">
      <c r="C5292" s="11"/>
      <c r="K5292" s="11"/>
    </row>
    <row r="5293" spans="3:11">
      <c r="C5293" s="11"/>
      <c r="K5293" s="11"/>
    </row>
    <row r="5294" spans="3:11">
      <c r="C5294" s="11"/>
      <c r="K5294" s="11"/>
    </row>
    <row r="5295" spans="3:11">
      <c r="C5295" s="11"/>
      <c r="K5295" s="11"/>
    </row>
    <row r="5296" spans="3:11">
      <c r="C5296" s="11"/>
      <c r="K5296" s="11"/>
    </row>
    <row r="5297" spans="3:11">
      <c r="C5297" s="11"/>
      <c r="K5297" s="11"/>
    </row>
    <row r="5298" spans="3:11">
      <c r="C5298" s="11"/>
      <c r="K5298" s="11"/>
    </row>
    <row r="5299" spans="3:11">
      <c r="C5299" s="11"/>
      <c r="K5299" s="11"/>
    </row>
    <row r="5300" spans="3:11">
      <c r="C5300" s="11"/>
      <c r="K5300" s="11"/>
    </row>
    <row r="5301" spans="3:11">
      <c r="C5301" s="11"/>
      <c r="K5301" s="11"/>
    </row>
    <row r="5302" spans="3:11">
      <c r="C5302" s="11"/>
      <c r="K5302" s="11"/>
    </row>
    <row r="5303" spans="3:11">
      <c r="C5303" s="11"/>
      <c r="K5303" s="11"/>
    </row>
    <row r="5304" spans="3:11">
      <c r="C5304" s="11"/>
      <c r="K5304" s="11"/>
    </row>
    <row r="5305" spans="3:11">
      <c r="C5305" s="11"/>
      <c r="K5305" s="11"/>
    </row>
    <row r="5306" spans="3:11">
      <c r="C5306" s="11"/>
      <c r="K5306" s="11"/>
    </row>
    <row r="5307" spans="3:11">
      <c r="C5307" s="11"/>
      <c r="K5307" s="11"/>
    </row>
    <row r="5308" spans="3:11">
      <c r="C5308" s="11"/>
      <c r="K5308" s="11"/>
    </row>
    <row r="5309" spans="3:11">
      <c r="C5309" s="11"/>
      <c r="K5309" s="11"/>
    </row>
    <row r="5310" spans="3:11">
      <c r="C5310" s="11"/>
      <c r="K5310" s="11"/>
    </row>
    <row r="5311" spans="3:11">
      <c r="C5311" s="11"/>
      <c r="K5311" s="11"/>
    </row>
    <row r="5312" spans="3:11">
      <c r="C5312" s="11"/>
      <c r="K5312" s="11"/>
    </row>
    <row r="5313" spans="3:11">
      <c r="C5313" s="11"/>
      <c r="K5313" s="11"/>
    </row>
    <row r="5314" spans="3:11">
      <c r="C5314" s="11"/>
      <c r="K5314" s="11"/>
    </row>
    <row r="5315" spans="3:11">
      <c r="C5315" s="11"/>
      <c r="K5315" s="11"/>
    </row>
    <row r="5316" spans="3:11">
      <c r="C5316" s="11"/>
      <c r="K5316" s="11"/>
    </row>
    <row r="5317" spans="3:11">
      <c r="C5317" s="11"/>
      <c r="K5317" s="11"/>
    </row>
    <row r="5318" spans="3:11">
      <c r="C5318" s="11"/>
      <c r="K5318" s="11"/>
    </row>
    <row r="5319" spans="3:11">
      <c r="C5319" s="11"/>
      <c r="K5319" s="11"/>
    </row>
    <row r="5320" spans="3:11">
      <c r="C5320" s="11"/>
      <c r="K5320" s="11"/>
    </row>
    <row r="5321" spans="3:11">
      <c r="C5321" s="11"/>
      <c r="K5321" s="11"/>
    </row>
    <row r="5322" spans="3:11">
      <c r="C5322" s="11"/>
      <c r="K5322" s="11"/>
    </row>
    <row r="5323" spans="3:11">
      <c r="C5323" s="11"/>
      <c r="K5323" s="11"/>
    </row>
    <row r="5324" spans="3:11">
      <c r="C5324" s="11"/>
      <c r="K5324" s="11"/>
    </row>
    <row r="5325" spans="3:11">
      <c r="C5325" s="11"/>
      <c r="K5325" s="11"/>
    </row>
    <row r="5326" spans="3:11">
      <c r="C5326" s="11"/>
      <c r="K5326" s="11"/>
    </row>
    <row r="5327" spans="3:11">
      <c r="C5327" s="11"/>
      <c r="K5327" s="11"/>
    </row>
    <row r="5328" spans="3:11">
      <c r="C5328" s="11"/>
      <c r="K5328" s="11"/>
    </row>
    <row r="5329" spans="3:11">
      <c r="C5329" s="11"/>
      <c r="K5329" s="11"/>
    </row>
    <row r="5330" spans="3:11">
      <c r="C5330" s="11"/>
      <c r="K5330" s="11"/>
    </row>
    <row r="5331" spans="3:11">
      <c r="C5331" s="11"/>
      <c r="K5331" s="11"/>
    </row>
    <row r="5332" spans="3:11">
      <c r="C5332" s="11"/>
      <c r="K5332" s="11"/>
    </row>
    <row r="5333" spans="3:11">
      <c r="C5333" s="11"/>
      <c r="K5333" s="11"/>
    </row>
    <row r="5334" spans="3:11">
      <c r="C5334" s="11"/>
      <c r="K5334" s="11"/>
    </row>
    <row r="5335" spans="3:11">
      <c r="C5335" s="11"/>
      <c r="K5335" s="11"/>
    </row>
    <row r="5336" spans="3:11">
      <c r="C5336" s="11"/>
      <c r="K5336" s="11"/>
    </row>
    <row r="5337" spans="3:11">
      <c r="C5337" s="11"/>
      <c r="K5337" s="11"/>
    </row>
    <row r="5338" spans="3:11">
      <c r="C5338" s="11"/>
      <c r="K5338" s="11"/>
    </row>
    <row r="5339" spans="3:11">
      <c r="C5339" s="11"/>
      <c r="K5339" s="11"/>
    </row>
    <row r="5340" spans="3:11">
      <c r="C5340" s="11"/>
      <c r="K5340" s="11"/>
    </row>
    <row r="5341" spans="3:11">
      <c r="C5341" s="11"/>
      <c r="K5341" s="11"/>
    </row>
    <row r="5342" spans="3:11">
      <c r="C5342" s="11"/>
      <c r="K5342" s="11"/>
    </row>
    <row r="5343" spans="3:11">
      <c r="C5343" s="11"/>
      <c r="K5343" s="11"/>
    </row>
    <row r="5344" spans="3:11">
      <c r="C5344" s="11"/>
      <c r="K5344" s="11"/>
    </row>
    <row r="5345" spans="3:11">
      <c r="C5345" s="11"/>
      <c r="K5345" s="11"/>
    </row>
    <row r="5346" spans="3:11">
      <c r="C5346" s="11"/>
      <c r="K5346" s="11"/>
    </row>
    <row r="5347" spans="3:11">
      <c r="C5347" s="11"/>
      <c r="K5347" s="11"/>
    </row>
    <row r="5348" spans="3:11">
      <c r="C5348" s="11"/>
      <c r="K5348" s="11"/>
    </row>
    <row r="5349" spans="3:11">
      <c r="C5349" s="11"/>
      <c r="K5349" s="11"/>
    </row>
    <row r="5350" spans="3:11">
      <c r="C5350" s="11"/>
      <c r="K5350" s="11"/>
    </row>
    <row r="5351" spans="3:11">
      <c r="C5351" s="11"/>
      <c r="K5351" s="11"/>
    </row>
    <row r="5352" spans="3:11">
      <c r="C5352" s="11"/>
      <c r="K5352" s="11"/>
    </row>
    <row r="5353" spans="3:11">
      <c r="C5353" s="11"/>
      <c r="K5353" s="11"/>
    </row>
    <row r="5354" spans="3:11">
      <c r="C5354" s="11"/>
      <c r="K5354" s="11"/>
    </row>
    <row r="5355" spans="3:11">
      <c r="C5355" s="11"/>
      <c r="K5355" s="11"/>
    </row>
    <row r="5356" spans="3:11">
      <c r="C5356" s="11"/>
      <c r="K5356" s="11"/>
    </row>
    <row r="5357" spans="3:11">
      <c r="C5357" s="11"/>
      <c r="K5357" s="11"/>
    </row>
    <row r="5358" spans="3:11">
      <c r="C5358" s="11"/>
      <c r="K5358" s="11"/>
    </row>
    <row r="5359" spans="3:11">
      <c r="C5359" s="11"/>
      <c r="K5359" s="11"/>
    </row>
    <row r="5360" spans="3:11">
      <c r="C5360" s="11"/>
      <c r="K5360" s="11"/>
    </row>
    <row r="5361" spans="3:11">
      <c r="C5361" s="11"/>
      <c r="K5361" s="11"/>
    </row>
    <row r="5362" spans="3:11">
      <c r="C5362" s="11"/>
      <c r="K5362" s="11"/>
    </row>
    <row r="5363" spans="3:11">
      <c r="C5363" s="11"/>
      <c r="K5363" s="11"/>
    </row>
    <row r="5364" spans="3:11">
      <c r="C5364" s="11"/>
      <c r="K5364" s="11"/>
    </row>
    <row r="5365" spans="3:11">
      <c r="C5365" s="11"/>
      <c r="K5365" s="11"/>
    </row>
    <row r="5366" spans="3:11">
      <c r="C5366" s="11"/>
      <c r="K5366" s="11"/>
    </row>
    <row r="5367" spans="3:11">
      <c r="C5367" s="11"/>
      <c r="K5367" s="11"/>
    </row>
    <row r="5368" spans="3:11">
      <c r="C5368" s="11"/>
      <c r="K5368" s="11"/>
    </row>
    <row r="5369" spans="3:11">
      <c r="C5369" s="11"/>
      <c r="K5369" s="11"/>
    </row>
    <row r="5370" spans="3:11">
      <c r="C5370" s="11"/>
      <c r="K5370" s="11"/>
    </row>
    <row r="5371" spans="3:11">
      <c r="C5371" s="11"/>
      <c r="K5371" s="11"/>
    </row>
    <row r="5372" spans="3:11">
      <c r="C5372" s="11"/>
      <c r="K5372" s="11"/>
    </row>
    <row r="5373" spans="3:11">
      <c r="C5373" s="11"/>
      <c r="K5373" s="11"/>
    </row>
    <row r="5374" spans="3:11">
      <c r="C5374" s="11"/>
      <c r="K5374" s="11"/>
    </row>
    <row r="5375" spans="3:11">
      <c r="C5375" s="11"/>
      <c r="K5375" s="11"/>
    </row>
    <row r="5376" spans="3:11">
      <c r="C5376" s="11"/>
      <c r="K5376" s="11"/>
    </row>
    <row r="5377" spans="3:11">
      <c r="C5377" s="11"/>
      <c r="K5377" s="11"/>
    </row>
    <row r="5378" spans="3:11">
      <c r="C5378" s="11"/>
      <c r="K5378" s="11"/>
    </row>
    <row r="5379" spans="3:11">
      <c r="C5379" s="11"/>
      <c r="K5379" s="11"/>
    </row>
    <row r="5380" spans="3:11">
      <c r="C5380" s="11"/>
      <c r="K5380" s="11"/>
    </row>
    <row r="5381" spans="3:11">
      <c r="C5381" s="11"/>
      <c r="K5381" s="11"/>
    </row>
    <row r="5382" spans="3:11">
      <c r="C5382" s="11"/>
      <c r="K5382" s="11"/>
    </row>
    <row r="5383" spans="3:11">
      <c r="C5383" s="11"/>
      <c r="K5383" s="11"/>
    </row>
    <row r="5384" spans="3:11">
      <c r="C5384" s="11"/>
      <c r="K5384" s="11"/>
    </row>
    <row r="5385" spans="3:11">
      <c r="C5385" s="11"/>
      <c r="K5385" s="11"/>
    </row>
    <row r="5386" spans="3:11">
      <c r="C5386" s="11"/>
      <c r="K5386" s="11"/>
    </row>
    <row r="5387" spans="3:11">
      <c r="C5387" s="11"/>
      <c r="K5387" s="11"/>
    </row>
    <row r="5388" spans="3:11">
      <c r="C5388" s="11"/>
      <c r="K5388" s="11"/>
    </row>
    <row r="5389" spans="3:11">
      <c r="C5389" s="11"/>
      <c r="K5389" s="11"/>
    </row>
    <row r="5390" spans="3:11">
      <c r="C5390" s="11"/>
      <c r="K5390" s="11"/>
    </row>
    <row r="5391" spans="3:11">
      <c r="C5391" s="11"/>
      <c r="K5391" s="11"/>
    </row>
    <row r="5392" spans="3:11">
      <c r="C5392" s="11"/>
      <c r="K5392" s="11"/>
    </row>
    <row r="5393" spans="3:11">
      <c r="C5393" s="11"/>
      <c r="K5393" s="11"/>
    </row>
    <row r="5394" spans="3:11">
      <c r="C5394" s="11"/>
      <c r="K5394" s="11"/>
    </row>
    <row r="5395" spans="3:11">
      <c r="C5395" s="11"/>
      <c r="K5395" s="11"/>
    </row>
    <row r="5396" spans="3:11">
      <c r="C5396" s="11"/>
      <c r="K5396" s="11"/>
    </row>
    <row r="5397" spans="3:11">
      <c r="C5397" s="11"/>
      <c r="K5397" s="11"/>
    </row>
    <row r="5398" spans="3:11">
      <c r="C5398" s="11"/>
      <c r="K5398" s="11"/>
    </row>
    <row r="5399" spans="3:11">
      <c r="C5399" s="11"/>
      <c r="K5399" s="11"/>
    </row>
    <row r="5400" spans="3:11">
      <c r="C5400" s="11"/>
      <c r="K5400" s="11"/>
    </row>
    <row r="5401" spans="3:11">
      <c r="C5401" s="11"/>
      <c r="K5401" s="11"/>
    </row>
    <row r="5402" spans="3:11">
      <c r="C5402" s="11"/>
      <c r="K5402" s="11"/>
    </row>
    <row r="5403" spans="3:11">
      <c r="C5403" s="11"/>
      <c r="K5403" s="11"/>
    </row>
    <row r="5404" spans="3:11">
      <c r="C5404" s="11"/>
      <c r="K5404" s="11"/>
    </row>
    <row r="5405" spans="3:11">
      <c r="C5405" s="11"/>
      <c r="K5405" s="11"/>
    </row>
    <row r="5406" spans="3:11">
      <c r="C5406" s="11"/>
      <c r="K5406" s="11"/>
    </row>
    <row r="5407" spans="3:11">
      <c r="C5407" s="11"/>
      <c r="K5407" s="11"/>
    </row>
    <row r="5408" spans="3:11">
      <c r="C5408" s="11"/>
      <c r="K5408" s="11"/>
    </row>
    <row r="5409" spans="3:11">
      <c r="C5409" s="11"/>
      <c r="K5409" s="11"/>
    </row>
    <row r="5410" spans="3:11">
      <c r="C5410" s="11"/>
      <c r="K5410" s="11"/>
    </row>
    <row r="5411" spans="3:11">
      <c r="C5411" s="11"/>
      <c r="K5411" s="11"/>
    </row>
    <row r="5412" spans="3:11">
      <c r="C5412" s="11"/>
      <c r="K5412" s="11"/>
    </row>
    <row r="5413" spans="3:11">
      <c r="C5413" s="11"/>
      <c r="K5413" s="11"/>
    </row>
    <row r="5414" spans="3:11">
      <c r="C5414" s="11"/>
      <c r="K5414" s="11"/>
    </row>
    <row r="5415" spans="3:11">
      <c r="C5415" s="11"/>
      <c r="K5415" s="11"/>
    </row>
    <row r="5416" spans="3:11">
      <c r="C5416" s="11"/>
      <c r="K5416" s="11"/>
    </row>
    <row r="5417" spans="3:11">
      <c r="C5417" s="11"/>
      <c r="K5417" s="11"/>
    </row>
    <row r="5418" spans="3:11">
      <c r="C5418" s="11"/>
      <c r="K5418" s="11"/>
    </row>
    <row r="5419" spans="3:11">
      <c r="C5419" s="11"/>
      <c r="K5419" s="11"/>
    </row>
    <row r="5420" spans="3:11">
      <c r="C5420" s="11"/>
      <c r="K5420" s="11"/>
    </row>
    <row r="5421" spans="3:11">
      <c r="C5421" s="11"/>
      <c r="K5421" s="11"/>
    </row>
    <row r="5422" spans="3:11">
      <c r="C5422" s="11"/>
      <c r="K5422" s="11"/>
    </row>
    <row r="5423" spans="3:11">
      <c r="C5423" s="11"/>
      <c r="K5423" s="11"/>
    </row>
    <row r="5424" spans="3:11">
      <c r="C5424" s="11"/>
      <c r="K5424" s="11"/>
    </row>
    <row r="5425" spans="3:11">
      <c r="C5425" s="11"/>
      <c r="K5425" s="11"/>
    </row>
    <row r="5426" spans="3:11">
      <c r="C5426" s="11"/>
      <c r="K5426" s="11"/>
    </row>
    <row r="5427" spans="3:11">
      <c r="C5427" s="11"/>
      <c r="K5427" s="11"/>
    </row>
    <row r="5428" spans="3:11">
      <c r="C5428" s="11"/>
      <c r="K5428" s="11"/>
    </row>
    <row r="5429" spans="3:11">
      <c r="C5429" s="11"/>
      <c r="K5429" s="11"/>
    </row>
    <row r="5430" spans="3:11">
      <c r="C5430" s="11"/>
      <c r="K5430" s="11"/>
    </row>
    <row r="5431" spans="3:11">
      <c r="C5431" s="11"/>
      <c r="K5431" s="11"/>
    </row>
    <row r="5432" spans="3:11">
      <c r="C5432" s="11"/>
      <c r="K5432" s="11"/>
    </row>
    <row r="5433" spans="3:11">
      <c r="C5433" s="11"/>
      <c r="K5433" s="11"/>
    </row>
    <row r="5434" spans="3:11">
      <c r="C5434" s="11"/>
      <c r="K5434" s="11"/>
    </row>
    <row r="5435" spans="3:11">
      <c r="C5435" s="11"/>
      <c r="K5435" s="11"/>
    </row>
    <row r="5436" spans="3:11">
      <c r="C5436" s="11"/>
      <c r="K5436" s="11"/>
    </row>
    <row r="5437" spans="3:11">
      <c r="C5437" s="11"/>
      <c r="K5437" s="11"/>
    </row>
    <row r="5438" spans="3:11">
      <c r="C5438" s="11"/>
      <c r="K5438" s="11"/>
    </row>
    <row r="5439" spans="3:11">
      <c r="C5439" s="11"/>
      <c r="K5439" s="11"/>
    </row>
    <row r="5440" spans="3:11">
      <c r="C5440" s="11"/>
      <c r="K5440" s="11"/>
    </row>
    <row r="5441" spans="3:11">
      <c r="C5441" s="11"/>
      <c r="K5441" s="11"/>
    </row>
    <row r="5442" spans="3:11">
      <c r="C5442" s="11"/>
      <c r="K5442" s="11"/>
    </row>
    <row r="5443" spans="3:11">
      <c r="C5443" s="11"/>
      <c r="K5443" s="11"/>
    </row>
    <row r="5444" spans="3:11">
      <c r="C5444" s="11"/>
      <c r="K5444" s="11"/>
    </row>
    <row r="5445" spans="3:11">
      <c r="C5445" s="11"/>
      <c r="K5445" s="11"/>
    </row>
    <row r="5446" spans="3:11">
      <c r="C5446" s="11"/>
      <c r="K5446" s="11"/>
    </row>
    <row r="5447" spans="3:11">
      <c r="C5447" s="11"/>
      <c r="K5447" s="11"/>
    </row>
    <row r="5448" spans="3:11">
      <c r="C5448" s="11"/>
      <c r="K5448" s="11"/>
    </row>
    <row r="5449" spans="3:11">
      <c r="C5449" s="11"/>
      <c r="K5449" s="11"/>
    </row>
    <row r="5450" spans="3:11">
      <c r="C5450" s="11"/>
      <c r="K5450" s="11"/>
    </row>
    <row r="5451" spans="3:11">
      <c r="C5451" s="11"/>
      <c r="K5451" s="11"/>
    </row>
    <row r="5452" spans="3:11">
      <c r="C5452" s="11"/>
      <c r="K5452" s="11"/>
    </row>
    <row r="5453" spans="3:11">
      <c r="C5453" s="11"/>
      <c r="K5453" s="11"/>
    </row>
    <row r="5454" spans="3:11">
      <c r="C5454" s="11"/>
      <c r="K5454" s="11"/>
    </row>
    <row r="5455" spans="3:11">
      <c r="C5455" s="11"/>
      <c r="K5455" s="11"/>
    </row>
    <row r="5456" spans="3:11">
      <c r="C5456" s="11"/>
      <c r="K5456" s="11"/>
    </row>
    <row r="5457" spans="3:11">
      <c r="C5457" s="11"/>
      <c r="K5457" s="11"/>
    </row>
    <row r="5458" spans="3:11">
      <c r="C5458" s="11"/>
      <c r="K5458" s="11"/>
    </row>
    <row r="5459" spans="3:11">
      <c r="C5459" s="11"/>
      <c r="K5459" s="11"/>
    </row>
    <row r="5460" spans="3:11">
      <c r="C5460" s="11"/>
      <c r="K5460" s="11"/>
    </row>
    <row r="5461" spans="3:11">
      <c r="C5461" s="11"/>
      <c r="K5461" s="11"/>
    </row>
    <row r="5462" spans="3:11">
      <c r="C5462" s="11"/>
      <c r="K5462" s="11"/>
    </row>
    <row r="5463" spans="3:11">
      <c r="C5463" s="11"/>
      <c r="K5463" s="11"/>
    </row>
    <row r="5464" spans="3:11">
      <c r="C5464" s="11"/>
      <c r="K5464" s="11"/>
    </row>
    <row r="5465" spans="3:11">
      <c r="C5465" s="11"/>
      <c r="K5465" s="11"/>
    </row>
    <row r="5466" spans="3:11">
      <c r="C5466" s="11"/>
      <c r="K5466" s="11"/>
    </row>
    <row r="5467" spans="3:11">
      <c r="C5467" s="11"/>
      <c r="K5467" s="11"/>
    </row>
    <row r="5468" spans="3:11">
      <c r="C5468" s="11"/>
      <c r="K5468" s="11"/>
    </row>
    <row r="5469" spans="3:11">
      <c r="C5469" s="11"/>
      <c r="K5469" s="11"/>
    </row>
    <row r="5470" spans="3:11">
      <c r="C5470" s="11"/>
      <c r="K5470" s="11"/>
    </row>
    <row r="5471" spans="3:11">
      <c r="C5471" s="11"/>
      <c r="K5471" s="11"/>
    </row>
    <row r="5472" spans="3:11">
      <c r="C5472" s="11"/>
      <c r="K5472" s="11"/>
    </row>
    <row r="5473" spans="3:11">
      <c r="C5473" s="11"/>
      <c r="K5473" s="11"/>
    </row>
    <row r="5474" spans="3:11">
      <c r="C5474" s="11"/>
      <c r="K5474" s="11"/>
    </row>
    <row r="5475" spans="3:11">
      <c r="C5475" s="11"/>
      <c r="K5475" s="11"/>
    </row>
    <row r="5476" spans="3:11">
      <c r="C5476" s="11"/>
      <c r="K5476" s="11"/>
    </row>
    <row r="5477" spans="3:11">
      <c r="C5477" s="11"/>
      <c r="K5477" s="11"/>
    </row>
    <row r="5478" spans="3:11">
      <c r="C5478" s="11"/>
      <c r="K5478" s="11"/>
    </row>
    <row r="5479" spans="3:11">
      <c r="C5479" s="11"/>
      <c r="K5479" s="11"/>
    </row>
    <row r="5480" spans="3:11">
      <c r="C5480" s="11"/>
      <c r="K5480" s="11"/>
    </row>
    <row r="5481" spans="3:11">
      <c r="C5481" s="11"/>
      <c r="K5481" s="11"/>
    </row>
    <row r="5482" spans="3:11">
      <c r="C5482" s="11"/>
      <c r="K5482" s="11"/>
    </row>
    <row r="5483" spans="3:11">
      <c r="C5483" s="11"/>
      <c r="K5483" s="11"/>
    </row>
    <row r="5484" spans="3:11">
      <c r="C5484" s="11"/>
      <c r="K5484" s="11"/>
    </row>
    <row r="5485" spans="3:11">
      <c r="C5485" s="11"/>
      <c r="K5485" s="11"/>
    </row>
    <row r="5486" spans="3:11">
      <c r="C5486" s="11"/>
      <c r="K5486" s="11"/>
    </row>
    <row r="5487" spans="3:11">
      <c r="C5487" s="11"/>
      <c r="K5487" s="11"/>
    </row>
    <row r="5488" spans="3:11">
      <c r="C5488" s="11"/>
      <c r="K5488" s="11"/>
    </row>
    <row r="5489" spans="3:11">
      <c r="C5489" s="11"/>
      <c r="K5489" s="11"/>
    </row>
    <row r="5490" spans="3:11">
      <c r="C5490" s="11"/>
      <c r="K5490" s="11"/>
    </row>
    <row r="5491" spans="3:11">
      <c r="C5491" s="11"/>
      <c r="K5491" s="11"/>
    </row>
    <row r="5492" spans="3:11">
      <c r="C5492" s="11"/>
      <c r="K5492" s="11"/>
    </row>
    <row r="5493" spans="3:11">
      <c r="C5493" s="11"/>
      <c r="K5493" s="11"/>
    </row>
    <row r="5494" spans="3:11">
      <c r="C5494" s="11"/>
      <c r="K5494" s="11"/>
    </row>
    <row r="5495" spans="3:11">
      <c r="C5495" s="11"/>
      <c r="K5495" s="11"/>
    </row>
    <row r="5496" spans="3:11">
      <c r="C5496" s="11"/>
      <c r="K5496" s="11"/>
    </row>
    <row r="5497" spans="3:11">
      <c r="C5497" s="11"/>
      <c r="K5497" s="11"/>
    </row>
    <row r="5498" spans="3:11">
      <c r="C5498" s="11"/>
      <c r="K5498" s="11"/>
    </row>
    <row r="5499" spans="3:11">
      <c r="C5499" s="11"/>
      <c r="K5499" s="11"/>
    </row>
    <row r="5500" spans="3:11">
      <c r="C5500" s="11"/>
      <c r="K5500" s="11"/>
    </row>
    <row r="5501" spans="3:11">
      <c r="C5501" s="11"/>
      <c r="K5501" s="11"/>
    </row>
    <row r="5502" spans="3:11">
      <c r="C5502" s="11"/>
      <c r="K5502" s="11"/>
    </row>
    <row r="5503" spans="3:11">
      <c r="C5503" s="11"/>
      <c r="K5503" s="11"/>
    </row>
    <row r="5504" spans="3:11">
      <c r="C5504" s="11"/>
      <c r="K5504" s="11"/>
    </row>
    <row r="5505" spans="3:11">
      <c r="C5505" s="11"/>
      <c r="K5505" s="11"/>
    </row>
    <row r="5506" spans="3:11">
      <c r="C5506" s="11"/>
      <c r="K5506" s="11"/>
    </row>
    <row r="5507" spans="3:11">
      <c r="C5507" s="11"/>
      <c r="K5507" s="11"/>
    </row>
    <row r="5508" spans="3:11">
      <c r="C5508" s="11"/>
      <c r="K5508" s="11"/>
    </row>
    <row r="5509" spans="3:11">
      <c r="C5509" s="11"/>
      <c r="K5509" s="11"/>
    </row>
    <row r="5510" spans="3:11">
      <c r="C5510" s="11"/>
      <c r="K5510" s="11"/>
    </row>
    <row r="5511" spans="3:11">
      <c r="C5511" s="11"/>
      <c r="K5511" s="11"/>
    </row>
    <row r="5512" spans="3:11">
      <c r="C5512" s="11"/>
      <c r="K5512" s="11"/>
    </row>
    <row r="5513" spans="3:11">
      <c r="C5513" s="11"/>
      <c r="K5513" s="11"/>
    </row>
    <row r="5514" spans="3:11">
      <c r="C5514" s="11"/>
      <c r="K5514" s="11"/>
    </row>
    <row r="5515" spans="3:11">
      <c r="C5515" s="11"/>
      <c r="K5515" s="11"/>
    </row>
    <row r="5516" spans="3:11">
      <c r="C5516" s="11"/>
      <c r="K5516" s="11"/>
    </row>
    <row r="5517" spans="3:11">
      <c r="C5517" s="11"/>
      <c r="K5517" s="11"/>
    </row>
    <row r="5518" spans="3:11">
      <c r="C5518" s="11"/>
      <c r="K5518" s="11"/>
    </row>
    <row r="5519" spans="3:11">
      <c r="C5519" s="11"/>
      <c r="K5519" s="11"/>
    </row>
    <row r="5520" spans="3:11">
      <c r="C5520" s="11"/>
      <c r="K5520" s="11"/>
    </row>
    <row r="5521" spans="3:11">
      <c r="C5521" s="11"/>
      <c r="K5521" s="11"/>
    </row>
    <row r="5522" spans="3:11">
      <c r="C5522" s="11"/>
      <c r="K5522" s="11"/>
    </row>
    <row r="5523" spans="3:11">
      <c r="C5523" s="11"/>
      <c r="K5523" s="11"/>
    </row>
    <row r="5524" spans="3:11">
      <c r="C5524" s="11"/>
      <c r="K5524" s="11"/>
    </row>
    <row r="5525" spans="3:11">
      <c r="C5525" s="11"/>
      <c r="K5525" s="11"/>
    </row>
    <row r="5526" spans="3:11">
      <c r="C5526" s="11"/>
      <c r="K5526" s="11"/>
    </row>
    <row r="5527" spans="3:11">
      <c r="C5527" s="11"/>
      <c r="K5527" s="11"/>
    </row>
    <row r="5528" spans="3:11">
      <c r="C5528" s="11"/>
      <c r="K5528" s="11"/>
    </row>
    <row r="5529" spans="3:11">
      <c r="C5529" s="11"/>
      <c r="K5529" s="11"/>
    </row>
    <row r="5530" spans="3:11">
      <c r="C5530" s="11"/>
      <c r="K5530" s="11"/>
    </row>
    <row r="5531" spans="3:11">
      <c r="C5531" s="11"/>
      <c r="K5531" s="11"/>
    </row>
    <row r="5532" spans="3:11">
      <c r="C5532" s="11"/>
      <c r="K5532" s="11"/>
    </row>
    <row r="5533" spans="3:11">
      <c r="C5533" s="11"/>
      <c r="K5533" s="11"/>
    </row>
    <row r="5534" spans="3:11">
      <c r="C5534" s="11"/>
      <c r="K5534" s="11"/>
    </row>
    <row r="5535" spans="3:11">
      <c r="C5535" s="11"/>
      <c r="K5535" s="11"/>
    </row>
    <row r="5536" spans="3:11">
      <c r="C5536" s="11"/>
      <c r="K5536" s="11"/>
    </row>
    <row r="5537" spans="3:11">
      <c r="C5537" s="11"/>
      <c r="K5537" s="11"/>
    </row>
    <row r="5538" spans="3:11">
      <c r="C5538" s="11"/>
      <c r="K5538" s="11"/>
    </row>
    <row r="5539" spans="3:11">
      <c r="C5539" s="11"/>
      <c r="K5539" s="11"/>
    </row>
    <row r="5540" spans="3:11">
      <c r="C5540" s="11"/>
      <c r="K5540" s="11"/>
    </row>
    <row r="5541" spans="3:11">
      <c r="C5541" s="11"/>
      <c r="K5541" s="11"/>
    </row>
    <row r="5542" spans="3:11">
      <c r="C5542" s="11"/>
      <c r="K5542" s="11"/>
    </row>
    <row r="5543" spans="3:11">
      <c r="C5543" s="11"/>
      <c r="K5543" s="11"/>
    </row>
    <row r="5544" spans="3:11">
      <c r="C5544" s="11"/>
      <c r="K5544" s="11"/>
    </row>
    <row r="5545" spans="3:11">
      <c r="C5545" s="11"/>
      <c r="K5545" s="11"/>
    </row>
    <row r="5546" spans="3:11">
      <c r="C5546" s="11"/>
      <c r="K5546" s="11"/>
    </row>
    <row r="5547" spans="3:11">
      <c r="C5547" s="11"/>
      <c r="K5547" s="11"/>
    </row>
    <row r="5548" spans="3:11">
      <c r="C5548" s="11"/>
      <c r="K5548" s="11"/>
    </row>
    <row r="5549" spans="3:11">
      <c r="C5549" s="11"/>
      <c r="K5549" s="11"/>
    </row>
    <row r="5550" spans="3:11">
      <c r="C5550" s="11"/>
      <c r="K5550" s="11"/>
    </row>
    <row r="5551" spans="3:11">
      <c r="C5551" s="11"/>
      <c r="K5551" s="11"/>
    </row>
    <row r="5552" spans="3:11">
      <c r="C5552" s="11"/>
      <c r="K5552" s="11"/>
    </row>
    <row r="5553" spans="3:11">
      <c r="C5553" s="11"/>
      <c r="K5553" s="11"/>
    </row>
    <row r="5554" spans="3:11">
      <c r="C5554" s="11"/>
      <c r="K5554" s="11"/>
    </row>
    <row r="5555" spans="3:11">
      <c r="C5555" s="11"/>
      <c r="K5555" s="11"/>
    </row>
    <row r="5556" spans="3:11">
      <c r="C5556" s="11"/>
      <c r="K5556" s="11"/>
    </row>
    <row r="5557" spans="3:11">
      <c r="C5557" s="11"/>
      <c r="K5557" s="11"/>
    </row>
    <row r="5558" spans="3:11">
      <c r="C5558" s="11"/>
      <c r="K5558" s="11"/>
    </row>
    <row r="5559" spans="3:11">
      <c r="C5559" s="11"/>
      <c r="K5559" s="11"/>
    </row>
    <row r="5560" spans="3:11">
      <c r="C5560" s="11"/>
      <c r="K5560" s="11"/>
    </row>
    <row r="5561" spans="3:11">
      <c r="C5561" s="11"/>
      <c r="K5561" s="11"/>
    </row>
    <row r="5562" spans="3:11">
      <c r="C5562" s="11"/>
      <c r="K5562" s="11"/>
    </row>
    <row r="5563" spans="3:11">
      <c r="C5563" s="11"/>
      <c r="K5563" s="11"/>
    </row>
    <row r="5564" spans="3:11">
      <c r="C5564" s="11"/>
      <c r="K5564" s="11"/>
    </row>
    <row r="5565" spans="3:11">
      <c r="C5565" s="11"/>
      <c r="K5565" s="11"/>
    </row>
    <row r="5566" spans="3:11">
      <c r="C5566" s="11"/>
      <c r="K5566" s="11"/>
    </row>
    <row r="5567" spans="3:11">
      <c r="C5567" s="11"/>
      <c r="K5567" s="11"/>
    </row>
    <row r="5568" spans="3:11">
      <c r="C5568" s="11"/>
      <c r="K5568" s="11"/>
    </row>
    <row r="5569" spans="3:11">
      <c r="C5569" s="11"/>
      <c r="K5569" s="11"/>
    </row>
    <row r="5570" spans="3:11">
      <c r="C5570" s="11"/>
      <c r="K5570" s="11"/>
    </row>
    <row r="5571" spans="3:11">
      <c r="C5571" s="11"/>
      <c r="K5571" s="11"/>
    </row>
    <row r="5572" spans="3:11">
      <c r="C5572" s="11"/>
      <c r="K5572" s="11"/>
    </row>
    <row r="5573" spans="3:11">
      <c r="C5573" s="11"/>
      <c r="K5573" s="11"/>
    </row>
    <row r="5574" spans="3:11">
      <c r="C5574" s="11"/>
      <c r="K5574" s="11"/>
    </row>
    <row r="5575" spans="3:11">
      <c r="C5575" s="11"/>
      <c r="K5575" s="11"/>
    </row>
    <row r="5576" spans="3:11">
      <c r="C5576" s="11"/>
      <c r="K5576" s="11"/>
    </row>
    <row r="5577" spans="3:11">
      <c r="C5577" s="11"/>
      <c r="K5577" s="11"/>
    </row>
    <row r="5578" spans="3:11">
      <c r="C5578" s="11"/>
      <c r="K5578" s="11"/>
    </row>
    <row r="5579" spans="3:11">
      <c r="C5579" s="11"/>
      <c r="K5579" s="11"/>
    </row>
    <row r="5580" spans="3:11">
      <c r="C5580" s="11"/>
      <c r="K5580" s="11"/>
    </row>
    <row r="5581" spans="3:11">
      <c r="C5581" s="11"/>
      <c r="K5581" s="11"/>
    </row>
    <row r="5582" spans="3:11">
      <c r="C5582" s="11"/>
      <c r="K5582" s="11"/>
    </row>
    <row r="5583" spans="3:11">
      <c r="C5583" s="11"/>
      <c r="K5583" s="11"/>
    </row>
    <row r="5584" spans="3:11">
      <c r="C5584" s="11"/>
      <c r="K5584" s="11"/>
    </row>
    <row r="5585" spans="3:11">
      <c r="C5585" s="11"/>
      <c r="K5585" s="11"/>
    </row>
    <row r="5586" spans="3:11">
      <c r="C5586" s="11"/>
      <c r="K5586" s="11"/>
    </row>
    <row r="5587" spans="3:11">
      <c r="C5587" s="11"/>
      <c r="K5587" s="11"/>
    </row>
    <row r="5588" spans="3:11">
      <c r="C5588" s="11"/>
      <c r="K5588" s="11"/>
    </row>
    <row r="5589" spans="3:11">
      <c r="C5589" s="11"/>
      <c r="K5589" s="11"/>
    </row>
    <row r="5590" spans="3:11">
      <c r="C5590" s="11"/>
      <c r="K5590" s="11"/>
    </row>
    <row r="5591" spans="3:11">
      <c r="C5591" s="11"/>
      <c r="K5591" s="11"/>
    </row>
    <row r="5592" spans="3:11">
      <c r="C5592" s="11"/>
      <c r="K5592" s="11"/>
    </row>
    <row r="5593" spans="3:11">
      <c r="C5593" s="11"/>
      <c r="K5593" s="11"/>
    </row>
    <row r="5594" spans="3:11">
      <c r="C5594" s="11"/>
      <c r="K5594" s="11"/>
    </row>
    <row r="5595" spans="3:11">
      <c r="C5595" s="11"/>
      <c r="K5595" s="11"/>
    </row>
    <row r="5596" spans="3:11">
      <c r="C5596" s="11"/>
      <c r="K5596" s="11"/>
    </row>
    <row r="5597" spans="3:11">
      <c r="C5597" s="11"/>
      <c r="K5597" s="11"/>
    </row>
    <row r="5598" spans="3:11">
      <c r="C5598" s="11"/>
      <c r="K5598" s="11"/>
    </row>
    <row r="5599" spans="3:11">
      <c r="C5599" s="11"/>
      <c r="K5599" s="11"/>
    </row>
    <row r="5600" spans="3:11">
      <c r="C5600" s="11"/>
      <c r="K5600" s="11"/>
    </row>
    <row r="5601" spans="3:11">
      <c r="C5601" s="11"/>
      <c r="K5601" s="11"/>
    </row>
    <row r="5602" spans="3:11">
      <c r="C5602" s="11"/>
      <c r="K5602" s="11"/>
    </row>
    <row r="5603" spans="3:11">
      <c r="C5603" s="11"/>
      <c r="K5603" s="11"/>
    </row>
    <row r="5604" spans="3:11">
      <c r="C5604" s="11"/>
      <c r="K5604" s="11"/>
    </row>
    <row r="5605" spans="3:11">
      <c r="C5605" s="11"/>
      <c r="K5605" s="11"/>
    </row>
    <row r="5606" spans="3:11">
      <c r="C5606" s="11"/>
      <c r="K5606" s="11"/>
    </row>
    <row r="5607" spans="3:11">
      <c r="C5607" s="11"/>
      <c r="K5607" s="11"/>
    </row>
    <row r="5608" spans="3:11">
      <c r="C5608" s="11"/>
      <c r="K5608" s="11"/>
    </row>
    <row r="5609" spans="3:11">
      <c r="C5609" s="11"/>
      <c r="K5609" s="11"/>
    </row>
    <row r="5610" spans="3:11">
      <c r="C5610" s="11"/>
      <c r="K5610" s="11"/>
    </row>
    <row r="5611" spans="3:11">
      <c r="C5611" s="11"/>
      <c r="K5611" s="11"/>
    </row>
    <row r="5612" spans="3:11">
      <c r="C5612" s="11"/>
      <c r="K5612" s="11"/>
    </row>
    <row r="5613" spans="3:11">
      <c r="C5613" s="11"/>
      <c r="K5613" s="11"/>
    </row>
    <row r="5614" spans="3:11">
      <c r="C5614" s="11"/>
      <c r="K5614" s="11"/>
    </row>
    <row r="5615" spans="3:11">
      <c r="C5615" s="11"/>
      <c r="K5615" s="11"/>
    </row>
    <row r="5616" spans="3:11">
      <c r="C5616" s="11"/>
      <c r="K5616" s="11"/>
    </row>
    <row r="5617" spans="3:11">
      <c r="C5617" s="11"/>
      <c r="K5617" s="11"/>
    </row>
    <row r="5618" spans="3:11">
      <c r="C5618" s="11"/>
      <c r="K5618" s="11"/>
    </row>
    <row r="5619" spans="3:11">
      <c r="C5619" s="11"/>
      <c r="K5619" s="11"/>
    </row>
    <row r="5620" spans="3:11">
      <c r="C5620" s="11"/>
      <c r="K5620" s="11"/>
    </row>
    <row r="5621" spans="3:11">
      <c r="C5621" s="11"/>
      <c r="K5621" s="11"/>
    </row>
    <row r="5622" spans="3:11">
      <c r="C5622" s="11"/>
      <c r="K5622" s="11"/>
    </row>
    <row r="5623" spans="3:11">
      <c r="C5623" s="11"/>
      <c r="K5623" s="11"/>
    </row>
    <row r="5624" spans="3:11">
      <c r="C5624" s="11"/>
      <c r="K5624" s="11"/>
    </row>
    <row r="5625" spans="3:11">
      <c r="C5625" s="11"/>
      <c r="K5625" s="11"/>
    </row>
    <row r="5626" spans="3:11">
      <c r="C5626" s="11"/>
      <c r="K5626" s="11"/>
    </row>
    <row r="5627" spans="3:11">
      <c r="C5627" s="11"/>
      <c r="K5627" s="11"/>
    </row>
    <row r="5628" spans="3:11">
      <c r="C5628" s="11"/>
      <c r="K5628" s="11"/>
    </row>
    <row r="5629" spans="3:11">
      <c r="C5629" s="11"/>
      <c r="K5629" s="11"/>
    </row>
    <row r="5630" spans="3:11">
      <c r="C5630" s="11"/>
      <c r="K5630" s="11"/>
    </row>
    <row r="5631" spans="3:11">
      <c r="C5631" s="11"/>
      <c r="K5631" s="11"/>
    </row>
    <row r="5632" spans="3:11">
      <c r="C5632" s="11"/>
      <c r="K5632" s="11"/>
    </row>
    <row r="5633" spans="3:11">
      <c r="C5633" s="11"/>
      <c r="K5633" s="11"/>
    </row>
    <row r="5634" spans="3:11">
      <c r="C5634" s="11"/>
      <c r="K5634" s="11"/>
    </row>
    <row r="5635" spans="3:11">
      <c r="C5635" s="11"/>
      <c r="K5635" s="11"/>
    </row>
    <row r="5636" spans="3:11">
      <c r="C5636" s="11"/>
      <c r="K5636" s="11"/>
    </row>
    <row r="5637" spans="3:11">
      <c r="C5637" s="11"/>
      <c r="K5637" s="11"/>
    </row>
    <row r="5638" spans="3:11">
      <c r="C5638" s="11"/>
      <c r="K5638" s="11"/>
    </row>
    <row r="5639" spans="3:11">
      <c r="C5639" s="11"/>
      <c r="K5639" s="11"/>
    </row>
    <row r="5640" spans="3:11">
      <c r="C5640" s="11"/>
      <c r="K5640" s="11"/>
    </row>
    <row r="5641" spans="3:11">
      <c r="C5641" s="11"/>
      <c r="K5641" s="11"/>
    </row>
    <row r="5642" spans="3:11">
      <c r="C5642" s="11"/>
      <c r="K5642" s="11"/>
    </row>
    <row r="5643" spans="3:11">
      <c r="C5643" s="11"/>
      <c r="K5643" s="11"/>
    </row>
    <row r="5644" spans="3:11">
      <c r="C5644" s="11"/>
      <c r="K5644" s="11"/>
    </row>
    <row r="5645" spans="3:11">
      <c r="C5645" s="11"/>
      <c r="K5645" s="11"/>
    </row>
    <row r="5646" spans="3:11">
      <c r="C5646" s="11"/>
      <c r="K5646" s="11"/>
    </row>
    <row r="5647" spans="3:11">
      <c r="C5647" s="11"/>
      <c r="K5647" s="11"/>
    </row>
    <row r="5648" spans="3:11">
      <c r="C5648" s="11"/>
      <c r="K5648" s="11"/>
    </row>
    <row r="5649" spans="3:11">
      <c r="C5649" s="11"/>
      <c r="K5649" s="11"/>
    </row>
    <row r="5650" spans="3:11">
      <c r="C5650" s="11"/>
      <c r="K5650" s="11"/>
    </row>
    <row r="5651" spans="3:11">
      <c r="C5651" s="11"/>
      <c r="K5651" s="11"/>
    </row>
    <row r="5652" spans="3:11">
      <c r="C5652" s="11"/>
      <c r="K5652" s="11"/>
    </row>
    <row r="5653" spans="3:11">
      <c r="C5653" s="11"/>
      <c r="K5653" s="11"/>
    </row>
    <row r="5654" spans="3:11">
      <c r="C5654" s="11"/>
      <c r="K5654" s="11"/>
    </row>
    <row r="5655" spans="3:11">
      <c r="C5655" s="11"/>
      <c r="K5655" s="11"/>
    </row>
    <row r="5656" spans="3:11">
      <c r="C5656" s="11"/>
      <c r="K5656" s="11"/>
    </row>
    <row r="5657" spans="3:11">
      <c r="C5657" s="11"/>
      <c r="K5657" s="11"/>
    </row>
    <row r="5658" spans="3:11">
      <c r="C5658" s="11"/>
      <c r="K5658" s="11"/>
    </row>
    <row r="5659" spans="3:11">
      <c r="C5659" s="11"/>
      <c r="K5659" s="11"/>
    </row>
    <row r="5660" spans="3:11">
      <c r="C5660" s="11"/>
      <c r="K5660" s="11"/>
    </row>
    <row r="5661" spans="3:11">
      <c r="C5661" s="11"/>
      <c r="K5661" s="11"/>
    </row>
    <row r="5662" spans="3:11">
      <c r="C5662" s="11"/>
      <c r="K5662" s="11"/>
    </row>
    <row r="5663" spans="3:11">
      <c r="C5663" s="11"/>
      <c r="K5663" s="11"/>
    </row>
    <row r="5664" spans="3:11">
      <c r="C5664" s="11"/>
      <c r="K5664" s="11"/>
    </row>
    <row r="5665" spans="3:11">
      <c r="C5665" s="11"/>
      <c r="K5665" s="11"/>
    </row>
    <row r="5666" spans="3:11">
      <c r="C5666" s="11"/>
      <c r="K5666" s="11"/>
    </row>
    <row r="5667" spans="3:11">
      <c r="C5667" s="11"/>
      <c r="K5667" s="11"/>
    </row>
    <row r="5668" spans="3:11">
      <c r="C5668" s="11"/>
      <c r="K5668" s="11"/>
    </row>
    <row r="5669" spans="3:11">
      <c r="C5669" s="11"/>
      <c r="K5669" s="11"/>
    </row>
    <row r="5670" spans="3:11">
      <c r="C5670" s="11"/>
      <c r="K5670" s="11"/>
    </row>
    <row r="5671" spans="3:11">
      <c r="C5671" s="11"/>
      <c r="K5671" s="11"/>
    </row>
    <row r="5672" spans="3:11">
      <c r="C5672" s="11"/>
      <c r="K5672" s="11"/>
    </row>
    <row r="5673" spans="3:11">
      <c r="C5673" s="11"/>
      <c r="K5673" s="11"/>
    </row>
    <row r="5674" spans="3:11">
      <c r="C5674" s="11"/>
      <c r="K5674" s="11"/>
    </row>
    <row r="5675" spans="3:11">
      <c r="C5675" s="11"/>
      <c r="K5675" s="11"/>
    </row>
    <row r="5676" spans="3:11">
      <c r="C5676" s="11"/>
      <c r="K5676" s="11"/>
    </row>
    <row r="5677" spans="3:11">
      <c r="C5677" s="11"/>
      <c r="K5677" s="11"/>
    </row>
    <row r="5678" spans="3:11">
      <c r="C5678" s="11"/>
      <c r="K5678" s="11"/>
    </row>
    <row r="5679" spans="3:11">
      <c r="C5679" s="11"/>
      <c r="K5679" s="11"/>
    </row>
    <row r="5680" spans="3:11">
      <c r="C5680" s="11"/>
      <c r="K5680" s="11"/>
    </row>
    <row r="5681" spans="3:11">
      <c r="C5681" s="11"/>
      <c r="K5681" s="11"/>
    </row>
    <row r="5682" spans="3:11">
      <c r="C5682" s="11"/>
      <c r="K5682" s="11"/>
    </row>
    <row r="5683" spans="3:11">
      <c r="C5683" s="11"/>
      <c r="K5683" s="11"/>
    </row>
    <row r="5684" spans="3:11">
      <c r="C5684" s="11"/>
      <c r="K5684" s="11"/>
    </row>
    <row r="5685" spans="3:11">
      <c r="C5685" s="11"/>
      <c r="K5685" s="11"/>
    </row>
    <row r="5686" spans="3:11">
      <c r="C5686" s="11"/>
      <c r="K5686" s="11"/>
    </row>
    <row r="5687" spans="3:11">
      <c r="C5687" s="11"/>
      <c r="K5687" s="11"/>
    </row>
    <row r="5688" spans="3:11">
      <c r="C5688" s="11"/>
      <c r="K5688" s="11"/>
    </row>
    <row r="5689" spans="3:11">
      <c r="C5689" s="11"/>
      <c r="K5689" s="11"/>
    </row>
    <row r="5690" spans="3:11">
      <c r="C5690" s="11"/>
      <c r="K5690" s="11"/>
    </row>
    <row r="5691" spans="3:11">
      <c r="C5691" s="11"/>
      <c r="K5691" s="11"/>
    </row>
    <row r="5692" spans="3:11">
      <c r="C5692" s="11"/>
      <c r="K5692" s="11"/>
    </row>
    <row r="5693" spans="3:11">
      <c r="C5693" s="11"/>
      <c r="K5693" s="11"/>
    </row>
    <row r="5694" spans="3:11">
      <c r="C5694" s="11"/>
      <c r="K5694" s="11"/>
    </row>
    <row r="5695" spans="3:11">
      <c r="C5695" s="11"/>
      <c r="K5695" s="11"/>
    </row>
    <row r="5696" spans="3:11">
      <c r="C5696" s="11"/>
      <c r="K5696" s="11"/>
    </row>
    <row r="5697" spans="3:11">
      <c r="C5697" s="11"/>
      <c r="K5697" s="11"/>
    </row>
    <row r="5698" spans="3:11">
      <c r="C5698" s="11"/>
      <c r="K5698" s="11"/>
    </row>
    <row r="5699" spans="3:11">
      <c r="C5699" s="11"/>
      <c r="K5699" s="11"/>
    </row>
    <row r="5700" spans="3:11">
      <c r="C5700" s="11"/>
      <c r="K5700" s="11"/>
    </row>
    <row r="5701" spans="3:11">
      <c r="C5701" s="11"/>
      <c r="K5701" s="11"/>
    </row>
    <row r="5702" spans="3:11">
      <c r="C5702" s="11"/>
      <c r="K5702" s="11"/>
    </row>
    <row r="5703" spans="3:11">
      <c r="C5703" s="11"/>
      <c r="K5703" s="11"/>
    </row>
    <row r="5704" spans="3:11">
      <c r="C5704" s="11"/>
      <c r="K5704" s="11"/>
    </row>
    <row r="5705" spans="3:11">
      <c r="C5705" s="11"/>
      <c r="K5705" s="11"/>
    </row>
    <row r="5706" spans="3:11">
      <c r="C5706" s="11"/>
      <c r="K5706" s="11"/>
    </row>
    <row r="5707" spans="3:11">
      <c r="C5707" s="11"/>
      <c r="K5707" s="11"/>
    </row>
    <row r="5708" spans="3:11">
      <c r="C5708" s="11"/>
      <c r="K5708" s="11"/>
    </row>
    <row r="5709" spans="3:11">
      <c r="C5709" s="11"/>
      <c r="K5709" s="11"/>
    </row>
    <row r="5710" spans="3:11">
      <c r="C5710" s="11"/>
      <c r="K5710" s="11"/>
    </row>
    <row r="5711" spans="3:11">
      <c r="C5711" s="11"/>
      <c r="K5711" s="11"/>
    </row>
    <row r="5712" spans="3:11">
      <c r="C5712" s="11"/>
      <c r="K5712" s="11"/>
    </row>
    <row r="5713" spans="3:11">
      <c r="C5713" s="11"/>
      <c r="K5713" s="11"/>
    </row>
    <row r="5714" spans="3:11">
      <c r="C5714" s="11"/>
      <c r="K5714" s="11"/>
    </row>
    <row r="5715" spans="3:11">
      <c r="C5715" s="11"/>
      <c r="K5715" s="11"/>
    </row>
    <row r="5716" spans="3:11">
      <c r="C5716" s="11"/>
      <c r="K5716" s="11"/>
    </row>
    <row r="5717" spans="3:11">
      <c r="C5717" s="11"/>
      <c r="K5717" s="11"/>
    </row>
    <row r="5718" spans="3:11">
      <c r="C5718" s="11"/>
      <c r="K5718" s="11"/>
    </row>
    <row r="5719" spans="3:11">
      <c r="C5719" s="11"/>
      <c r="K5719" s="11"/>
    </row>
    <row r="5720" spans="3:11">
      <c r="C5720" s="11"/>
      <c r="K5720" s="11"/>
    </row>
    <row r="5721" spans="3:11">
      <c r="C5721" s="11"/>
      <c r="K5721" s="11"/>
    </row>
    <row r="5722" spans="3:11">
      <c r="C5722" s="11"/>
      <c r="K5722" s="11"/>
    </row>
    <row r="5723" spans="3:11">
      <c r="C5723" s="11"/>
      <c r="K5723" s="11"/>
    </row>
    <row r="5724" spans="3:11">
      <c r="C5724" s="11"/>
      <c r="K5724" s="11"/>
    </row>
    <row r="5725" spans="3:11">
      <c r="C5725" s="11"/>
      <c r="K5725" s="11"/>
    </row>
    <row r="5726" spans="3:11">
      <c r="C5726" s="11"/>
      <c r="K5726" s="11"/>
    </row>
    <row r="5727" spans="3:11">
      <c r="C5727" s="11"/>
      <c r="K5727" s="11"/>
    </row>
    <row r="5728" spans="3:11">
      <c r="C5728" s="11"/>
      <c r="K5728" s="11"/>
    </row>
    <row r="5729" spans="3:11">
      <c r="C5729" s="11"/>
      <c r="K5729" s="11"/>
    </row>
    <row r="5730" spans="3:11">
      <c r="C5730" s="11"/>
      <c r="K5730" s="11"/>
    </row>
    <row r="5731" spans="3:11">
      <c r="C5731" s="11"/>
      <c r="K5731" s="11"/>
    </row>
    <row r="5732" spans="3:11">
      <c r="C5732" s="11"/>
      <c r="K5732" s="11"/>
    </row>
    <row r="5733" spans="3:11">
      <c r="C5733" s="11"/>
      <c r="K5733" s="11"/>
    </row>
    <row r="5734" spans="3:11">
      <c r="C5734" s="11"/>
      <c r="K5734" s="11"/>
    </row>
    <row r="5735" spans="3:11">
      <c r="C5735" s="11"/>
      <c r="K5735" s="11"/>
    </row>
    <row r="5736" spans="3:11">
      <c r="C5736" s="11"/>
      <c r="K5736" s="11"/>
    </row>
    <row r="5737" spans="3:11">
      <c r="C5737" s="11"/>
      <c r="K5737" s="11"/>
    </row>
    <row r="5738" spans="3:11">
      <c r="C5738" s="11"/>
      <c r="K5738" s="11"/>
    </row>
    <row r="5739" spans="3:11">
      <c r="C5739" s="11"/>
      <c r="K5739" s="11"/>
    </row>
    <row r="5740" spans="3:11">
      <c r="C5740" s="11"/>
      <c r="K5740" s="11"/>
    </row>
    <row r="5741" spans="3:11">
      <c r="C5741" s="11"/>
      <c r="K5741" s="11"/>
    </row>
    <row r="5742" spans="3:11">
      <c r="C5742" s="11"/>
      <c r="K5742" s="11"/>
    </row>
    <row r="5743" spans="3:11">
      <c r="C5743" s="11"/>
      <c r="K5743" s="11"/>
    </row>
    <row r="5744" spans="3:11">
      <c r="C5744" s="11"/>
      <c r="K5744" s="11"/>
    </row>
    <row r="5745" spans="3:11">
      <c r="C5745" s="11"/>
      <c r="K5745" s="11"/>
    </row>
    <row r="5746" spans="3:11">
      <c r="C5746" s="11"/>
      <c r="K5746" s="11"/>
    </row>
    <row r="5747" spans="3:11">
      <c r="C5747" s="11"/>
      <c r="K5747" s="11"/>
    </row>
    <row r="5748" spans="3:11">
      <c r="C5748" s="11"/>
      <c r="K5748" s="11"/>
    </row>
    <row r="5749" spans="3:11">
      <c r="C5749" s="11"/>
      <c r="K5749" s="11"/>
    </row>
    <row r="5750" spans="3:11">
      <c r="C5750" s="11"/>
      <c r="K5750" s="11"/>
    </row>
    <row r="5751" spans="3:11">
      <c r="C5751" s="11"/>
      <c r="K5751" s="11"/>
    </row>
    <row r="5752" spans="3:11">
      <c r="C5752" s="11"/>
      <c r="K5752" s="11"/>
    </row>
    <row r="5753" spans="3:11">
      <c r="C5753" s="11"/>
      <c r="K5753" s="11"/>
    </row>
    <row r="5754" spans="3:11">
      <c r="C5754" s="11"/>
      <c r="K5754" s="11"/>
    </row>
    <row r="5755" spans="3:11">
      <c r="C5755" s="11"/>
      <c r="K5755" s="11"/>
    </row>
    <row r="5756" spans="3:11">
      <c r="C5756" s="11"/>
      <c r="K5756" s="11"/>
    </row>
    <row r="5757" spans="3:11">
      <c r="C5757" s="11"/>
      <c r="K5757" s="11"/>
    </row>
    <row r="5758" spans="3:11">
      <c r="C5758" s="11"/>
      <c r="K5758" s="11"/>
    </row>
    <row r="5759" spans="3:11">
      <c r="C5759" s="11"/>
      <c r="K5759" s="11"/>
    </row>
    <row r="5760" spans="3:11">
      <c r="C5760" s="11"/>
      <c r="K5760" s="11"/>
    </row>
    <row r="5761" spans="3:11">
      <c r="C5761" s="11"/>
      <c r="K5761" s="11"/>
    </row>
    <row r="5762" spans="3:11">
      <c r="C5762" s="11"/>
      <c r="K5762" s="11"/>
    </row>
    <row r="5763" spans="3:11">
      <c r="C5763" s="11"/>
      <c r="K5763" s="11"/>
    </row>
    <row r="5764" spans="3:11">
      <c r="C5764" s="11"/>
      <c r="K5764" s="11"/>
    </row>
    <row r="5765" spans="3:11">
      <c r="C5765" s="11"/>
      <c r="K5765" s="11"/>
    </row>
    <row r="5766" spans="3:11">
      <c r="C5766" s="11"/>
      <c r="K5766" s="11"/>
    </row>
    <row r="5767" spans="3:11">
      <c r="C5767" s="11"/>
      <c r="K5767" s="11"/>
    </row>
    <row r="5768" spans="3:11">
      <c r="C5768" s="11"/>
      <c r="K5768" s="11"/>
    </row>
    <row r="5769" spans="3:11">
      <c r="C5769" s="11"/>
      <c r="K5769" s="11"/>
    </row>
    <row r="5770" spans="3:11">
      <c r="C5770" s="11"/>
      <c r="K5770" s="11"/>
    </row>
    <row r="5771" spans="3:11">
      <c r="C5771" s="11"/>
      <c r="K5771" s="11"/>
    </row>
    <row r="5772" spans="3:11">
      <c r="C5772" s="11"/>
      <c r="K5772" s="11"/>
    </row>
    <row r="5773" spans="3:11">
      <c r="C5773" s="11"/>
      <c r="K5773" s="11"/>
    </row>
    <row r="5774" spans="3:11">
      <c r="C5774" s="11"/>
      <c r="K5774" s="11"/>
    </row>
    <row r="5775" spans="3:11">
      <c r="C5775" s="11"/>
      <c r="K5775" s="11"/>
    </row>
    <row r="5776" spans="3:11">
      <c r="C5776" s="11"/>
      <c r="K5776" s="11"/>
    </row>
    <row r="5777" spans="3:11">
      <c r="C5777" s="11"/>
      <c r="K5777" s="11"/>
    </row>
    <row r="5778" spans="3:11">
      <c r="C5778" s="11"/>
      <c r="K5778" s="11"/>
    </row>
    <row r="5779" spans="3:11">
      <c r="C5779" s="11"/>
      <c r="K5779" s="11"/>
    </row>
    <row r="5780" spans="3:11">
      <c r="C5780" s="11"/>
      <c r="K5780" s="11"/>
    </row>
    <row r="5781" spans="3:11">
      <c r="C5781" s="11"/>
      <c r="K5781" s="11"/>
    </row>
    <row r="5782" spans="3:11">
      <c r="C5782" s="11"/>
      <c r="K5782" s="11"/>
    </row>
    <row r="5783" spans="3:11">
      <c r="C5783" s="11"/>
      <c r="K5783" s="11"/>
    </row>
    <row r="5784" spans="3:11">
      <c r="C5784" s="11"/>
      <c r="K5784" s="11"/>
    </row>
    <row r="5785" spans="3:11">
      <c r="C5785" s="11"/>
      <c r="K5785" s="11"/>
    </row>
    <row r="5786" spans="3:11">
      <c r="C5786" s="11"/>
      <c r="K5786" s="11"/>
    </row>
    <row r="5787" spans="3:11">
      <c r="C5787" s="11"/>
      <c r="K5787" s="11"/>
    </row>
    <row r="5788" spans="3:11">
      <c r="C5788" s="11"/>
      <c r="K5788" s="11"/>
    </row>
    <row r="5789" spans="3:11">
      <c r="C5789" s="11"/>
      <c r="K5789" s="11"/>
    </row>
    <row r="5790" spans="3:11">
      <c r="C5790" s="11"/>
      <c r="K5790" s="11"/>
    </row>
    <row r="5791" spans="3:11">
      <c r="C5791" s="11"/>
      <c r="K5791" s="11"/>
    </row>
    <row r="5792" spans="3:11">
      <c r="C5792" s="11"/>
      <c r="K5792" s="11"/>
    </row>
    <row r="5793" spans="3:11">
      <c r="C5793" s="11"/>
      <c r="K5793" s="11"/>
    </row>
    <row r="5794" spans="3:11">
      <c r="C5794" s="11"/>
      <c r="K5794" s="11"/>
    </row>
    <row r="5795" spans="3:11">
      <c r="C5795" s="11"/>
      <c r="K5795" s="11"/>
    </row>
    <row r="5796" spans="3:11">
      <c r="C5796" s="11"/>
      <c r="K5796" s="11"/>
    </row>
    <row r="5797" spans="3:11">
      <c r="C5797" s="11"/>
      <c r="K5797" s="11"/>
    </row>
    <row r="5798" spans="3:11">
      <c r="C5798" s="11"/>
      <c r="K5798" s="11"/>
    </row>
    <row r="5799" spans="3:11">
      <c r="C5799" s="11"/>
      <c r="K5799" s="11"/>
    </row>
    <row r="5800" spans="3:11">
      <c r="C5800" s="11"/>
      <c r="K5800" s="11"/>
    </row>
    <row r="5801" spans="3:11">
      <c r="C5801" s="11"/>
      <c r="K5801" s="11"/>
    </row>
    <row r="5802" spans="3:11">
      <c r="C5802" s="11"/>
      <c r="K5802" s="11"/>
    </row>
    <row r="5803" spans="3:11">
      <c r="C5803" s="11"/>
      <c r="K5803" s="11"/>
    </row>
    <row r="5804" spans="3:11">
      <c r="C5804" s="11"/>
      <c r="K5804" s="11"/>
    </row>
    <row r="5805" spans="3:11">
      <c r="C5805" s="11"/>
      <c r="K5805" s="11"/>
    </row>
    <row r="5806" spans="3:11">
      <c r="C5806" s="11"/>
      <c r="K5806" s="11"/>
    </row>
    <row r="5807" spans="3:11">
      <c r="C5807" s="11"/>
      <c r="K5807" s="11"/>
    </row>
    <row r="5808" spans="3:11">
      <c r="C5808" s="11"/>
      <c r="K5808" s="11"/>
    </row>
    <row r="5809" spans="3:11">
      <c r="C5809" s="11"/>
      <c r="K5809" s="11"/>
    </row>
    <row r="5810" spans="3:11">
      <c r="C5810" s="11"/>
      <c r="K5810" s="11"/>
    </row>
    <row r="5811" spans="3:11">
      <c r="C5811" s="11"/>
      <c r="K5811" s="11"/>
    </row>
    <row r="5812" spans="3:11">
      <c r="C5812" s="11"/>
      <c r="K5812" s="11"/>
    </row>
    <row r="5813" spans="3:11">
      <c r="C5813" s="11"/>
      <c r="K5813" s="11"/>
    </row>
    <row r="5814" spans="3:11">
      <c r="C5814" s="11"/>
      <c r="K5814" s="11"/>
    </row>
    <row r="5815" spans="3:11">
      <c r="C5815" s="11"/>
      <c r="K5815" s="11"/>
    </row>
    <row r="5816" spans="3:11">
      <c r="C5816" s="11"/>
      <c r="K5816" s="11"/>
    </row>
    <row r="5817" spans="3:11">
      <c r="C5817" s="11"/>
      <c r="K5817" s="11"/>
    </row>
    <row r="5818" spans="3:11">
      <c r="C5818" s="11"/>
      <c r="K5818" s="11"/>
    </row>
    <row r="5819" spans="3:11">
      <c r="C5819" s="11"/>
      <c r="K5819" s="11"/>
    </row>
    <row r="5820" spans="3:11">
      <c r="C5820" s="11"/>
      <c r="K5820" s="11"/>
    </row>
    <row r="5821" spans="3:11">
      <c r="C5821" s="11"/>
      <c r="K5821" s="11"/>
    </row>
    <row r="5822" spans="3:11">
      <c r="C5822" s="11"/>
      <c r="K5822" s="11"/>
    </row>
    <row r="5823" spans="3:11">
      <c r="C5823" s="11"/>
      <c r="K5823" s="11"/>
    </row>
    <row r="5824" spans="3:11">
      <c r="C5824" s="11"/>
      <c r="K5824" s="11"/>
    </row>
    <row r="5825" spans="3:11">
      <c r="C5825" s="11"/>
      <c r="K5825" s="11"/>
    </row>
    <row r="5826" spans="3:11">
      <c r="C5826" s="11"/>
      <c r="K5826" s="11"/>
    </row>
    <row r="5827" spans="3:11">
      <c r="C5827" s="11"/>
      <c r="K5827" s="11"/>
    </row>
    <row r="5828" spans="3:11">
      <c r="C5828" s="11"/>
      <c r="K5828" s="11"/>
    </row>
    <row r="5829" spans="3:11">
      <c r="C5829" s="11"/>
      <c r="K5829" s="11"/>
    </row>
    <row r="5830" spans="3:11">
      <c r="C5830" s="11"/>
      <c r="K5830" s="11"/>
    </row>
    <row r="5831" spans="3:11">
      <c r="C5831" s="11"/>
      <c r="K5831" s="11"/>
    </row>
    <row r="5832" spans="3:11">
      <c r="C5832" s="11"/>
      <c r="K5832" s="11"/>
    </row>
    <row r="5833" spans="3:11">
      <c r="C5833" s="11"/>
      <c r="K5833" s="11"/>
    </row>
    <row r="5834" spans="3:11">
      <c r="C5834" s="11"/>
      <c r="K5834" s="11"/>
    </row>
    <row r="5835" spans="3:11">
      <c r="C5835" s="11"/>
      <c r="K5835" s="11"/>
    </row>
    <row r="5836" spans="3:11">
      <c r="C5836" s="11"/>
      <c r="K5836" s="11"/>
    </row>
    <row r="5837" spans="3:11">
      <c r="C5837" s="11"/>
      <c r="K5837" s="11"/>
    </row>
    <row r="5838" spans="3:11">
      <c r="C5838" s="11"/>
      <c r="K5838" s="11"/>
    </row>
    <row r="5839" spans="3:11">
      <c r="C5839" s="11"/>
      <c r="K5839" s="11"/>
    </row>
    <row r="5840" spans="3:11">
      <c r="C5840" s="11"/>
      <c r="K5840" s="11"/>
    </row>
    <row r="5841" spans="3:11">
      <c r="C5841" s="11"/>
      <c r="K5841" s="11"/>
    </row>
    <row r="5842" spans="3:11">
      <c r="C5842" s="11"/>
      <c r="K5842" s="11"/>
    </row>
    <row r="5843" spans="3:11">
      <c r="C5843" s="11"/>
      <c r="K5843" s="11"/>
    </row>
    <row r="5844" spans="3:11">
      <c r="C5844" s="11"/>
      <c r="K5844" s="11"/>
    </row>
    <row r="5845" spans="3:11">
      <c r="C5845" s="11"/>
      <c r="K5845" s="11"/>
    </row>
    <row r="5846" spans="3:11">
      <c r="C5846" s="11"/>
      <c r="K5846" s="11"/>
    </row>
    <row r="5847" spans="3:11">
      <c r="C5847" s="11"/>
      <c r="K5847" s="11"/>
    </row>
    <row r="5848" spans="3:11">
      <c r="C5848" s="11"/>
      <c r="K5848" s="11"/>
    </row>
    <row r="5849" spans="3:11">
      <c r="C5849" s="11"/>
      <c r="K5849" s="11"/>
    </row>
    <row r="5850" spans="3:11">
      <c r="C5850" s="11"/>
      <c r="K5850" s="11"/>
    </row>
    <row r="5851" spans="3:11">
      <c r="C5851" s="11"/>
      <c r="K5851" s="11"/>
    </row>
    <row r="5852" spans="3:11">
      <c r="C5852" s="11"/>
      <c r="K5852" s="11"/>
    </row>
    <row r="5853" spans="3:11">
      <c r="C5853" s="11"/>
      <c r="K5853" s="11"/>
    </row>
    <row r="5854" spans="3:11">
      <c r="C5854" s="11"/>
      <c r="K5854" s="11"/>
    </row>
    <row r="5855" spans="3:11">
      <c r="C5855" s="11"/>
      <c r="K5855" s="11"/>
    </row>
    <row r="5856" spans="3:11">
      <c r="C5856" s="11"/>
      <c r="K5856" s="11"/>
    </row>
    <row r="5857" spans="3:11">
      <c r="C5857" s="11"/>
      <c r="K5857" s="11"/>
    </row>
    <row r="5858" spans="3:11">
      <c r="C5858" s="11"/>
      <c r="K5858" s="11"/>
    </row>
    <row r="5859" spans="3:11">
      <c r="C5859" s="11"/>
      <c r="K5859" s="11"/>
    </row>
    <row r="5860" spans="3:11">
      <c r="C5860" s="11"/>
      <c r="K5860" s="11"/>
    </row>
    <row r="5861" spans="3:11">
      <c r="C5861" s="11"/>
      <c r="K5861" s="11"/>
    </row>
    <row r="5862" spans="3:11">
      <c r="C5862" s="11"/>
      <c r="K5862" s="11"/>
    </row>
    <row r="5863" spans="3:11">
      <c r="C5863" s="11"/>
      <c r="K5863" s="11"/>
    </row>
    <row r="5864" spans="3:11">
      <c r="C5864" s="11"/>
      <c r="K5864" s="11"/>
    </row>
    <row r="5865" spans="3:11">
      <c r="C5865" s="11"/>
      <c r="K5865" s="11"/>
    </row>
    <row r="5866" spans="3:11">
      <c r="C5866" s="11"/>
      <c r="K5866" s="11"/>
    </row>
    <row r="5867" spans="3:11">
      <c r="C5867" s="11"/>
      <c r="K5867" s="11"/>
    </row>
    <row r="5868" spans="3:11">
      <c r="C5868" s="11"/>
      <c r="K5868" s="11"/>
    </row>
    <row r="5869" spans="3:11">
      <c r="C5869" s="11"/>
      <c r="K5869" s="11"/>
    </row>
    <row r="5870" spans="3:11">
      <c r="C5870" s="11"/>
      <c r="K5870" s="11"/>
    </row>
    <row r="5871" spans="3:11">
      <c r="C5871" s="11"/>
      <c r="K5871" s="11"/>
    </row>
    <row r="5872" spans="3:11">
      <c r="C5872" s="11"/>
      <c r="K5872" s="11"/>
    </row>
    <row r="5873" spans="3:11">
      <c r="C5873" s="11"/>
      <c r="K5873" s="11"/>
    </row>
    <row r="5874" spans="3:11">
      <c r="C5874" s="11"/>
      <c r="K5874" s="11"/>
    </row>
    <row r="5875" spans="3:11">
      <c r="C5875" s="11"/>
      <c r="K5875" s="11"/>
    </row>
    <row r="5876" spans="3:11">
      <c r="C5876" s="11"/>
      <c r="K5876" s="11"/>
    </row>
    <row r="5877" spans="3:11">
      <c r="C5877" s="11"/>
      <c r="K5877" s="11"/>
    </row>
    <row r="5878" spans="3:11">
      <c r="C5878" s="11"/>
      <c r="K5878" s="11"/>
    </row>
    <row r="5879" spans="3:11">
      <c r="C5879" s="11"/>
      <c r="K5879" s="11"/>
    </row>
    <row r="5880" spans="3:11">
      <c r="C5880" s="11"/>
      <c r="K5880" s="11"/>
    </row>
    <row r="5881" spans="3:11">
      <c r="C5881" s="11"/>
      <c r="K5881" s="11"/>
    </row>
    <row r="5882" spans="3:11">
      <c r="C5882" s="11"/>
      <c r="K5882" s="11"/>
    </row>
    <row r="5883" spans="3:11">
      <c r="C5883" s="11"/>
      <c r="K5883" s="11"/>
    </row>
    <row r="5884" spans="3:11">
      <c r="C5884" s="11"/>
      <c r="K5884" s="11"/>
    </row>
    <row r="5885" spans="3:11">
      <c r="C5885" s="11"/>
      <c r="K5885" s="11"/>
    </row>
    <row r="5886" spans="3:11">
      <c r="C5886" s="11"/>
      <c r="K5886" s="11"/>
    </row>
    <row r="5887" spans="3:11">
      <c r="C5887" s="11"/>
      <c r="K5887" s="11"/>
    </row>
    <row r="5888" spans="3:11">
      <c r="C5888" s="11"/>
      <c r="K5888" s="11"/>
    </row>
    <row r="5889" spans="3:11">
      <c r="C5889" s="11"/>
      <c r="K5889" s="11"/>
    </row>
    <row r="5890" spans="3:11">
      <c r="C5890" s="11"/>
      <c r="K5890" s="11"/>
    </row>
    <row r="5891" spans="3:11">
      <c r="C5891" s="11"/>
      <c r="K5891" s="11"/>
    </row>
    <row r="5892" spans="3:11">
      <c r="C5892" s="11"/>
      <c r="K5892" s="11"/>
    </row>
    <row r="5893" spans="3:11">
      <c r="C5893" s="11"/>
      <c r="K5893" s="11"/>
    </row>
    <row r="5894" spans="3:11">
      <c r="C5894" s="11"/>
      <c r="K5894" s="11"/>
    </row>
    <row r="5895" spans="3:11">
      <c r="C5895" s="11"/>
      <c r="K5895" s="11"/>
    </row>
    <row r="5896" spans="3:11">
      <c r="C5896" s="11"/>
      <c r="K5896" s="11"/>
    </row>
    <row r="5897" spans="3:11">
      <c r="C5897" s="11"/>
      <c r="K5897" s="11"/>
    </row>
    <row r="5898" spans="3:11">
      <c r="C5898" s="11"/>
      <c r="K5898" s="11"/>
    </row>
    <row r="5899" spans="3:11">
      <c r="C5899" s="11"/>
      <c r="K5899" s="11"/>
    </row>
    <row r="5900" spans="3:11">
      <c r="C5900" s="11"/>
      <c r="K5900" s="11"/>
    </row>
    <row r="5901" spans="3:11">
      <c r="C5901" s="11"/>
      <c r="K5901" s="11"/>
    </row>
    <row r="5902" spans="3:11">
      <c r="C5902" s="11"/>
      <c r="K5902" s="11"/>
    </row>
    <row r="5903" spans="3:11">
      <c r="C5903" s="11"/>
      <c r="K5903" s="11"/>
    </row>
    <row r="5904" spans="3:11">
      <c r="C5904" s="11"/>
      <c r="K5904" s="11"/>
    </row>
    <row r="5905" spans="3:11">
      <c r="C5905" s="11"/>
      <c r="K5905" s="11"/>
    </row>
    <row r="5906" spans="3:11">
      <c r="C5906" s="11"/>
      <c r="K5906" s="11"/>
    </row>
    <row r="5907" spans="3:11">
      <c r="C5907" s="11"/>
      <c r="K5907" s="11"/>
    </row>
    <row r="5908" spans="3:11">
      <c r="C5908" s="11"/>
      <c r="K5908" s="11"/>
    </row>
    <row r="5909" spans="3:11">
      <c r="C5909" s="11"/>
      <c r="K5909" s="11"/>
    </row>
    <row r="5910" spans="3:11">
      <c r="C5910" s="11"/>
      <c r="K5910" s="11"/>
    </row>
    <row r="5911" spans="3:11">
      <c r="C5911" s="11"/>
      <c r="K5911" s="11"/>
    </row>
    <row r="5912" spans="3:11">
      <c r="C5912" s="11"/>
      <c r="K5912" s="11"/>
    </row>
    <row r="5913" spans="3:11">
      <c r="C5913" s="11"/>
      <c r="K5913" s="11"/>
    </row>
    <row r="5914" spans="3:11">
      <c r="C5914" s="11"/>
      <c r="K5914" s="11"/>
    </row>
    <row r="5915" spans="3:11">
      <c r="C5915" s="11"/>
      <c r="K5915" s="11"/>
    </row>
    <row r="5916" spans="3:11">
      <c r="C5916" s="11"/>
      <c r="K5916" s="11"/>
    </row>
    <row r="5917" spans="3:11">
      <c r="C5917" s="11"/>
      <c r="K5917" s="11"/>
    </row>
    <row r="5918" spans="3:11">
      <c r="C5918" s="11"/>
      <c r="K5918" s="11"/>
    </row>
    <row r="5919" spans="3:11">
      <c r="C5919" s="11"/>
      <c r="K5919" s="11"/>
    </row>
    <row r="5920" spans="3:11">
      <c r="C5920" s="11"/>
      <c r="K5920" s="11"/>
    </row>
    <row r="5921" spans="3:11">
      <c r="C5921" s="11"/>
      <c r="K5921" s="11"/>
    </row>
    <row r="5922" spans="3:11">
      <c r="C5922" s="11"/>
      <c r="K5922" s="11"/>
    </row>
    <row r="5923" spans="3:11">
      <c r="C5923" s="11"/>
      <c r="K5923" s="11"/>
    </row>
    <row r="5924" spans="3:11">
      <c r="C5924" s="11"/>
      <c r="K5924" s="11"/>
    </row>
    <row r="5925" spans="3:11">
      <c r="C5925" s="11"/>
      <c r="K5925" s="11"/>
    </row>
    <row r="5926" spans="3:11">
      <c r="C5926" s="11"/>
      <c r="K5926" s="11"/>
    </row>
    <row r="5927" spans="3:11">
      <c r="C5927" s="11"/>
      <c r="K5927" s="11"/>
    </row>
    <row r="5928" spans="3:11">
      <c r="C5928" s="11"/>
      <c r="K5928" s="11"/>
    </row>
    <row r="5929" spans="3:11">
      <c r="C5929" s="11"/>
      <c r="K5929" s="11"/>
    </row>
    <row r="5930" spans="3:11">
      <c r="C5930" s="11"/>
      <c r="K5930" s="11"/>
    </row>
    <row r="5931" spans="3:11">
      <c r="C5931" s="11"/>
      <c r="K5931" s="11"/>
    </row>
    <row r="5932" spans="3:11">
      <c r="C5932" s="11"/>
      <c r="K5932" s="11"/>
    </row>
    <row r="5933" spans="3:11">
      <c r="C5933" s="11"/>
      <c r="K5933" s="11"/>
    </row>
    <row r="5934" spans="3:11">
      <c r="C5934" s="11"/>
      <c r="K5934" s="11"/>
    </row>
    <row r="5935" spans="3:11">
      <c r="C5935" s="11"/>
      <c r="K5935" s="11"/>
    </row>
    <row r="5936" spans="3:11">
      <c r="C5936" s="11"/>
      <c r="K5936" s="11"/>
    </row>
    <row r="5937" spans="3:11">
      <c r="C5937" s="11"/>
      <c r="K5937" s="11"/>
    </row>
    <row r="5938" spans="3:11">
      <c r="C5938" s="11"/>
      <c r="K5938" s="11"/>
    </row>
    <row r="5939" spans="3:11">
      <c r="C5939" s="11"/>
      <c r="K5939" s="11"/>
    </row>
    <row r="5940" spans="3:11">
      <c r="C5940" s="11"/>
      <c r="K5940" s="11"/>
    </row>
    <row r="5941" spans="3:11">
      <c r="C5941" s="11"/>
      <c r="K5941" s="11"/>
    </row>
    <row r="5942" spans="3:11">
      <c r="C5942" s="11"/>
      <c r="K5942" s="11"/>
    </row>
    <row r="5943" spans="3:11">
      <c r="C5943" s="11"/>
      <c r="K5943" s="11"/>
    </row>
    <row r="5944" spans="3:11">
      <c r="C5944" s="11"/>
      <c r="K5944" s="11"/>
    </row>
    <row r="5945" spans="3:11">
      <c r="C5945" s="11"/>
      <c r="K5945" s="11"/>
    </row>
    <row r="5946" spans="3:11">
      <c r="C5946" s="11"/>
      <c r="K5946" s="11"/>
    </row>
    <row r="5947" spans="3:11">
      <c r="C5947" s="11"/>
      <c r="K5947" s="11"/>
    </row>
    <row r="5948" spans="3:11">
      <c r="C5948" s="11"/>
      <c r="K5948" s="11"/>
    </row>
    <row r="5949" spans="3:11">
      <c r="C5949" s="11"/>
      <c r="K5949" s="11"/>
    </row>
    <row r="5950" spans="3:11">
      <c r="C5950" s="11"/>
      <c r="K5950" s="11"/>
    </row>
    <row r="5951" spans="3:11">
      <c r="C5951" s="11"/>
      <c r="K5951" s="11"/>
    </row>
    <row r="5952" spans="3:11">
      <c r="C5952" s="11"/>
      <c r="K5952" s="11"/>
    </row>
    <row r="5953" spans="3:11">
      <c r="C5953" s="11"/>
      <c r="K5953" s="11"/>
    </row>
    <row r="5954" spans="3:11">
      <c r="C5954" s="11"/>
      <c r="K5954" s="11"/>
    </row>
    <row r="5955" spans="3:11">
      <c r="C5955" s="11"/>
      <c r="K5955" s="11"/>
    </row>
    <row r="5956" spans="3:11">
      <c r="C5956" s="11"/>
      <c r="K5956" s="11"/>
    </row>
    <row r="5957" spans="3:11">
      <c r="C5957" s="11"/>
      <c r="K5957" s="11"/>
    </row>
    <row r="5958" spans="3:11">
      <c r="C5958" s="11"/>
      <c r="K5958" s="11"/>
    </row>
    <row r="5959" spans="3:11">
      <c r="C5959" s="11"/>
      <c r="K5959" s="11"/>
    </row>
    <row r="5960" spans="3:11">
      <c r="C5960" s="11"/>
      <c r="K5960" s="11"/>
    </row>
    <row r="5961" spans="3:11">
      <c r="C5961" s="11"/>
      <c r="K5961" s="11"/>
    </row>
    <row r="5962" spans="3:11">
      <c r="C5962" s="11"/>
      <c r="K5962" s="11"/>
    </row>
    <row r="5963" spans="3:11">
      <c r="C5963" s="11"/>
      <c r="K5963" s="11"/>
    </row>
    <row r="5964" spans="3:11">
      <c r="C5964" s="11"/>
      <c r="K5964" s="11"/>
    </row>
    <row r="5965" spans="3:11">
      <c r="C5965" s="11"/>
      <c r="K5965" s="11"/>
    </row>
    <row r="5966" spans="3:11">
      <c r="C5966" s="11"/>
      <c r="K5966" s="11"/>
    </row>
    <row r="5967" spans="3:11">
      <c r="C5967" s="11"/>
      <c r="K5967" s="11"/>
    </row>
    <row r="5968" spans="3:11">
      <c r="C5968" s="11"/>
      <c r="K5968" s="11"/>
    </row>
    <row r="5969" spans="3:11">
      <c r="C5969" s="11"/>
      <c r="K5969" s="11"/>
    </row>
    <row r="5970" spans="3:11">
      <c r="C5970" s="11"/>
      <c r="K5970" s="11"/>
    </row>
    <row r="5971" spans="3:11">
      <c r="C5971" s="11"/>
      <c r="K5971" s="11"/>
    </row>
    <row r="5972" spans="3:11">
      <c r="C5972" s="11"/>
      <c r="K5972" s="11"/>
    </row>
    <row r="5973" spans="3:11">
      <c r="C5973" s="11"/>
      <c r="K5973" s="11"/>
    </row>
    <row r="5974" spans="3:11">
      <c r="C5974" s="11"/>
      <c r="K5974" s="11"/>
    </row>
    <row r="5975" spans="3:11">
      <c r="C5975" s="11"/>
      <c r="K5975" s="11"/>
    </row>
    <row r="5976" spans="3:11">
      <c r="C5976" s="11"/>
      <c r="K5976" s="11"/>
    </row>
    <row r="5977" spans="3:11">
      <c r="C5977" s="11"/>
      <c r="K5977" s="11"/>
    </row>
    <row r="5978" spans="3:11">
      <c r="C5978" s="11"/>
      <c r="K5978" s="11"/>
    </row>
    <row r="5979" spans="3:11">
      <c r="C5979" s="11"/>
      <c r="K5979" s="11"/>
    </row>
    <row r="5980" spans="3:11">
      <c r="C5980" s="11"/>
      <c r="K5980" s="11"/>
    </row>
    <row r="5981" spans="3:11">
      <c r="C5981" s="11"/>
      <c r="K5981" s="11"/>
    </row>
    <row r="5982" spans="3:11">
      <c r="C5982" s="11"/>
      <c r="K5982" s="11"/>
    </row>
    <row r="5983" spans="3:11">
      <c r="C5983" s="11"/>
      <c r="K5983" s="11"/>
    </row>
    <row r="5984" spans="3:11">
      <c r="C5984" s="11"/>
      <c r="K5984" s="11"/>
    </row>
    <row r="5985" spans="3:11">
      <c r="C5985" s="11"/>
      <c r="K5985" s="11"/>
    </row>
    <row r="5986" spans="3:11">
      <c r="C5986" s="11"/>
      <c r="K5986" s="11"/>
    </row>
    <row r="5987" spans="3:11">
      <c r="C5987" s="11"/>
      <c r="K5987" s="11"/>
    </row>
    <row r="5988" spans="3:11">
      <c r="C5988" s="11"/>
      <c r="K5988" s="11"/>
    </row>
    <row r="5989" spans="3:11">
      <c r="C5989" s="11"/>
      <c r="K5989" s="11"/>
    </row>
    <row r="5990" spans="3:11">
      <c r="C5990" s="11"/>
      <c r="K5990" s="11"/>
    </row>
    <row r="5991" spans="3:11">
      <c r="C5991" s="11"/>
      <c r="K5991" s="11"/>
    </row>
    <row r="5992" spans="3:11">
      <c r="C5992" s="11"/>
      <c r="K5992" s="11"/>
    </row>
    <row r="5993" spans="3:11">
      <c r="C5993" s="11"/>
      <c r="K5993" s="11"/>
    </row>
    <row r="5994" spans="3:11">
      <c r="C5994" s="11"/>
      <c r="K5994" s="11"/>
    </row>
    <row r="5995" spans="3:11">
      <c r="C5995" s="11"/>
      <c r="K5995" s="11"/>
    </row>
    <row r="5996" spans="3:11">
      <c r="C5996" s="11"/>
      <c r="K5996" s="11"/>
    </row>
    <row r="5997" spans="3:11">
      <c r="C5997" s="11"/>
      <c r="K5997" s="11"/>
    </row>
    <row r="5998" spans="3:11">
      <c r="C5998" s="11"/>
      <c r="K5998" s="11"/>
    </row>
    <row r="5999" spans="3:11">
      <c r="C5999" s="11"/>
      <c r="K5999" s="11"/>
    </row>
    <row r="6000" spans="3:11">
      <c r="C6000" s="11"/>
      <c r="K6000" s="11"/>
    </row>
    <row r="6001" spans="3:11">
      <c r="C6001" s="11"/>
      <c r="K6001" s="11"/>
    </row>
    <row r="6002" spans="3:11">
      <c r="C6002" s="11"/>
      <c r="K6002" s="11"/>
    </row>
    <row r="6003" spans="3:11">
      <c r="C6003" s="11"/>
      <c r="K6003" s="11"/>
    </row>
    <row r="6004" spans="3:11">
      <c r="C6004" s="11"/>
      <c r="K6004" s="11"/>
    </row>
    <row r="6005" spans="3:11">
      <c r="C6005" s="11"/>
      <c r="K6005" s="11"/>
    </row>
    <row r="6006" spans="3:11">
      <c r="C6006" s="11"/>
      <c r="K6006" s="11"/>
    </row>
    <row r="6007" spans="3:11">
      <c r="C6007" s="11"/>
      <c r="K6007" s="11"/>
    </row>
    <row r="6008" spans="3:11">
      <c r="C6008" s="11"/>
      <c r="K6008" s="11"/>
    </row>
    <row r="6009" spans="3:11">
      <c r="C6009" s="11"/>
      <c r="K6009" s="11"/>
    </row>
    <row r="6010" spans="3:11">
      <c r="C6010" s="11"/>
      <c r="K6010" s="11"/>
    </row>
    <row r="6011" spans="3:11">
      <c r="C6011" s="11"/>
      <c r="K6011" s="11"/>
    </row>
    <row r="6012" spans="3:11">
      <c r="C6012" s="11"/>
      <c r="K6012" s="11"/>
    </row>
    <row r="6013" spans="3:11">
      <c r="C6013" s="11"/>
      <c r="K6013" s="11"/>
    </row>
    <row r="6014" spans="3:11">
      <c r="C6014" s="11"/>
      <c r="K6014" s="11"/>
    </row>
    <row r="6015" spans="3:11">
      <c r="C6015" s="11"/>
      <c r="K6015" s="11"/>
    </row>
    <row r="6016" spans="3:11">
      <c r="C6016" s="11"/>
      <c r="K6016" s="11"/>
    </row>
    <row r="6017" spans="3:11">
      <c r="C6017" s="11"/>
      <c r="K6017" s="11"/>
    </row>
    <row r="6018" spans="3:11">
      <c r="C6018" s="11"/>
      <c r="K6018" s="11"/>
    </row>
    <row r="6019" spans="3:11">
      <c r="C6019" s="11"/>
      <c r="K6019" s="11"/>
    </row>
    <row r="6020" spans="3:11">
      <c r="C6020" s="11"/>
      <c r="K6020" s="11"/>
    </row>
    <row r="6021" spans="3:11">
      <c r="C6021" s="11"/>
      <c r="K6021" s="11"/>
    </row>
    <row r="6022" spans="3:11">
      <c r="C6022" s="11"/>
      <c r="K6022" s="11"/>
    </row>
    <row r="6023" spans="3:11">
      <c r="C6023" s="11"/>
      <c r="K6023" s="11"/>
    </row>
    <row r="6024" spans="3:11">
      <c r="C6024" s="11"/>
      <c r="K6024" s="11"/>
    </row>
    <row r="6025" spans="3:11">
      <c r="C6025" s="11"/>
      <c r="K6025" s="11"/>
    </row>
    <row r="6026" spans="3:11">
      <c r="C6026" s="11"/>
      <c r="K6026" s="11"/>
    </row>
    <row r="6027" spans="3:11">
      <c r="C6027" s="11"/>
      <c r="K6027" s="11"/>
    </row>
    <row r="6028" spans="3:11">
      <c r="C6028" s="11"/>
      <c r="K6028" s="11"/>
    </row>
    <row r="6029" spans="3:11">
      <c r="C6029" s="11"/>
      <c r="K6029" s="11"/>
    </row>
    <row r="6030" spans="3:11">
      <c r="C6030" s="11"/>
      <c r="K6030" s="11"/>
    </row>
    <row r="6031" spans="3:11">
      <c r="C6031" s="11"/>
      <c r="K6031" s="11"/>
    </row>
    <row r="6032" spans="3:11">
      <c r="C6032" s="11"/>
      <c r="K6032" s="11"/>
    </row>
    <row r="6033" spans="3:11">
      <c r="C6033" s="11"/>
      <c r="K6033" s="11"/>
    </row>
    <row r="6034" spans="3:11">
      <c r="C6034" s="11"/>
      <c r="K6034" s="11"/>
    </row>
    <row r="6035" spans="3:11">
      <c r="C6035" s="11"/>
      <c r="K6035" s="11"/>
    </row>
    <row r="6036" spans="3:11">
      <c r="C6036" s="11"/>
      <c r="K6036" s="11"/>
    </row>
    <row r="6037" spans="3:11">
      <c r="C6037" s="11"/>
      <c r="K6037" s="11"/>
    </row>
    <row r="6038" spans="3:11">
      <c r="C6038" s="11"/>
      <c r="K6038" s="11"/>
    </row>
    <row r="6039" spans="3:11">
      <c r="C6039" s="11"/>
      <c r="K6039" s="11"/>
    </row>
    <row r="6040" spans="3:11">
      <c r="C6040" s="11"/>
      <c r="K6040" s="11"/>
    </row>
    <row r="6041" spans="3:11">
      <c r="C6041" s="11"/>
      <c r="K6041" s="11"/>
    </row>
    <row r="6042" spans="3:11">
      <c r="C6042" s="11"/>
      <c r="K6042" s="11"/>
    </row>
    <row r="6043" spans="3:11">
      <c r="C6043" s="11"/>
      <c r="K6043" s="11"/>
    </row>
    <row r="6044" spans="3:11">
      <c r="C6044" s="11"/>
      <c r="K6044" s="11"/>
    </row>
    <row r="6045" spans="3:11">
      <c r="C6045" s="11"/>
      <c r="K6045" s="11"/>
    </row>
    <row r="6046" spans="3:11">
      <c r="C6046" s="11"/>
      <c r="K6046" s="11"/>
    </row>
    <row r="6047" spans="3:11">
      <c r="C6047" s="11"/>
      <c r="K6047" s="11"/>
    </row>
    <row r="6048" spans="3:11">
      <c r="C6048" s="11"/>
      <c r="K6048" s="11"/>
    </row>
    <row r="6049" spans="3:11">
      <c r="C6049" s="11"/>
      <c r="K6049" s="11"/>
    </row>
    <row r="6050" spans="3:11">
      <c r="C6050" s="11"/>
      <c r="K6050" s="11"/>
    </row>
    <row r="6051" spans="3:11">
      <c r="C6051" s="11"/>
      <c r="K6051" s="11"/>
    </row>
    <row r="6052" spans="3:11">
      <c r="C6052" s="11"/>
      <c r="K6052" s="11"/>
    </row>
    <row r="6053" spans="3:11">
      <c r="C6053" s="11"/>
      <c r="K6053" s="11"/>
    </row>
    <row r="6054" spans="3:11">
      <c r="C6054" s="11"/>
      <c r="K6054" s="11"/>
    </row>
    <row r="6055" spans="3:11">
      <c r="C6055" s="11"/>
      <c r="K6055" s="11"/>
    </row>
    <row r="6056" spans="3:11">
      <c r="C6056" s="11"/>
      <c r="K6056" s="11"/>
    </row>
    <row r="6057" spans="3:11">
      <c r="C6057" s="11"/>
      <c r="K6057" s="11"/>
    </row>
    <row r="6058" spans="3:11">
      <c r="C6058" s="11"/>
      <c r="K6058" s="11"/>
    </row>
    <row r="6059" spans="3:11">
      <c r="C6059" s="11"/>
      <c r="K6059" s="11"/>
    </row>
    <row r="6060" spans="3:11">
      <c r="C6060" s="11"/>
      <c r="K6060" s="11"/>
    </row>
    <row r="6061" spans="3:11">
      <c r="C6061" s="11"/>
      <c r="K6061" s="11"/>
    </row>
    <row r="6062" spans="3:11">
      <c r="C6062" s="11"/>
      <c r="K6062" s="11"/>
    </row>
    <row r="6063" spans="3:11">
      <c r="C6063" s="11"/>
      <c r="K6063" s="11"/>
    </row>
    <row r="6064" spans="3:11">
      <c r="C6064" s="11"/>
      <c r="K6064" s="11"/>
    </row>
    <row r="6065" spans="3:11">
      <c r="C6065" s="11"/>
      <c r="K6065" s="11"/>
    </row>
    <row r="6066" spans="3:11">
      <c r="C6066" s="11"/>
      <c r="K6066" s="11"/>
    </row>
    <row r="6067" spans="3:11">
      <c r="C6067" s="11"/>
      <c r="K6067" s="11"/>
    </row>
    <row r="6068" spans="3:11">
      <c r="C6068" s="11"/>
      <c r="K6068" s="11"/>
    </row>
    <row r="6069" spans="3:11">
      <c r="C6069" s="11"/>
      <c r="K6069" s="11"/>
    </row>
    <row r="6070" spans="3:11">
      <c r="C6070" s="11"/>
      <c r="K6070" s="11"/>
    </row>
    <row r="6071" spans="3:11">
      <c r="C6071" s="11"/>
      <c r="K6071" s="11"/>
    </row>
    <row r="6072" spans="3:11">
      <c r="C6072" s="11"/>
      <c r="K6072" s="11"/>
    </row>
    <row r="6073" spans="3:11">
      <c r="C6073" s="11"/>
      <c r="K6073" s="11"/>
    </row>
    <row r="6074" spans="3:11">
      <c r="C6074" s="11"/>
      <c r="K6074" s="11"/>
    </row>
    <row r="6075" spans="3:11">
      <c r="C6075" s="11"/>
      <c r="K6075" s="11"/>
    </row>
    <row r="6076" spans="3:11">
      <c r="C6076" s="11"/>
      <c r="K6076" s="11"/>
    </row>
    <row r="6077" spans="3:11">
      <c r="C6077" s="11"/>
      <c r="K6077" s="11"/>
    </row>
    <row r="6078" spans="3:11">
      <c r="C6078" s="11"/>
      <c r="K6078" s="11"/>
    </row>
    <row r="6079" spans="3:11">
      <c r="C6079" s="11"/>
      <c r="K6079" s="11"/>
    </row>
    <row r="6080" spans="3:11">
      <c r="C6080" s="11"/>
      <c r="K6080" s="11"/>
    </row>
    <row r="6081" spans="3:11">
      <c r="C6081" s="11"/>
      <c r="K6081" s="11"/>
    </row>
    <row r="6082" spans="3:11">
      <c r="C6082" s="11"/>
      <c r="K6082" s="11"/>
    </row>
    <row r="6083" spans="3:11">
      <c r="C6083" s="11"/>
      <c r="K6083" s="11"/>
    </row>
    <row r="6084" spans="3:11">
      <c r="C6084" s="11"/>
      <c r="K6084" s="11"/>
    </row>
    <row r="6085" spans="3:11">
      <c r="C6085" s="11"/>
      <c r="K6085" s="11"/>
    </row>
    <row r="6086" spans="3:11">
      <c r="C6086" s="11"/>
      <c r="K6086" s="11"/>
    </row>
    <row r="6087" spans="3:11">
      <c r="C6087" s="11"/>
      <c r="K6087" s="11"/>
    </row>
    <row r="6088" spans="3:11">
      <c r="C6088" s="11"/>
      <c r="K6088" s="11"/>
    </row>
    <row r="6089" spans="3:11">
      <c r="C6089" s="11"/>
      <c r="K6089" s="11"/>
    </row>
    <row r="6090" spans="3:11">
      <c r="C6090" s="11"/>
      <c r="K6090" s="11"/>
    </row>
    <row r="6091" spans="3:11">
      <c r="C6091" s="11"/>
      <c r="K6091" s="11"/>
    </row>
    <row r="6092" spans="3:11">
      <c r="C6092" s="11"/>
      <c r="K6092" s="11"/>
    </row>
    <row r="6093" spans="3:11">
      <c r="C6093" s="11"/>
      <c r="K6093" s="11"/>
    </row>
    <row r="6094" spans="3:11">
      <c r="C6094" s="11"/>
      <c r="K6094" s="11"/>
    </row>
    <row r="6095" spans="3:11">
      <c r="C6095" s="11"/>
      <c r="K6095" s="11"/>
    </row>
    <row r="6096" spans="3:11">
      <c r="C6096" s="11"/>
      <c r="K6096" s="11"/>
    </row>
    <row r="6097" spans="3:11">
      <c r="C6097" s="11"/>
      <c r="K6097" s="11"/>
    </row>
    <row r="6098" spans="3:11">
      <c r="C6098" s="11"/>
      <c r="K6098" s="11"/>
    </row>
    <row r="6099" spans="3:11">
      <c r="C6099" s="11"/>
      <c r="K6099" s="11"/>
    </row>
    <row r="6100" spans="3:11">
      <c r="C6100" s="11"/>
      <c r="K6100" s="11"/>
    </row>
    <row r="6101" spans="3:11">
      <c r="C6101" s="11"/>
      <c r="K6101" s="11"/>
    </row>
    <row r="6102" spans="3:11">
      <c r="C6102" s="11"/>
      <c r="K6102" s="11"/>
    </row>
    <row r="6103" spans="3:11">
      <c r="C6103" s="11"/>
      <c r="K6103" s="11"/>
    </row>
    <row r="6104" spans="3:11">
      <c r="C6104" s="11"/>
      <c r="K6104" s="11"/>
    </row>
    <row r="6105" spans="3:11">
      <c r="C6105" s="11"/>
      <c r="K6105" s="11"/>
    </row>
    <row r="6106" spans="3:11">
      <c r="C6106" s="11"/>
      <c r="K6106" s="11"/>
    </row>
    <row r="6107" spans="3:11">
      <c r="C6107" s="11"/>
      <c r="K6107" s="11"/>
    </row>
    <row r="6108" spans="3:11">
      <c r="C6108" s="11"/>
      <c r="K6108" s="11"/>
    </row>
    <row r="6109" spans="3:11">
      <c r="C6109" s="11"/>
      <c r="K6109" s="11"/>
    </row>
    <row r="6110" spans="3:11">
      <c r="C6110" s="11"/>
      <c r="K6110" s="11"/>
    </row>
    <row r="6111" spans="3:11">
      <c r="C6111" s="11"/>
      <c r="K6111" s="11"/>
    </row>
    <row r="6112" spans="3:11">
      <c r="C6112" s="11"/>
      <c r="K6112" s="11"/>
    </row>
    <row r="6113" spans="3:11">
      <c r="C6113" s="11"/>
      <c r="K6113" s="11"/>
    </row>
    <row r="6114" spans="3:11">
      <c r="C6114" s="11"/>
      <c r="K6114" s="11"/>
    </row>
    <row r="6115" spans="3:11">
      <c r="C6115" s="11"/>
      <c r="K6115" s="11"/>
    </row>
    <row r="6116" spans="3:11">
      <c r="C6116" s="11"/>
      <c r="K6116" s="11"/>
    </row>
    <row r="6117" spans="3:11">
      <c r="C6117" s="11"/>
      <c r="K6117" s="11"/>
    </row>
    <row r="6118" spans="3:11">
      <c r="C6118" s="11"/>
      <c r="K6118" s="11"/>
    </row>
    <row r="6119" spans="3:11">
      <c r="C6119" s="11"/>
      <c r="K6119" s="11"/>
    </row>
    <row r="6120" spans="3:11">
      <c r="C6120" s="11"/>
      <c r="K6120" s="11"/>
    </row>
    <row r="6121" spans="3:11">
      <c r="C6121" s="11"/>
      <c r="K6121" s="11"/>
    </row>
    <row r="6122" spans="3:11">
      <c r="C6122" s="11"/>
      <c r="K6122" s="11"/>
    </row>
    <row r="6123" spans="3:11">
      <c r="C6123" s="11"/>
      <c r="K6123" s="11"/>
    </row>
    <row r="6124" spans="3:11">
      <c r="C6124" s="11"/>
      <c r="K6124" s="11"/>
    </row>
    <row r="6125" spans="3:11">
      <c r="C6125" s="11"/>
      <c r="K6125" s="11"/>
    </row>
    <row r="6126" spans="3:11">
      <c r="C6126" s="11"/>
      <c r="K6126" s="11"/>
    </row>
    <row r="6127" spans="3:11">
      <c r="C6127" s="11"/>
      <c r="K6127" s="11"/>
    </row>
    <row r="6128" spans="3:11">
      <c r="C6128" s="11"/>
      <c r="K6128" s="11"/>
    </row>
    <row r="6129" spans="3:11">
      <c r="C6129" s="11"/>
      <c r="K6129" s="11"/>
    </row>
    <row r="6130" spans="3:11">
      <c r="C6130" s="11"/>
      <c r="K6130" s="11"/>
    </row>
    <row r="6131" spans="3:11">
      <c r="C6131" s="11"/>
      <c r="K6131" s="11"/>
    </row>
    <row r="6132" spans="3:11">
      <c r="C6132" s="11"/>
      <c r="K6132" s="11"/>
    </row>
    <row r="6133" spans="3:11">
      <c r="C6133" s="11"/>
      <c r="K6133" s="11"/>
    </row>
    <row r="6134" spans="3:11">
      <c r="C6134" s="11"/>
      <c r="K6134" s="11"/>
    </row>
    <row r="6135" spans="3:11">
      <c r="C6135" s="11"/>
      <c r="K6135" s="11"/>
    </row>
    <row r="6136" spans="3:11">
      <c r="C6136" s="11"/>
      <c r="K6136" s="11"/>
    </row>
    <row r="6137" spans="3:11">
      <c r="C6137" s="11"/>
      <c r="K6137" s="11"/>
    </row>
    <row r="6138" spans="3:11">
      <c r="C6138" s="11"/>
      <c r="K6138" s="11"/>
    </row>
    <row r="6139" spans="3:11">
      <c r="C6139" s="11"/>
      <c r="K6139" s="11"/>
    </row>
    <row r="6140" spans="3:11">
      <c r="C6140" s="11"/>
      <c r="K6140" s="11"/>
    </row>
    <row r="6141" spans="3:11">
      <c r="C6141" s="11"/>
      <c r="K6141" s="11"/>
    </row>
    <row r="6142" spans="3:11">
      <c r="C6142" s="11"/>
      <c r="K6142" s="11"/>
    </row>
    <row r="6143" spans="3:11">
      <c r="C6143" s="11"/>
      <c r="K6143" s="11"/>
    </row>
    <row r="6144" spans="3:11">
      <c r="C6144" s="11"/>
      <c r="K6144" s="11"/>
    </row>
    <row r="6145" spans="3:11">
      <c r="C6145" s="11"/>
      <c r="K6145" s="11"/>
    </row>
    <row r="6146" spans="3:11">
      <c r="C6146" s="11"/>
      <c r="K6146" s="11"/>
    </row>
    <row r="6147" spans="3:11">
      <c r="C6147" s="11"/>
      <c r="K6147" s="11"/>
    </row>
    <row r="6148" spans="3:11">
      <c r="C6148" s="11"/>
      <c r="K6148" s="11"/>
    </row>
    <row r="6149" spans="3:11">
      <c r="C6149" s="11"/>
      <c r="K6149" s="11"/>
    </row>
    <row r="6150" spans="3:11">
      <c r="C6150" s="11"/>
      <c r="K6150" s="11"/>
    </row>
    <row r="6151" spans="3:11">
      <c r="C6151" s="11"/>
      <c r="K6151" s="11"/>
    </row>
    <row r="6152" spans="3:11">
      <c r="C6152" s="11"/>
      <c r="K6152" s="11"/>
    </row>
    <row r="6153" spans="3:11">
      <c r="C6153" s="11"/>
      <c r="K6153" s="11"/>
    </row>
    <row r="6154" spans="3:11">
      <c r="C6154" s="11"/>
      <c r="K6154" s="11"/>
    </row>
    <row r="6155" spans="3:11">
      <c r="C6155" s="11"/>
      <c r="K6155" s="11"/>
    </row>
    <row r="6156" spans="3:11">
      <c r="C6156" s="11"/>
      <c r="K6156" s="11"/>
    </row>
    <row r="6157" spans="3:11">
      <c r="C6157" s="11"/>
      <c r="K6157" s="11"/>
    </row>
    <row r="6158" spans="3:11">
      <c r="C6158" s="11"/>
      <c r="K6158" s="11"/>
    </row>
    <row r="6159" spans="3:11">
      <c r="C6159" s="11"/>
      <c r="K6159" s="11"/>
    </row>
    <row r="6160" spans="3:11">
      <c r="C6160" s="11"/>
      <c r="K6160" s="11"/>
    </row>
    <row r="6161" spans="3:11">
      <c r="C6161" s="11"/>
      <c r="K6161" s="11"/>
    </row>
    <row r="6162" spans="3:11">
      <c r="C6162" s="11"/>
      <c r="K6162" s="11"/>
    </row>
    <row r="6163" spans="3:11">
      <c r="C6163" s="11"/>
      <c r="K6163" s="11"/>
    </row>
    <row r="6164" spans="3:11">
      <c r="C6164" s="11"/>
      <c r="K6164" s="11"/>
    </row>
    <row r="6165" spans="3:11">
      <c r="C6165" s="11"/>
      <c r="K6165" s="11"/>
    </row>
    <row r="6166" spans="3:11">
      <c r="C6166" s="11"/>
      <c r="K6166" s="11"/>
    </row>
    <row r="6167" spans="3:11">
      <c r="C6167" s="11"/>
      <c r="K6167" s="11"/>
    </row>
    <row r="6168" spans="3:11">
      <c r="C6168" s="11"/>
      <c r="K6168" s="11"/>
    </row>
    <row r="6169" spans="3:11">
      <c r="C6169" s="11"/>
      <c r="K6169" s="11"/>
    </row>
    <row r="6170" spans="3:11">
      <c r="C6170" s="11"/>
      <c r="K6170" s="11"/>
    </row>
    <row r="6171" spans="3:11">
      <c r="C6171" s="11"/>
      <c r="K6171" s="11"/>
    </row>
    <row r="6172" spans="3:11">
      <c r="C6172" s="11"/>
      <c r="K6172" s="11"/>
    </row>
    <row r="6173" spans="3:11">
      <c r="C6173" s="11"/>
      <c r="K6173" s="11"/>
    </row>
    <row r="6174" spans="3:11">
      <c r="C6174" s="11"/>
      <c r="K6174" s="11"/>
    </row>
    <row r="6175" spans="3:11">
      <c r="C6175" s="11"/>
      <c r="K6175" s="11"/>
    </row>
    <row r="6176" spans="3:11">
      <c r="C6176" s="11"/>
      <c r="K6176" s="11"/>
    </row>
    <row r="6177" spans="3:11">
      <c r="C6177" s="11"/>
      <c r="K6177" s="11"/>
    </row>
    <row r="6178" spans="3:11">
      <c r="C6178" s="11"/>
      <c r="K6178" s="11"/>
    </row>
    <row r="6179" spans="3:11">
      <c r="C6179" s="11"/>
      <c r="K6179" s="11"/>
    </row>
    <row r="6180" spans="3:11">
      <c r="C6180" s="11"/>
      <c r="K6180" s="11"/>
    </row>
    <row r="6181" spans="3:11">
      <c r="C6181" s="11"/>
      <c r="K6181" s="11"/>
    </row>
    <row r="6182" spans="3:11">
      <c r="C6182" s="11"/>
      <c r="K6182" s="11"/>
    </row>
    <row r="6183" spans="3:11">
      <c r="C6183" s="11"/>
      <c r="K6183" s="11"/>
    </row>
    <row r="6184" spans="3:11">
      <c r="C6184" s="11"/>
      <c r="K6184" s="11"/>
    </row>
    <row r="6185" spans="3:11">
      <c r="C6185" s="11"/>
      <c r="K6185" s="11"/>
    </row>
    <row r="6186" spans="3:11">
      <c r="C6186" s="11"/>
      <c r="K6186" s="11"/>
    </row>
    <row r="6187" spans="3:11">
      <c r="C6187" s="11"/>
      <c r="K6187" s="11"/>
    </row>
    <row r="6188" spans="3:11">
      <c r="C6188" s="11"/>
      <c r="K6188" s="11"/>
    </row>
    <row r="6189" spans="3:11">
      <c r="C6189" s="11"/>
      <c r="K6189" s="11"/>
    </row>
    <row r="6190" spans="3:11">
      <c r="C6190" s="11"/>
      <c r="K6190" s="11"/>
    </row>
    <row r="6191" spans="3:11">
      <c r="C6191" s="11"/>
      <c r="K6191" s="11"/>
    </row>
    <row r="6192" spans="3:11">
      <c r="C6192" s="11"/>
      <c r="K6192" s="11"/>
    </row>
    <row r="6193" spans="3:11">
      <c r="C6193" s="11"/>
      <c r="K6193" s="11"/>
    </row>
    <row r="6194" spans="3:11">
      <c r="C6194" s="11"/>
      <c r="K6194" s="11"/>
    </row>
    <row r="6195" spans="3:11">
      <c r="C6195" s="11"/>
      <c r="K6195" s="11"/>
    </row>
    <row r="6196" spans="3:11">
      <c r="C6196" s="11"/>
      <c r="K6196" s="11"/>
    </row>
    <row r="6197" spans="3:11">
      <c r="C6197" s="11"/>
      <c r="K6197" s="11"/>
    </row>
    <row r="6198" spans="3:11">
      <c r="C6198" s="11"/>
      <c r="K6198" s="11"/>
    </row>
    <row r="6199" spans="3:11">
      <c r="C6199" s="11"/>
      <c r="K6199" s="11"/>
    </row>
    <row r="6200" spans="3:11">
      <c r="C6200" s="11"/>
      <c r="K6200" s="11"/>
    </row>
    <row r="6201" spans="3:11">
      <c r="C6201" s="11"/>
      <c r="K6201" s="11"/>
    </row>
    <row r="6202" spans="3:11">
      <c r="C6202" s="11"/>
      <c r="K6202" s="11"/>
    </row>
    <row r="6203" spans="3:11">
      <c r="C6203" s="11"/>
      <c r="K6203" s="11"/>
    </row>
    <row r="6204" spans="3:11">
      <c r="C6204" s="11"/>
      <c r="K6204" s="11"/>
    </row>
    <row r="6205" spans="3:11">
      <c r="C6205" s="11"/>
      <c r="K6205" s="11"/>
    </row>
    <row r="6206" spans="3:11">
      <c r="C6206" s="11"/>
      <c r="K6206" s="11"/>
    </row>
    <row r="6207" spans="3:11">
      <c r="C6207" s="11"/>
      <c r="K6207" s="11"/>
    </row>
    <row r="6208" spans="3:11">
      <c r="C6208" s="11"/>
      <c r="K6208" s="11"/>
    </row>
    <row r="6209" spans="3:11">
      <c r="C6209" s="11"/>
      <c r="K6209" s="11"/>
    </row>
    <row r="6210" spans="3:11">
      <c r="C6210" s="11"/>
      <c r="K6210" s="11"/>
    </row>
    <row r="6211" spans="3:11">
      <c r="C6211" s="11"/>
      <c r="K6211" s="11"/>
    </row>
    <row r="6212" spans="3:11">
      <c r="C6212" s="11"/>
      <c r="K6212" s="11"/>
    </row>
    <row r="6213" spans="3:11">
      <c r="C6213" s="11"/>
      <c r="K6213" s="11"/>
    </row>
    <row r="6214" spans="3:11">
      <c r="C6214" s="11"/>
      <c r="K6214" s="11"/>
    </row>
    <row r="6215" spans="3:11">
      <c r="C6215" s="11"/>
      <c r="K6215" s="11"/>
    </row>
    <row r="6216" spans="3:11">
      <c r="C6216" s="11"/>
      <c r="K6216" s="11"/>
    </row>
    <row r="6217" spans="3:11">
      <c r="C6217" s="11"/>
      <c r="K6217" s="11"/>
    </row>
    <row r="6218" spans="3:11">
      <c r="C6218" s="11"/>
      <c r="K6218" s="11"/>
    </row>
    <row r="6219" spans="3:11">
      <c r="C6219" s="11"/>
      <c r="K6219" s="11"/>
    </row>
    <row r="6220" spans="3:11">
      <c r="C6220" s="11"/>
      <c r="K6220" s="11"/>
    </row>
    <row r="6221" spans="3:11">
      <c r="C6221" s="11"/>
      <c r="K6221" s="11"/>
    </row>
    <row r="6222" spans="3:11">
      <c r="C6222" s="11"/>
      <c r="K6222" s="11"/>
    </row>
    <row r="6223" spans="3:11">
      <c r="C6223" s="11"/>
      <c r="K6223" s="11"/>
    </row>
    <row r="6224" spans="3:11">
      <c r="C6224" s="11"/>
      <c r="K6224" s="11"/>
    </row>
    <row r="6225" spans="3:11">
      <c r="C6225" s="11"/>
      <c r="K6225" s="11"/>
    </row>
    <row r="6226" spans="3:11">
      <c r="C6226" s="11"/>
      <c r="K6226" s="11"/>
    </row>
    <row r="6227" spans="3:11">
      <c r="C6227" s="11"/>
      <c r="K6227" s="11"/>
    </row>
    <row r="6228" spans="3:11">
      <c r="C6228" s="11"/>
      <c r="K6228" s="11"/>
    </row>
    <row r="6229" spans="3:11">
      <c r="C6229" s="11"/>
      <c r="K6229" s="11"/>
    </row>
    <row r="6230" spans="3:11">
      <c r="C6230" s="11"/>
      <c r="K6230" s="11"/>
    </row>
    <row r="6231" spans="3:11">
      <c r="C6231" s="11"/>
      <c r="K6231" s="11"/>
    </row>
    <row r="6232" spans="3:11">
      <c r="C6232" s="11"/>
      <c r="K6232" s="11"/>
    </row>
    <row r="6233" spans="3:11">
      <c r="C6233" s="11"/>
      <c r="K6233" s="11"/>
    </row>
    <row r="6234" spans="3:11">
      <c r="C6234" s="11"/>
      <c r="K6234" s="11"/>
    </row>
    <row r="6235" spans="3:11">
      <c r="C6235" s="11"/>
      <c r="K6235" s="11"/>
    </row>
    <row r="6236" spans="3:11">
      <c r="C6236" s="11"/>
      <c r="K6236" s="11"/>
    </row>
    <row r="6237" spans="3:11">
      <c r="C6237" s="11"/>
      <c r="K6237" s="11"/>
    </row>
    <row r="6238" spans="3:11">
      <c r="C6238" s="11"/>
      <c r="K6238" s="11"/>
    </row>
    <row r="6239" spans="3:11">
      <c r="C6239" s="11"/>
      <c r="K6239" s="11"/>
    </row>
    <row r="6240" spans="3:11">
      <c r="C6240" s="11"/>
      <c r="K6240" s="11"/>
    </row>
    <row r="6241" spans="3:11">
      <c r="C6241" s="11"/>
      <c r="K6241" s="11"/>
    </row>
    <row r="6242" spans="3:11">
      <c r="C6242" s="11"/>
      <c r="K6242" s="11"/>
    </row>
    <row r="6243" spans="3:11">
      <c r="C6243" s="11"/>
      <c r="K6243" s="11"/>
    </row>
    <row r="6244" spans="3:11">
      <c r="C6244" s="11"/>
      <c r="K6244" s="11"/>
    </row>
    <row r="6245" spans="3:11">
      <c r="C6245" s="11"/>
      <c r="K6245" s="11"/>
    </row>
    <row r="6246" spans="3:11">
      <c r="C6246" s="11"/>
      <c r="K6246" s="11"/>
    </row>
    <row r="6247" spans="3:11">
      <c r="C6247" s="11"/>
      <c r="K6247" s="11"/>
    </row>
    <row r="6248" spans="3:11">
      <c r="C6248" s="11"/>
      <c r="K6248" s="11"/>
    </row>
    <row r="6249" spans="3:11">
      <c r="C6249" s="11"/>
      <c r="K6249" s="11"/>
    </row>
    <row r="6250" spans="3:11">
      <c r="C6250" s="11"/>
      <c r="K6250" s="11"/>
    </row>
    <row r="6251" spans="3:11">
      <c r="C6251" s="11"/>
      <c r="K6251" s="11"/>
    </row>
    <row r="6252" spans="3:11">
      <c r="C6252" s="11"/>
      <c r="K6252" s="11"/>
    </row>
    <row r="6253" spans="3:11">
      <c r="C6253" s="11"/>
      <c r="K6253" s="11"/>
    </row>
    <row r="6254" spans="3:11">
      <c r="C6254" s="11"/>
      <c r="K6254" s="11"/>
    </row>
    <row r="6255" spans="3:11">
      <c r="C6255" s="11"/>
      <c r="K6255" s="11"/>
    </row>
    <row r="6256" spans="3:11">
      <c r="C6256" s="11"/>
      <c r="K6256" s="11"/>
    </row>
    <row r="6257" spans="3:11">
      <c r="C6257" s="11"/>
      <c r="K6257" s="11"/>
    </row>
    <row r="6258" spans="3:11">
      <c r="C6258" s="11"/>
      <c r="K6258" s="11"/>
    </row>
    <row r="6259" spans="3:11">
      <c r="C6259" s="11"/>
      <c r="K6259" s="11"/>
    </row>
    <row r="6260" spans="3:11">
      <c r="C6260" s="11"/>
      <c r="K6260" s="11"/>
    </row>
    <row r="6261" spans="3:11">
      <c r="C6261" s="11"/>
      <c r="K6261" s="11"/>
    </row>
    <row r="6262" spans="3:11">
      <c r="C6262" s="11"/>
      <c r="K6262" s="11"/>
    </row>
    <row r="6263" spans="3:11">
      <c r="C6263" s="11"/>
      <c r="K6263" s="11"/>
    </row>
    <row r="6264" spans="3:11">
      <c r="C6264" s="11"/>
      <c r="K6264" s="11"/>
    </row>
    <row r="6265" spans="3:11">
      <c r="C6265" s="11"/>
      <c r="K6265" s="11"/>
    </row>
    <row r="6266" spans="3:11">
      <c r="C6266" s="11"/>
      <c r="K6266" s="11"/>
    </row>
    <row r="6267" spans="3:11">
      <c r="C6267" s="11"/>
      <c r="K6267" s="11"/>
    </row>
    <row r="6268" spans="3:11">
      <c r="C6268" s="11"/>
      <c r="K6268" s="11"/>
    </row>
    <row r="6269" spans="3:11">
      <c r="C6269" s="11"/>
      <c r="K6269" s="11"/>
    </row>
    <row r="6270" spans="3:11">
      <c r="C6270" s="11"/>
      <c r="K6270" s="11"/>
    </row>
    <row r="6271" spans="3:11">
      <c r="C6271" s="11"/>
      <c r="K6271" s="11"/>
    </row>
    <row r="6272" spans="3:11">
      <c r="C6272" s="11"/>
      <c r="K6272" s="11"/>
    </row>
    <row r="6273" spans="3:11">
      <c r="C6273" s="11"/>
      <c r="K6273" s="11"/>
    </row>
    <row r="6274" spans="3:11">
      <c r="C6274" s="11"/>
      <c r="K6274" s="11"/>
    </row>
    <row r="6275" spans="3:11">
      <c r="C6275" s="11"/>
      <c r="K6275" s="11"/>
    </row>
    <row r="6276" spans="3:11">
      <c r="C6276" s="11"/>
      <c r="K6276" s="11"/>
    </row>
    <row r="6277" spans="3:11">
      <c r="C6277" s="11"/>
      <c r="K6277" s="11"/>
    </row>
    <row r="6278" spans="3:11">
      <c r="C6278" s="11"/>
      <c r="K6278" s="11"/>
    </row>
    <row r="6279" spans="3:11">
      <c r="C6279" s="11"/>
      <c r="K6279" s="11"/>
    </row>
    <row r="6280" spans="3:11">
      <c r="C6280" s="11"/>
      <c r="K6280" s="11"/>
    </row>
    <row r="6281" spans="3:11">
      <c r="C6281" s="11"/>
      <c r="K6281" s="11"/>
    </row>
    <row r="6282" spans="3:11">
      <c r="C6282" s="11"/>
      <c r="K6282" s="11"/>
    </row>
    <row r="6283" spans="3:11">
      <c r="C6283" s="11"/>
      <c r="K6283" s="11"/>
    </row>
    <row r="6284" spans="3:11">
      <c r="C6284" s="11"/>
      <c r="K6284" s="11"/>
    </row>
    <row r="6285" spans="3:11">
      <c r="C6285" s="11"/>
      <c r="K6285" s="11"/>
    </row>
    <row r="6286" spans="3:11">
      <c r="C6286" s="11"/>
      <c r="K6286" s="11"/>
    </row>
    <row r="6287" spans="3:11">
      <c r="C6287" s="11"/>
      <c r="K6287" s="11"/>
    </row>
    <row r="6288" spans="3:11">
      <c r="C6288" s="11"/>
      <c r="K6288" s="11"/>
    </row>
    <row r="6289" spans="3:11">
      <c r="C6289" s="11"/>
      <c r="K6289" s="11"/>
    </row>
    <row r="6290" spans="3:11">
      <c r="C6290" s="11"/>
      <c r="K6290" s="11"/>
    </row>
    <row r="6291" spans="3:11">
      <c r="C6291" s="11"/>
      <c r="K6291" s="11"/>
    </row>
    <row r="6292" spans="3:11">
      <c r="C6292" s="11"/>
      <c r="K6292" s="11"/>
    </row>
    <row r="6293" spans="3:11">
      <c r="C6293" s="11"/>
      <c r="K6293" s="11"/>
    </row>
    <row r="6294" spans="3:11">
      <c r="C6294" s="11"/>
      <c r="K6294" s="11"/>
    </row>
    <row r="6295" spans="3:11">
      <c r="C6295" s="11"/>
      <c r="K6295" s="11"/>
    </row>
    <row r="6296" spans="3:11">
      <c r="C6296" s="11"/>
      <c r="K6296" s="11"/>
    </row>
    <row r="6297" spans="3:11">
      <c r="C6297" s="11"/>
      <c r="K6297" s="11"/>
    </row>
    <row r="6298" spans="3:11">
      <c r="C6298" s="11"/>
      <c r="K6298" s="11"/>
    </row>
    <row r="6299" spans="3:11">
      <c r="C6299" s="11"/>
      <c r="K6299" s="11"/>
    </row>
    <row r="6300" spans="3:11">
      <c r="C6300" s="11"/>
      <c r="K6300" s="11"/>
    </row>
    <row r="6301" spans="3:11">
      <c r="C6301" s="11"/>
      <c r="K6301" s="11"/>
    </row>
    <row r="6302" spans="3:11">
      <c r="C6302" s="11"/>
      <c r="K6302" s="11"/>
    </row>
    <row r="6303" spans="3:11">
      <c r="C6303" s="11"/>
      <c r="K6303" s="11"/>
    </row>
    <row r="6304" spans="3:11">
      <c r="C6304" s="11"/>
      <c r="K6304" s="11"/>
    </row>
    <row r="6305" spans="3:11">
      <c r="C6305" s="11"/>
      <c r="K6305" s="11"/>
    </row>
    <row r="6306" spans="3:11">
      <c r="C6306" s="11"/>
      <c r="K6306" s="11"/>
    </row>
    <row r="6307" spans="3:11">
      <c r="C6307" s="11"/>
      <c r="K6307" s="11"/>
    </row>
    <row r="6308" spans="3:11">
      <c r="C6308" s="11"/>
      <c r="K6308" s="11"/>
    </row>
    <row r="6309" spans="3:11">
      <c r="C6309" s="11"/>
      <c r="K6309" s="11"/>
    </row>
    <row r="6310" spans="3:11">
      <c r="C6310" s="11"/>
      <c r="K6310" s="11"/>
    </row>
    <row r="6311" spans="3:11">
      <c r="C6311" s="11"/>
      <c r="K6311" s="11"/>
    </row>
    <row r="6312" spans="3:11">
      <c r="C6312" s="11"/>
      <c r="K6312" s="11"/>
    </row>
    <row r="6313" spans="3:11">
      <c r="C6313" s="11"/>
      <c r="K6313" s="11"/>
    </row>
    <row r="6314" spans="3:11">
      <c r="C6314" s="11"/>
      <c r="K6314" s="11"/>
    </row>
    <row r="6315" spans="3:11">
      <c r="C6315" s="11"/>
      <c r="K6315" s="11"/>
    </row>
    <row r="6316" spans="3:11">
      <c r="C6316" s="11"/>
      <c r="K6316" s="11"/>
    </row>
    <row r="6317" spans="3:11">
      <c r="C6317" s="11"/>
      <c r="K6317" s="11"/>
    </row>
    <row r="6318" spans="3:11">
      <c r="C6318" s="11"/>
      <c r="K6318" s="11"/>
    </row>
    <row r="6319" spans="3:11">
      <c r="C6319" s="11"/>
      <c r="K6319" s="11"/>
    </row>
    <row r="6320" spans="3:11">
      <c r="C6320" s="11"/>
      <c r="K6320" s="11"/>
    </row>
    <row r="6321" spans="3:11">
      <c r="C6321" s="11"/>
      <c r="K6321" s="11"/>
    </row>
    <row r="6322" spans="3:11">
      <c r="C6322" s="11"/>
      <c r="K6322" s="11"/>
    </row>
    <row r="6323" spans="3:11">
      <c r="C6323" s="11"/>
      <c r="K6323" s="11"/>
    </row>
    <row r="6324" spans="3:11">
      <c r="C6324" s="11"/>
      <c r="K6324" s="11"/>
    </row>
    <row r="6325" spans="3:11">
      <c r="C6325" s="11"/>
      <c r="K6325" s="11"/>
    </row>
    <row r="6326" spans="3:11">
      <c r="C6326" s="11"/>
      <c r="K6326" s="11"/>
    </row>
    <row r="6327" spans="3:11">
      <c r="C6327" s="11"/>
      <c r="K6327" s="11"/>
    </row>
    <row r="6328" spans="3:11">
      <c r="C6328" s="11"/>
      <c r="K6328" s="11"/>
    </row>
    <row r="6329" spans="3:11">
      <c r="C6329" s="11"/>
      <c r="K6329" s="11"/>
    </row>
    <row r="6330" spans="3:11">
      <c r="C6330" s="11"/>
      <c r="K6330" s="11"/>
    </row>
    <row r="6331" spans="3:11">
      <c r="C6331" s="11"/>
      <c r="K6331" s="11"/>
    </row>
    <row r="6332" spans="3:11">
      <c r="C6332" s="11"/>
      <c r="K6332" s="11"/>
    </row>
    <row r="6333" spans="3:11">
      <c r="C6333" s="11"/>
      <c r="K6333" s="11"/>
    </row>
    <row r="6334" spans="3:11">
      <c r="C6334" s="11"/>
      <c r="K6334" s="11"/>
    </row>
    <row r="6335" spans="3:11">
      <c r="C6335" s="11"/>
      <c r="K6335" s="11"/>
    </row>
    <row r="6336" spans="3:11">
      <c r="C6336" s="11"/>
      <c r="K6336" s="11"/>
    </row>
    <row r="6337" spans="3:11">
      <c r="C6337" s="11"/>
      <c r="K6337" s="11"/>
    </row>
    <row r="6338" spans="3:11">
      <c r="C6338" s="11"/>
      <c r="K6338" s="11"/>
    </row>
    <row r="6339" spans="3:11">
      <c r="C6339" s="11"/>
      <c r="K6339" s="11"/>
    </row>
    <row r="6340" spans="3:11">
      <c r="C6340" s="11"/>
      <c r="K6340" s="11"/>
    </row>
    <row r="6341" spans="3:11">
      <c r="C6341" s="11"/>
      <c r="K6341" s="11"/>
    </row>
    <row r="6342" spans="3:11">
      <c r="C6342" s="11"/>
      <c r="K6342" s="11"/>
    </row>
    <row r="6343" spans="3:11">
      <c r="C6343" s="11"/>
      <c r="K6343" s="11"/>
    </row>
    <row r="6344" spans="3:11">
      <c r="C6344" s="11"/>
      <c r="K6344" s="11"/>
    </row>
    <row r="6345" spans="3:11">
      <c r="C6345" s="11"/>
      <c r="K6345" s="11"/>
    </row>
    <row r="6346" spans="3:11">
      <c r="C6346" s="11"/>
      <c r="K6346" s="11"/>
    </row>
    <row r="6347" spans="3:11">
      <c r="C6347" s="11"/>
      <c r="K6347" s="11"/>
    </row>
    <row r="6348" spans="3:11">
      <c r="C6348" s="11"/>
      <c r="K6348" s="11"/>
    </row>
    <row r="6349" spans="3:11">
      <c r="C6349" s="11"/>
      <c r="K6349" s="11"/>
    </row>
    <row r="6350" spans="3:11">
      <c r="C6350" s="11"/>
      <c r="K6350" s="11"/>
    </row>
    <row r="6351" spans="3:11">
      <c r="C6351" s="11"/>
      <c r="K6351" s="11"/>
    </row>
    <row r="6352" spans="3:11">
      <c r="C6352" s="11"/>
      <c r="K6352" s="11"/>
    </row>
    <row r="6353" spans="3:11">
      <c r="C6353" s="11"/>
      <c r="K6353" s="11"/>
    </row>
    <row r="6354" spans="3:11">
      <c r="C6354" s="11"/>
      <c r="K6354" s="11"/>
    </row>
    <row r="6355" spans="3:11">
      <c r="C6355" s="11"/>
      <c r="K6355" s="11"/>
    </row>
    <row r="6356" spans="3:11">
      <c r="C6356" s="11"/>
      <c r="K6356" s="11"/>
    </row>
    <row r="6357" spans="3:11">
      <c r="C6357" s="11"/>
      <c r="K6357" s="11"/>
    </row>
    <row r="6358" spans="3:11">
      <c r="C6358" s="11"/>
      <c r="K6358" s="11"/>
    </row>
    <row r="6359" spans="3:11">
      <c r="C6359" s="11"/>
      <c r="K6359" s="11"/>
    </row>
    <row r="6360" spans="3:11">
      <c r="C6360" s="11"/>
      <c r="K6360" s="11"/>
    </row>
    <row r="6361" spans="3:11">
      <c r="C6361" s="11"/>
      <c r="K6361" s="11"/>
    </row>
    <row r="6362" spans="3:11">
      <c r="C6362" s="11"/>
      <c r="K6362" s="11"/>
    </row>
    <row r="6363" spans="3:11">
      <c r="C6363" s="11"/>
      <c r="K6363" s="11"/>
    </row>
    <row r="6364" spans="3:11">
      <c r="C6364" s="11"/>
      <c r="K6364" s="11"/>
    </row>
    <row r="6365" spans="3:11">
      <c r="C6365" s="11"/>
      <c r="K6365" s="11"/>
    </row>
    <row r="6366" spans="3:11">
      <c r="C6366" s="11"/>
      <c r="K6366" s="11"/>
    </row>
    <row r="6367" spans="3:11">
      <c r="C6367" s="11"/>
      <c r="K6367" s="11"/>
    </row>
    <row r="6368" spans="3:11">
      <c r="C6368" s="11"/>
      <c r="K6368" s="11"/>
    </row>
    <row r="6369" spans="3:11">
      <c r="C6369" s="11"/>
      <c r="K6369" s="11"/>
    </row>
    <row r="6370" spans="3:11">
      <c r="C6370" s="11"/>
      <c r="K6370" s="11"/>
    </row>
    <row r="6371" spans="3:11">
      <c r="C6371" s="11"/>
      <c r="K6371" s="11"/>
    </row>
    <row r="6372" spans="3:11">
      <c r="C6372" s="11"/>
      <c r="K6372" s="11"/>
    </row>
    <row r="6373" spans="3:11">
      <c r="C6373" s="11"/>
      <c r="K6373" s="11"/>
    </row>
    <row r="6374" spans="3:11">
      <c r="C6374" s="11"/>
      <c r="K6374" s="11"/>
    </row>
    <row r="6375" spans="3:11">
      <c r="C6375" s="11"/>
      <c r="K6375" s="11"/>
    </row>
    <row r="6376" spans="3:11">
      <c r="C6376" s="11"/>
      <c r="K6376" s="11"/>
    </row>
    <row r="6377" spans="3:11">
      <c r="C6377" s="11"/>
      <c r="K6377" s="11"/>
    </row>
    <row r="6378" spans="3:11">
      <c r="C6378" s="11"/>
      <c r="K6378" s="11"/>
    </row>
    <row r="6379" spans="3:11">
      <c r="C6379" s="11"/>
      <c r="K6379" s="11"/>
    </row>
    <row r="6380" spans="3:11">
      <c r="C6380" s="11"/>
      <c r="K6380" s="11"/>
    </row>
    <row r="6381" spans="3:11">
      <c r="C6381" s="11"/>
      <c r="K6381" s="11"/>
    </row>
    <row r="6382" spans="3:11">
      <c r="C6382" s="11"/>
      <c r="K6382" s="11"/>
    </row>
    <row r="6383" spans="3:11">
      <c r="C6383" s="11"/>
      <c r="K6383" s="11"/>
    </row>
    <row r="6384" spans="3:11">
      <c r="C6384" s="11"/>
      <c r="K6384" s="11"/>
    </row>
    <row r="6385" spans="3:11">
      <c r="C6385" s="11"/>
      <c r="K6385" s="11"/>
    </row>
    <row r="6386" spans="3:11">
      <c r="C6386" s="11"/>
      <c r="K6386" s="11"/>
    </row>
    <row r="6387" spans="3:11">
      <c r="C6387" s="11"/>
      <c r="K6387" s="11"/>
    </row>
    <row r="6388" spans="3:11">
      <c r="C6388" s="11"/>
      <c r="K6388" s="11"/>
    </row>
    <row r="6389" spans="3:11">
      <c r="C6389" s="11"/>
      <c r="K6389" s="11"/>
    </row>
    <row r="6390" spans="3:11">
      <c r="C6390" s="11"/>
      <c r="K6390" s="11"/>
    </row>
    <row r="6391" spans="3:11">
      <c r="C6391" s="11"/>
      <c r="K6391" s="11"/>
    </row>
    <row r="6392" spans="3:11">
      <c r="C6392" s="11"/>
      <c r="K6392" s="11"/>
    </row>
    <row r="6393" spans="3:11">
      <c r="C6393" s="11"/>
      <c r="K6393" s="11"/>
    </row>
    <row r="6394" spans="3:11">
      <c r="C6394" s="11"/>
      <c r="K6394" s="11"/>
    </row>
    <row r="6395" spans="3:11">
      <c r="C6395" s="11"/>
      <c r="K6395" s="11"/>
    </row>
    <row r="6396" spans="3:11">
      <c r="C6396" s="11"/>
      <c r="K6396" s="11"/>
    </row>
    <row r="6397" spans="3:11">
      <c r="C6397" s="11"/>
      <c r="K6397" s="11"/>
    </row>
    <row r="6398" spans="3:11">
      <c r="C6398" s="11"/>
      <c r="K6398" s="11"/>
    </row>
    <row r="6399" spans="3:11">
      <c r="C6399" s="11"/>
      <c r="K6399" s="11"/>
    </row>
    <row r="6400" spans="3:11">
      <c r="C6400" s="11"/>
      <c r="K6400" s="11"/>
    </row>
    <row r="6401" spans="3:11">
      <c r="C6401" s="11"/>
      <c r="K6401" s="11"/>
    </row>
    <row r="6402" spans="3:11">
      <c r="C6402" s="11"/>
      <c r="K6402" s="11"/>
    </row>
    <row r="6403" spans="3:11">
      <c r="C6403" s="11"/>
      <c r="K6403" s="11"/>
    </row>
    <row r="6404" spans="3:11">
      <c r="C6404" s="11"/>
      <c r="K6404" s="11"/>
    </row>
    <row r="6405" spans="3:11">
      <c r="C6405" s="11"/>
      <c r="K6405" s="11"/>
    </row>
    <row r="6406" spans="3:11">
      <c r="C6406" s="11"/>
      <c r="K6406" s="11"/>
    </row>
    <row r="6407" spans="3:11">
      <c r="C6407" s="11"/>
      <c r="K6407" s="11"/>
    </row>
    <row r="6408" spans="3:11">
      <c r="C6408" s="11"/>
      <c r="K6408" s="11"/>
    </row>
    <row r="6409" spans="3:11">
      <c r="C6409" s="11"/>
      <c r="K6409" s="11"/>
    </row>
    <row r="6410" spans="3:11">
      <c r="C6410" s="11"/>
      <c r="K6410" s="11"/>
    </row>
    <row r="6411" spans="3:11">
      <c r="C6411" s="11"/>
      <c r="K6411" s="11"/>
    </row>
    <row r="6412" spans="3:11">
      <c r="C6412" s="11"/>
      <c r="K6412" s="11"/>
    </row>
    <row r="6413" spans="3:11">
      <c r="C6413" s="11"/>
      <c r="K6413" s="11"/>
    </row>
    <row r="6414" spans="3:11">
      <c r="C6414" s="11"/>
      <c r="K6414" s="11"/>
    </row>
    <row r="6415" spans="3:11">
      <c r="C6415" s="11"/>
      <c r="K6415" s="11"/>
    </row>
    <row r="6416" spans="3:11">
      <c r="C6416" s="11"/>
      <c r="K6416" s="11"/>
    </row>
    <row r="6417" spans="3:11">
      <c r="C6417" s="11"/>
      <c r="K6417" s="11"/>
    </row>
    <row r="6418" spans="3:11">
      <c r="C6418" s="11"/>
      <c r="K6418" s="11"/>
    </row>
    <row r="6419" spans="3:11">
      <c r="C6419" s="11"/>
      <c r="K6419" s="11"/>
    </row>
    <row r="6420" spans="3:11">
      <c r="C6420" s="11"/>
      <c r="K6420" s="11"/>
    </row>
    <row r="6421" spans="3:11">
      <c r="C6421" s="11"/>
      <c r="K6421" s="11"/>
    </row>
    <row r="6422" spans="3:11">
      <c r="C6422" s="11"/>
      <c r="K6422" s="11"/>
    </row>
    <row r="6423" spans="3:11">
      <c r="C6423" s="11"/>
      <c r="K6423" s="11"/>
    </row>
    <row r="6424" spans="3:11">
      <c r="C6424" s="11"/>
      <c r="K6424" s="11"/>
    </row>
    <row r="6425" spans="3:11">
      <c r="C6425" s="11"/>
      <c r="K6425" s="11"/>
    </row>
    <row r="6426" spans="3:11">
      <c r="C6426" s="11"/>
      <c r="K6426" s="11"/>
    </row>
    <row r="6427" spans="3:11">
      <c r="C6427" s="11"/>
      <c r="K6427" s="11"/>
    </row>
    <row r="6428" spans="3:11">
      <c r="C6428" s="11"/>
      <c r="K6428" s="11"/>
    </row>
    <row r="6429" spans="3:11">
      <c r="C6429" s="11"/>
      <c r="K6429" s="11"/>
    </row>
    <row r="6430" spans="3:11">
      <c r="C6430" s="11"/>
      <c r="K6430" s="11"/>
    </row>
    <row r="6431" spans="3:11">
      <c r="C6431" s="11"/>
      <c r="K6431" s="11"/>
    </row>
    <row r="6432" spans="3:11">
      <c r="C6432" s="11"/>
      <c r="K6432" s="11"/>
    </row>
    <row r="6433" spans="3:11">
      <c r="C6433" s="11"/>
      <c r="K6433" s="11"/>
    </row>
    <row r="6434" spans="3:11">
      <c r="C6434" s="11"/>
      <c r="K6434" s="11"/>
    </row>
    <row r="6435" spans="3:11">
      <c r="C6435" s="11"/>
      <c r="K6435" s="11"/>
    </row>
    <row r="6436" spans="3:11">
      <c r="C6436" s="11"/>
      <c r="K6436" s="11"/>
    </row>
    <row r="6437" spans="3:11">
      <c r="C6437" s="11"/>
      <c r="K6437" s="11"/>
    </row>
    <row r="6438" spans="3:11">
      <c r="C6438" s="11"/>
      <c r="K6438" s="11"/>
    </row>
    <row r="6439" spans="3:11">
      <c r="C6439" s="11"/>
      <c r="K6439" s="11"/>
    </row>
    <row r="6440" spans="3:11">
      <c r="C6440" s="11"/>
      <c r="K6440" s="11"/>
    </row>
    <row r="6441" spans="3:11">
      <c r="C6441" s="11"/>
      <c r="K6441" s="11"/>
    </row>
    <row r="6442" spans="3:11">
      <c r="C6442" s="11"/>
      <c r="K6442" s="11"/>
    </row>
    <row r="6443" spans="3:11">
      <c r="C6443" s="11"/>
      <c r="K6443" s="11"/>
    </row>
    <row r="6444" spans="3:11">
      <c r="C6444" s="11"/>
      <c r="K6444" s="11"/>
    </row>
    <row r="6445" spans="3:11">
      <c r="C6445" s="11"/>
      <c r="K6445" s="11"/>
    </row>
    <row r="6446" spans="3:11">
      <c r="C6446" s="11"/>
      <c r="K6446" s="11"/>
    </row>
    <row r="6447" spans="3:11">
      <c r="C6447" s="11"/>
      <c r="K6447" s="11"/>
    </row>
    <row r="6448" spans="3:11">
      <c r="C6448" s="11"/>
      <c r="K6448" s="11"/>
    </row>
    <row r="6449" spans="3:11">
      <c r="C6449" s="11"/>
      <c r="K6449" s="11"/>
    </row>
    <row r="6450" spans="3:11">
      <c r="C6450" s="11"/>
      <c r="K6450" s="11"/>
    </row>
    <row r="6451" spans="3:11">
      <c r="C6451" s="11"/>
      <c r="K6451" s="11"/>
    </row>
    <row r="6452" spans="3:11">
      <c r="C6452" s="11"/>
      <c r="K6452" s="11"/>
    </row>
    <row r="6453" spans="3:11">
      <c r="C6453" s="11"/>
      <c r="K6453" s="11"/>
    </row>
    <row r="6454" spans="3:11">
      <c r="C6454" s="11"/>
      <c r="K6454" s="11"/>
    </row>
    <row r="6455" spans="3:11">
      <c r="C6455" s="11"/>
      <c r="K6455" s="11"/>
    </row>
    <row r="6456" spans="3:11">
      <c r="C6456" s="11"/>
      <c r="K6456" s="11"/>
    </row>
    <row r="6457" spans="3:11">
      <c r="C6457" s="11"/>
      <c r="K6457" s="11"/>
    </row>
    <row r="6458" spans="3:11">
      <c r="C6458" s="11"/>
      <c r="K6458" s="11"/>
    </row>
    <row r="6459" spans="3:11">
      <c r="C6459" s="11"/>
      <c r="K6459" s="11"/>
    </row>
    <row r="6460" spans="3:11">
      <c r="C6460" s="11"/>
      <c r="K6460" s="11"/>
    </row>
    <row r="6461" spans="3:11">
      <c r="C6461" s="11"/>
      <c r="K6461" s="11"/>
    </row>
    <row r="6462" spans="3:11">
      <c r="C6462" s="11"/>
      <c r="K6462" s="11"/>
    </row>
    <row r="6463" spans="3:11">
      <c r="C6463" s="11"/>
      <c r="K6463" s="11"/>
    </row>
    <row r="6464" spans="3:11">
      <c r="C6464" s="11"/>
      <c r="K6464" s="11"/>
    </row>
    <row r="6465" spans="3:11">
      <c r="C6465" s="11"/>
      <c r="K6465" s="11"/>
    </row>
    <row r="6466" spans="3:11">
      <c r="C6466" s="11"/>
      <c r="K6466" s="11"/>
    </row>
    <row r="6467" spans="3:11">
      <c r="C6467" s="11"/>
      <c r="K6467" s="11"/>
    </row>
    <row r="6468" spans="3:11">
      <c r="C6468" s="11"/>
      <c r="K6468" s="11"/>
    </row>
    <row r="6469" spans="3:11">
      <c r="C6469" s="11"/>
      <c r="K6469" s="11"/>
    </row>
    <row r="6470" spans="3:11">
      <c r="C6470" s="11"/>
      <c r="K6470" s="11"/>
    </row>
    <row r="6471" spans="3:11">
      <c r="C6471" s="11"/>
      <c r="K6471" s="11"/>
    </row>
    <row r="6472" spans="3:11">
      <c r="C6472" s="11"/>
      <c r="K6472" s="11"/>
    </row>
    <row r="6473" spans="3:11">
      <c r="C6473" s="11"/>
      <c r="K6473" s="11"/>
    </row>
    <row r="6474" spans="3:11">
      <c r="C6474" s="11"/>
      <c r="K6474" s="11"/>
    </row>
    <row r="6475" spans="3:11">
      <c r="C6475" s="11"/>
      <c r="K6475" s="11"/>
    </row>
    <row r="6476" spans="3:11">
      <c r="C6476" s="11"/>
      <c r="K6476" s="11"/>
    </row>
    <row r="6477" spans="3:11">
      <c r="C6477" s="11"/>
      <c r="K6477" s="11"/>
    </row>
    <row r="6478" spans="3:11">
      <c r="C6478" s="11"/>
      <c r="K6478" s="11"/>
    </row>
    <row r="6479" spans="3:11">
      <c r="C6479" s="11"/>
      <c r="K6479" s="11"/>
    </row>
    <row r="6480" spans="3:11">
      <c r="C6480" s="11"/>
      <c r="K6480" s="11"/>
    </row>
    <row r="6481" spans="3:11">
      <c r="C6481" s="11"/>
      <c r="K6481" s="11"/>
    </row>
    <row r="6482" spans="3:11">
      <c r="C6482" s="11"/>
      <c r="K6482" s="11"/>
    </row>
    <row r="6483" spans="3:11">
      <c r="C6483" s="11"/>
      <c r="K6483" s="11"/>
    </row>
    <row r="6484" spans="3:11">
      <c r="C6484" s="11"/>
      <c r="K6484" s="11"/>
    </row>
    <row r="6485" spans="3:11">
      <c r="C6485" s="11"/>
      <c r="K6485" s="11"/>
    </row>
    <row r="6486" spans="3:11">
      <c r="C6486" s="11"/>
      <c r="K6486" s="11"/>
    </row>
    <row r="6487" spans="3:11">
      <c r="C6487" s="11"/>
      <c r="K6487" s="11"/>
    </row>
    <row r="6488" spans="3:11">
      <c r="C6488" s="11"/>
      <c r="K6488" s="11"/>
    </row>
    <row r="6489" spans="3:11">
      <c r="C6489" s="11"/>
      <c r="K6489" s="11"/>
    </row>
    <row r="6490" spans="3:11">
      <c r="C6490" s="11"/>
      <c r="K6490" s="11"/>
    </row>
    <row r="6491" spans="3:11">
      <c r="C6491" s="11"/>
      <c r="K6491" s="11"/>
    </row>
    <row r="6492" spans="3:11">
      <c r="C6492" s="11"/>
      <c r="K6492" s="11"/>
    </row>
    <row r="6493" spans="3:11">
      <c r="C6493" s="11"/>
      <c r="K6493" s="11"/>
    </row>
    <row r="6494" spans="3:11">
      <c r="C6494" s="11"/>
      <c r="K6494" s="11"/>
    </row>
    <row r="6495" spans="3:11">
      <c r="C6495" s="11"/>
      <c r="K6495" s="11"/>
    </row>
    <row r="6496" spans="3:11">
      <c r="C6496" s="11"/>
      <c r="K6496" s="11"/>
    </row>
    <row r="6497" spans="3:11">
      <c r="C6497" s="11"/>
      <c r="K6497" s="11"/>
    </row>
    <row r="6498" spans="3:11">
      <c r="C6498" s="11"/>
      <c r="K6498" s="11"/>
    </row>
    <row r="6499" spans="3:11">
      <c r="C6499" s="11"/>
      <c r="K6499" s="11"/>
    </row>
    <row r="6500" spans="3:11">
      <c r="C6500" s="11"/>
      <c r="K6500" s="11"/>
    </row>
    <row r="6501" spans="3:11">
      <c r="C6501" s="11"/>
      <c r="K6501" s="11"/>
    </row>
    <row r="6502" spans="3:11">
      <c r="C6502" s="11"/>
      <c r="K6502" s="11"/>
    </row>
    <row r="6503" spans="3:11">
      <c r="C6503" s="11"/>
      <c r="K6503" s="11"/>
    </row>
    <row r="6504" spans="3:11">
      <c r="C6504" s="11"/>
      <c r="K6504" s="11"/>
    </row>
    <row r="6505" spans="3:11">
      <c r="C6505" s="11"/>
      <c r="K6505" s="11"/>
    </row>
    <row r="6506" spans="3:11">
      <c r="C6506" s="11"/>
      <c r="K6506" s="11"/>
    </row>
    <row r="6507" spans="3:11">
      <c r="C6507" s="11"/>
      <c r="K6507" s="11"/>
    </row>
    <row r="6508" spans="3:11">
      <c r="C6508" s="11"/>
      <c r="K6508" s="11"/>
    </row>
    <row r="6509" spans="3:11">
      <c r="C6509" s="11"/>
      <c r="K6509" s="11"/>
    </row>
    <row r="6510" spans="3:11">
      <c r="C6510" s="11"/>
      <c r="K6510" s="11"/>
    </row>
    <row r="6511" spans="3:11">
      <c r="C6511" s="11"/>
      <c r="K6511" s="11"/>
    </row>
    <row r="6512" spans="3:11">
      <c r="C6512" s="11"/>
      <c r="K6512" s="11"/>
    </row>
    <row r="6513" spans="3:11">
      <c r="C6513" s="11"/>
      <c r="K6513" s="11"/>
    </row>
    <row r="6514" spans="3:11">
      <c r="C6514" s="11"/>
      <c r="K6514" s="11"/>
    </row>
    <row r="6515" spans="3:11">
      <c r="C6515" s="11"/>
      <c r="K6515" s="11"/>
    </row>
    <row r="6516" spans="3:11">
      <c r="C6516" s="11"/>
      <c r="K6516" s="11"/>
    </row>
    <row r="6517" spans="3:11">
      <c r="C6517" s="11"/>
      <c r="K6517" s="11"/>
    </row>
    <row r="6518" spans="3:11">
      <c r="C6518" s="11"/>
      <c r="K6518" s="11"/>
    </row>
    <row r="6519" spans="3:11">
      <c r="C6519" s="11"/>
      <c r="K6519" s="11"/>
    </row>
    <row r="6520" spans="3:11">
      <c r="C6520" s="11"/>
      <c r="K6520" s="11"/>
    </row>
    <row r="6521" spans="3:11">
      <c r="C6521" s="11"/>
      <c r="K6521" s="11"/>
    </row>
    <row r="6522" spans="3:11">
      <c r="C6522" s="11"/>
      <c r="K6522" s="11"/>
    </row>
    <row r="6523" spans="3:11">
      <c r="C6523" s="11"/>
      <c r="K6523" s="11"/>
    </row>
    <row r="6524" spans="3:11">
      <c r="C6524" s="11"/>
      <c r="K6524" s="11"/>
    </row>
    <row r="6525" spans="3:11">
      <c r="C6525" s="11"/>
      <c r="K6525" s="11"/>
    </row>
    <row r="6526" spans="3:11">
      <c r="C6526" s="11"/>
      <c r="K6526" s="11"/>
    </row>
    <row r="6527" spans="3:11">
      <c r="C6527" s="11"/>
      <c r="K6527" s="11"/>
    </row>
    <row r="6528" spans="3:11">
      <c r="C6528" s="11"/>
      <c r="K6528" s="11"/>
    </row>
    <row r="6529" spans="3:11">
      <c r="C6529" s="11"/>
      <c r="K6529" s="11"/>
    </row>
    <row r="6530" spans="3:11">
      <c r="C6530" s="11"/>
      <c r="K6530" s="11"/>
    </row>
    <row r="6531" spans="3:11">
      <c r="C6531" s="11"/>
      <c r="K6531" s="11"/>
    </row>
    <row r="6532" spans="3:11">
      <c r="C6532" s="11"/>
      <c r="K6532" s="11"/>
    </row>
    <row r="6533" spans="3:11">
      <c r="C6533" s="11"/>
      <c r="K6533" s="11"/>
    </row>
    <row r="6534" spans="3:11">
      <c r="C6534" s="11"/>
      <c r="K6534" s="11"/>
    </row>
    <row r="6535" spans="3:11">
      <c r="C6535" s="11"/>
      <c r="K6535" s="11"/>
    </row>
    <row r="6536" spans="3:11">
      <c r="C6536" s="11"/>
      <c r="K6536" s="11"/>
    </row>
    <row r="6537" spans="3:11">
      <c r="C6537" s="11"/>
      <c r="K6537" s="11"/>
    </row>
    <row r="6538" spans="3:11">
      <c r="C6538" s="11"/>
      <c r="K6538" s="11"/>
    </row>
    <row r="6539" spans="3:11">
      <c r="C6539" s="11"/>
      <c r="K6539" s="11"/>
    </row>
    <row r="6540" spans="3:11">
      <c r="C6540" s="11"/>
      <c r="K6540" s="11"/>
    </row>
    <row r="6541" spans="3:11">
      <c r="C6541" s="11"/>
      <c r="K6541" s="11"/>
    </row>
    <row r="6542" spans="3:11">
      <c r="C6542" s="11"/>
      <c r="K6542" s="11"/>
    </row>
    <row r="6543" spans="3:11">
      <c r="C6543" s="11"/>
      <c r="K6543" s="11"/>
    </row>
    <row r="6544" spans="3:11">
      <c r="C6544" s="11"/>
      <c r="K6544" s="11"/>
    </row>
    <row r="6545" spans="3:11">
      <c r="C6545" s="11"/>
      <c r="K6545" s="11"/>
    </row>
    <row r="6546" spans="3:11">
      <c r="C6546" s="11"/>
      <c r="K6546" s="11"/>
    </row>
    <row r="6547" spans="3:11">
      <c r="C6547" s="11"/>
      <c r="K6547" s="11"/>
    </row>
    <row r="6548" spans="3:11">
      <c r="C6548" s="11"/>
      <c r="K6548" s="11"/>
    </row>
    <row r="6549" spans="3:11">
      <c r="C6549" s="11"/>
      <c r="K6549" s="11"/>
    </row>
    <row r="6550" spans="3:11">
      <c r="C6550" s="11"/>
      <c r="K6550" s="11"/>
    </row>
    <row r="6551" spans="3:11">
      <c r="C6551" s="11"/>
      <c r="K6551" s="11"/>
    </row>
    <row r="6552" spans="3:11">
      <c r="C6552" s="11"/>
      <c r="K6552" s="11"/>
    </row>
    <row r="6553" spans="3:11">
      <c r="C6553" s="11"/>
      <c r="K6553" s="11"/>
    </row>
    <row r="6554" spans="3:11">
      <c r="C6554" s="11"/>
      <c r="K6554" s="11"/>
    </row>
    <row r="6555" spans="3:11">
      <c r="C6555" s="11"/>
      <c r="K6555" s="11"/>
    </row>
    <row r="6556" spans="3:11">
      <c r="C6556" s="11"/>
      <c r="K6556" s="11"/>
    </row>
    <row r="6557" spans="3:11">
      <c r="C6557" s="11"/>
      <c r="K6557" s="11"/>
    </row>
    <row r="6558" spans="3:11">
      <c r="C6558" s="11"/>
      <c r="K6558" s="11"/>
    </row>
    <row r="6559" spans="3:11">
      <c r="C6559" s="11"/>
      <c r="K6559" s="11"/>
    </row>
    <row r="6560" spans="3:11">
      <c r="C6560" s="11"/>
      <c r="K6560" s="11"/>
    </row>
    <row r="6561" spans="3:11">
      <c r="C6561" s="11"/>
      <c r="K6561" s="11"/>
    </row>
    <row r="6562" spans="3:11">
      <c r="C6562" s="11"/>
      <c r="K6562" s="11"/>
    </row>
    <row r="6563" spans="3:11">
      <c r="C6563" s="11"/>
      <c r="K6563" s="11"/>
    </row>
    <row r="6564" spans="3:11">
      <c r="C6564" s="11"/>
      <c r="K6564" s="11"/>
    </row>
    <row r="6565" spans="3:11">
      <c r="C6565" s="11"/>
      <c r="K6565" s="11"/>
    </row>
    <row r="6566" spans="3:11">
      <c r="C6566" s="11"/>
      <c r="K6566" s="11"/>
    </row>
    <row r="6567" spans="3:11">
      <c r="C6567" s="11"/>
      <c r="K6567" s="11"/>
    </row>
    <row r="6568" spans="3:11">
      <c r="C6568" s="11"/>
      <c r="K6568" s="11"/>
    </row>
    <row r="6569" spans="3:11">
      <c r="C6569" s="11"/>
      <c r="K6569" s="11"/>
    </row>
    <row r="6570" spans="3:11">
      <c r="C6570" s="11"/>
      <c r="K6570" s="11"/>
    </row>
    <row r="6571" spans="3:11">
      <c r="C6571" s="11"/>
      <c r="K6571" s="11"/>
    </row>
    <row r="6572" spans="3:11">
      <c r="C6572" s="11"/>
      <c r="K6572" s="11"/>
    </row>
    <row r="6573" spans="3:11">
      <c r="C6573" s="11"/>
      <c r="K6573" s="11"/>
    </row>
    <row r="6574" spans="3:11">
      <c r="C6574" s="11"/>
      <c r="K6574" s="11"/>
    </row>
    <row r="6575" spans="3:11">
      <c r="C6575" s="11"/>
      <c r="K6575" s="11"/>
    </row>
    <row r="6576" spans="3:11">
      <c r="C6576" s="11"/>
      <c r="K6576" s="11"/>
    </row>
    <row r="6577" spans="3:11">
      <c r="C6577" s="11"/>
      <c r="K6577" s="11"/>
    </row>
    <row r="6578" spans="3:11">
      <c r="C6578" s="11"/>
      <c r="K6578" s="11"/>
    </row>
    <row r="6579" spans="3:11">
      <c r="C6579" s="11"/>
      <c r="K6579" s="11"/>
    </row>
    <row r="6580" spans="3:11">
      <c r="C6580" s="11"/>
      <c r="K6580" s="11"/>
    </row>
    <row r="6581" spans="3:11">
      <c r="C6581" s="11"/>
      <c r="K6581" s="11"/>
    </row>
    <row r="6582" spans="3:11">
      <c r="C6582" s="11"/>
      <c r="K6582" s="11"/>
    </row>
    <row r="6583" spans="3:11">
      <c r="C6583" s="11"/>
      <c r="K6583" s="11"/>
    </row>
    <row r="6584" spans="3:11">
      <c r="C6584" s="11"/>
      <c r="K6584" s="11"/>
    </row>
    <row r="6585" spans="3:11">
      <c r="C6585" s="11"/>
      <c r="K6585" s="11"/>
    </row>
    <row r="6586" spans="3:11">
      <c r="C6586" s="11"/>
      <c r="K6586" s="11"/>
    </row>
    <row r="6587" spans="3:11">
      <c r="C6587" s="11"/>
      <c r="K6587" s="11"/>
    </row>
    <row r="6588" spans="3:11">
      <c r="C6588" s="11"/>
      <c r="K6588" s="11"/>
    </row>
    <row r="6589" spans="3:11">
      <c r="C6589" s="11"/>
      <c r="K6589" s="11"/>
    </row>
    <row r="6590" spans="3:11">
      <c r="C6590" s="11"/>
      <c r="K6590" s="11"/>
    </row>
    <row r="6591" spans="3:11">
      <c r="C6591" s="11"/>
      <c r="K6591" s="11"/>
    </row>
    <row r="6592" spans="3:11">
      <c r="C6592" s="11"/>
      <c r="K6592" s="11"/>
    </row>
    <row r="6593" spans="3:11">
      <c r="C6593" s="11"/>
      <c r="K6593" s="11"/>
    </row>
    <row r="6594" spans="3:11">
      <c r="C6594" s="11"/>
      <c r="K6594" s="11"/>
    </row>
    <row r="6595" spans="3:11">
      <c r="C6595" s="11"/>
      <c r="K6595" s="11"/>
    </row>
    <row r="6596" spans="3:11">
      <c r="C6596" s="11"/>
      <c r="K6596" s="11"/>
    </row>
    <row r="6597" spans="3:11">
      <c r="C6597" s="11"/>
      <c r="K6597" s="11"/>
    </row>
    <row r="6598" spans="3:11">
      <c r="C6598" s="11"/>
      <c r="K6598" s="11"/>
    </row>
    <row r="6599" spans="3:11">
      <c r="C6599" s="11"/>
      <c r="K6599" s="11"/>
    </row>
    <row r="6600" spans="3:11">
      <c r="C6600" s="11"/>
      <c r="K6600" s="11"/>
    </row>
    <row r="6601" spans="3:11">
      <c r="C6601" s="11"/>
      <c r="K6601" s="11"/>
    </row>
    <row r="6602" spans="3:11">
      <c r="C6602" s="11"/>
      <c r="K6602" s="11"/>
    </row>
    <row r="6603" spans="3:11">
      <c r="C6603" s="11"/>
      <c r="K6603" s="11"/>
    </row>
    <row r="6604" spans="3:11">
      <c r="C6604" s="11"/>
      <c r="K6604" s="11"/>
    </row>
    <row r="6605" spans="3:11">
      <c r="C6605" s="11"/>
      <c r="K6605" s="11"/>
    </row>
    <row r="6606" spans="3:11">
      <c r="C6606" s="11"/>
      <c r="K6606" s="11"/>
    </row>
    <row r="6607" spans="3:11">
      <c r="C6607" s="11"/>
      <c r="K6607" s="11"/>
    </row>
    <row r="6608" spans="3:11">
      <c r="C6608" s="11"/>
      <c r="K6608" s="11"/>
    </row>
    <row r="6609" spans="3:11">
      <c r="C6609" s="11"/>
      <c r="K6609" s="11"/>
    </row>
    <row r="6610" spans="3:11">
      <c r="C6610" s="11"/>
      <c r="K6610" s="11"/>
    </row>
    <row r="6611" spans="3:11">
      <c r="C6611" s="11"/>
      <c r="K6611" s="11"/>
    </row>
    <row r="6612" spans="3:11">
      <c r="C6612" s="11"/>
      <c r="K6612" s="11"/>
    </row>
    <row r="6613" spans="3:11">
      <c r="C6613" s="11"/>
      <c r="K6613" s="11"/>
    </row>
    <row r="6614" spans="3:11">
      <c r="C6614" s="11"/>
      <c r="K6614" s="11"/>
    </row>
    <row r="6615" spans="3:11">
      <c r="C6615" s="11"/>
      <c r="K6615" s="11"/>
    </row>
    <row r="6616" spans="3:11">
      <c r="C6616" s="11"/>
      <c r="K6616" s="11"/>
    </row>
    <row r="6617" spans="3:11">
      <c r="C6617" s="11"/>
      <c r="K6617" s="11"/>
    </row>
    <row r="6618" spans="3:11">
      <c r="C6618" s="11"/>
      <c r="K6618" s="11"/>
    </row>
    <row r="6619" spans="3:11">
      <c r="C6619" s="11"/>
      <c r="K6619" s="11"/>
    </row>
    <row r="6620" spans="3:11">
      <c r="C6620" s="11"/>
      <c r="K6620" s="11"/>
    </row>
    <row r="6621" spans="3:11">
      <c r="C6621" s="11"/>
      <c r="K6621" s="11"/>
    </row>
    <row r="6622" spans="3:11">
      <c r="C6622" s="11"/>
      <c r="K6622" s="11"/>
    </row>
    <row r="6623" spans="3:11">
      <c r="C6623" s="11"/>
      <c r="K6623" s="11"/>
    </row>
    <row r="6624" spans="3:11">
      <c r="C6624" s="11"/>
      <c r="K6624" s="11"/>
    </row>
    <row r="6625" spans="3:11">
      <c r="C6625" s="11"/>
      <c r="K6625" s="11"/>
    </row>
    <row r="6626" spans="3:11">
      <c r="C6626" s="11"/>
      <c r="K6626" s="11"/>
    </row>
    <row r="6627" spans="3:11">
      <c r="C6627" s="11"/>
      <c r="K6627" s="11"/>
    </row>
    <row r="6628" spans="3:11">
      <c r="C6628" s="11"/>
      <c r="K6628" s="11"/>
    </row>
    <row r="6629" spans="3:11">
      <c r="C6629" s="11"/>
      <c r="K6629" s="11"/>
    </row>
    <row r="6630" spans="3:11">
      <c r="C6630" s="11"/>
      <c r="K6630" s="11"/>
    </row>
    <row r="6631" spans="3:11">
      <c r="C6631" s="11"/>
      <c r="K6631" s="11"/>
    </row>
    <row r="6632" spans="3:11">
      <c r="C6632" s="11"/>
      <c r="K6632" s="11"/>
    </row>
    <row r="6633" spans="3:11">
      <c r="C6633" s="11"/>
      <c r="K6633" s="11"/>
    </row>
    <row r="6634" spans="3:11">
      <c r="C6634" s="11"/>
      <c r="K6634" s="11"/>
    </row>
    <row r="6635" spans="3:11">
      <c r="C6635" s="11"/>
      <c r="K6635" s="11"/>
    </row>
    <row r="6636" spans="3:11">
      <c r="C6636" s="11"/>
      <c r="K6636" s="11"/>
    </row>
    <row r="6637" spans="3:11">
      <c r="C6637" s="11"/>
      <c r="K6637" s="11"/>
    </row>
    <row r="6638" spans="3:11">
      <c r="C6638" s="11"/>
      <c r="K6638" s="11"/>
    </row>
    <row r="6639" spans="3:11">
      <c r="C6639" s="11"/>
      <c r="K6639" s="11"/>
    </row>
    <row r="6640" spans="3:11">
      <c r="C6640" s="11"/>
      <c r="K6640" s="11"/>
    </row>
    <row r="6641" spans="3:11">
      <c r="C6641" s="11"/>
      <c r="K6641" s="11"/>
    </row>
    <row r="6642" spans="3:11">
      <c r="C6642" s="11"/>
      <c r="K6642" s="11"/>
    </row>
    <row r="6643" spans="3:11">
      <c r="C6643" s="11"/>
      <c r="K6643" s="11"/>
    </row>
    <row r="6644" spans="3:11">
      <c r="C6644" s="11"/>
      <c r="K6644" s="11"/>
    </row>
    <row r="6645" spans="3:11">
      <c r="C6645" s="11"/>
      <c r="K6645" s="11"/>
    </row>
    <row r="6646" spans="3:11">
      <c r="C6646" s="11"/>
      <c r="K6646" s="11"/>
    </row>
    <row r="6647" spans="3:11">
      <c r="C6647" s="11"/>
      <c r="K6647" s="11"/>
    </row>
    <row r="6648" spans="3:11">
      <c r="C6648" s="11"/>
      <c r="K6648" s="11"/>
    </row>
    <row r="6649" spans="3:11">
      <c r="C6649" s="11"/>
      <c r="K6649" s="11"/>
    </row>
    <row r="6650" spans="3:11">
      <c r="C6650" s="11"/>
      <c r="K6650" s="11"/>
    </row>
    <row r="6651" spans="3:11">
      <c r="C6651" s="11"/>
      <c r="K6651" s="11"/>
    </row>
    <row r="6652" spans="3:11">
      <c r="C6652" s="11"/>
      <c r="K6652" s="11"/>
    </row>
    <row r="6653" spans="3:11">
      <c r="C6653" s="11"/>
      <c r="K6653" s="11"/>
    </row>
    <row r="6654" spans="3:11">
      <c r="C6654" s="11"/>
      <c r="K6654" s="11"/>
    </row>
    <row r="6655" spans="3:11">
      <c r="C6655" s="11"/>
      <c r="K6655" s="11"/>
    </row>
    <row r="6656" spans="3:11">
      <c r="C6656" s="11"/>
      <c r="K6656" s="11"/>
    </row>
    <row r="6657" spans="3:11">
      <c r="C6657" s="11"/>
      <c r="K6657" s="11"/>
    </row>
    <row r="6658" spans="3:11">
      <c r="C6658" s="11"/>
      <c r="K6658" s="11"/>
    </row>
    <row r="6659" spans="3:11">
      <c r="C6659" s="11"/>
      <c r="K6659" s="11"/>
    </row>
    <row r="6660" spans="3:11">
      <c r="C6660" s="11"/>
      <c r="K6660" s="11"/>
    </row>
    <row r="6661" spans="3:11">
      <c r="C6661" s="11"/>
      <c r="K6661" s="11"/>
    </row>
    <row r="6662" spans="3:11">
      <c r="C6662" s="11"/>
      <c r="K6662" s="11"/>
    </row>
    <row r="6663" spans="3:11">
      <c r="C6663" s="11"/>
      <c r="K6663" s="11"/>
    </row>
    <row r="6664" spans="3:11">
      <c r="C6664" s="11"/>
      <c r="K6664" s="11"/>
    </row>
    <row r="6665" spans="3:11">
      <c r="C6665" s="11"/>
      <c r="K6665" s="11"/>
    </row>
    <row r="6666" spans="3:11">
      <c r="C6666" s="11"/>
      <c r="K6666" s="11"/>
    </row>
    <row r="6667" spans="3:11">
      <c r="C6667" s="11"/>
      <c r="K6667" s="11"/>
    </row>
    <row r="6668" spans="3:11">
      <c r="C6668" s="11"/>
      <c r="K6668" s="11"/>
    </row>
    <row r="6669" spans="3:11">
      <c r="C6669" s="11"/>
      <c r="K6669" s="11"/>
    </row>
    <row r="6670" spans="3:11">
      <c r="C6670" s="11"/>
      <c r="K6670" s="11"/>
    </row>
    <row r="6671" spans="3:11">
      <c r="C6671" s="11"/>
      <c r="K6671" s="11"/>
    </row>
    <row r="6672" spans="3:11">
      <c r="C6672" s="11"/>
      <c r="K6672" s="11"/>
    </row>
    <row r="6673" spans="3:11">
      <c r="C6673" s="11"/>
      <c r="K6673" s="11"/>
    </row>
    <row r="6674" spans="3:11">
      <c r="C6674" s="11"/>
      <c r="K6674" s="11"/>
    </row>
    <row r="6675" spans="3:11">
      <c r="C6675" s="11"/>
      <c r="K6675" s="11"/>
    </row>
    <row r="6676" spans="3:11">
      <c r="C6676" s="11"/>
      <c r="K6676" s="11"/>
    </row>
    <row r="6677" spans="3:11">
      <c r="C6677" s="11"/>
      <c r="K6677" s="11"/>
    </row>
    <row r="6678" spans="3:11">
      <c r="C6678" s="11"/>
      <c r="K6678" s="11"/>
    </row>
    <row r="6679" spans="3:11">
      <c r="C6679" s="11"/>
      <c r="K6679" s="11"/>
    </row>
    <row r="6680" spans="3:11">
      <c r="C6680" s="11"/>
      <c r="K6680" s="11"/>
    </row>
    <row r="6681" spans="3:11">
      <c r="C6681" s="11"/>
      <c r="K6681" s="11"/>
    </row>
    <row r="6682" spans="3:11">
      <c r="C6682" s="11"/>
      <c r="K6682" s="11"/>
    </row>
    <row r="6683" spans="3:11">
      <c r="C6683" s="11"/>
      <c r="K6683" s="11"/>
    </row>
    <row r="6684" spans="3:11">
      <c r="C6684" s="11"/>
      <c r="K6684" s="11"/>
    </row>
    <row r="6685" spans="3:11">
      <c r="C6685" s="11"/>
      <c r="K6685" s="11"/>
    </row>
    <row r="6686" spans="3:11">
      <c r="C6686" s="11"/>
      <c r="K6686" s="11"/>
    </row>
    <row r="6687" spans="3:11">
      <c r="C6687" s="11"/>
      <c r="K6687" s="11"/>
    </row>
    <row r="6688" spans="3:11">
      <c r="C6688" s="11"/>
      <c r="K6688" s="11"/>
    </row>
    <row r="6689" spans="3:11">
      <c r="C6689" s="11"/>
      <c r="K6689" s="11"/>
    </row>
    <row r="6690" spans="3:11">
      <c r="C6690" s="11"/>
      <c r="K6690" s="11"/>
    </row>
    <row r="6691" spans="3:11">
      <c r="C6691" s="11"/>
      <c r="K6691" s="11"/>
    </row>
    <row r="6692" spans="3:11">
      <c r="C6692" s="11"/>
      <c r="K6692" s="11"/>
    </row>
    <row r="6693" spans="3:11">
      <c r="C6693" s="11"/>
      <c r="K6693" s="11"/>
    </row>
    <row r="6694" spans="3:11">
      <c r="C6694" s="11"/>
      <c r="K6694" s="11"/>
    </row>
    <row r="6695" spans="3:11">
      <c r="C6695" s="11"/>
      <c r="K6695" s="11"/>
    </row>
    <row r="6696" spans="3:11">
      <c r="C6696" s="11"/>
      <c r="K6696" s="11"/>
    </row>
    <row r="6697" spans="3:11">
      <c r="C6697" s="11"/>
      <c r="K6697" s="11"/>
    </row>
    <row r="6698" spans="3:11">
      <c r="C6698" s="11"/>
      <c r="K6698" s="11"/>
    </row>
    <row r="6699" spans="3:11">
      <c r="C6699" s="11"/>
      <c r="K6699" s="11"/>
    </row>
    <row r="6700" spans="3:11">
      <c r="C6700" s="11"/>
      <c r="K6700" s="11"/>
    </row>
    <row r="6701" spans="3:11">
      <c r="C6701" s="11"/>
      <c r="K6701" s="11"/>
    </row>
    <row r="6702" spans="3:11">
      <c r="C6702" s="11"/>
      <c r="K6702" s="11"/>
    </row>
    <row r="6703" spans="3:11">
      <c r="C6703" s="11"/>
      <c r="K6703" s="11"/>
    </row>
    <row r="6704" spans="3:11">
      <c r="C6704" s="11"/>
      <c r="K6704" s="11"/>
    </row>
    <row r="6705" spans="3:11">
      <c r="C6705" s="11"/>
      <c r="K6705" s="11"/>
    </row>
    <row r="6706" spans="3:11">
      <c r="C6706" s="11"/>
      <c r="K6706" s="11"/>
    </row>
    <row r="6707" spans="3:11">
      <c r="C6707" s="11"/>
      <c r="K6707" s="11"/>
    </row>
    <row r="6708" spans="3:11">
      <c r="C6708" s="11"/>
      <c r="K6708" s="11"/>
    </row>
    <row r="6709" spans="3:11">
      <c r="C6709" s="11"/>
      <c r="K6709" s="11"/>
    </row>
    <row r="6710" spans="3:11">
      <c r="C6710" s="11"/>
      <c r="K6710" s="11"/>
    </row>
    <row r="6711" spans="3:11">
      <c r="C6711" s="11"/>
      <c r="K6711" s="11"/>
    </row>
    <row r="6712" spans="3:11">
      <c r="C6712" s="11"/>
      <c r="K6712" s="11"/>
    </row>
    <row r="6713" spans="3:11">
      <c r="C6713" s="11"/>
      <c r="K6713" s="11"/>
    </row>
    <row r="6714" spans="3:11">
      <c r="C6714" s="11"/>
      <c r="K6714" s="11"/>
    </row>
    <row r="6715" spans="3:11">
      <c r="C6715" s="11"/>
      <c r="K6715" s="11"/>
    </row>
    <row r="6716" spans="3:11">
      <c r="C6716" s="11"/>
      <c r="K6716" s="11"/>
    </row>
    <row r="6717" spans="3:11">
      <c r="C6717" s="11"/>
      <c r="K6717" s="11"/>
    </row>
    <row r="6718" spans="3:11">
      <c r="C6718" s="11"/>
      <c r="K6718" s="11"/>
    </row>
    <row r="6719" spans="3:11">
      <c r="C6719" s="11"/>
      <c r="K6719" s="11"/>
    </row>
    <row r="6720" spans="3:11">
      <c r="C6720" s="11"/>
      <c r="K6720" s="11"/>
    </row>
    <row r="6721" spans="3:11">
      <c r="C6721" s="11"/>
      <c r="K6721" s="11"/>
    </row>
    <row r="6722" spans="3:11">
      <c r="C6722" s="11"/>
      <c r="K6722" s="11"/>
    </row>
    <row r="6723" spans="3:11">
      <c r="C6723" s="11"/>
      <c r="K6723" s="11"/>
    </row>
    <row r="6724" spans="3:11">
      <c r="C6724" s="11"/>
      <c r="K6724" s="11"/>
    </row>
    <row r="6725" spans="3:11">
      <c r="C6725" s="11"/>
      <c r="K6725" s="11"/>
    </row>
    <row r="6726" spans="3:11">
      <c r="C6726" s="11"/>
      <c r="K6726" s="11"/>
    </row>
    <row r="6727" spans="3:11">
      <c r="C6727" s="11"/>
      <c r="K6727" s="11"/>
    </row>
    <row r="6728" spans="3:11">
      <c r="C6728" s="11"/>
      <c r="K6728" s="11"/>
    </row>
    <row r="6729" spans="3:11">
      <c r="C6729" s="11"/>
      <c r="K6729" s="11"/>
    </row>
    <row r="6730" spans="3:11">
      <c r="C6730" s="11"/>
      <c r="K6730" s="11"/>
    </row>
    <row r="6731" spans="3:11">
      <c r="C6731" s="11"/>
      <c r="K6731" s="11"/>
    </row>
    <row r="6732" spans="3:11">
      <c r="C6732" s="11"/>
      <c r="K6732" s="11"/>
    </row>
    <row r="6733" spans="3:11">
      <c r="C6733" s="11"/>
      <c r="K6733" s="11"/>
    </row>
    <row r="6734" spans="3:11">
      <c r="C6734" s="11"/>
      <c r="K6734" s="11"/>
    </row>
    <row r="6735" spans="3:11">
      <c r="C6735" s="11"/>
      <c r="K6735" s="11"/>
    </row>
    <row r="6736" spans="3:11">
      <c r="C6736" s="11"/>
      <c r="K6736" s="11"/>
    </row>
    <row r="6737" spans="3:11">
      <c r="C6737" s="11"/>
      <c r="K6737" s="11"/>
    </row>
    <row r="6738" spans="3:11">
      <c r="C6738" s="11"/>
      <c r="K6738" s="11"/>
    </row>
    <row r="6739" spans="3:11">
      <c r="C6739" s="11"/>
      <c r="K6739" s="11"/>
    </row>
    <row r="6740" spans="3:11">
      <c r="C6740" s="11"/>
      <c r="K6740" s="11"/>
    </row>
    <row r="6741" spans="3:11">
      <c r="C6741" s="11"/>
      <c r="K6741" s="11"/>
    </row>
    <row r="6742" spans="3:11">
      <c r="C6742" s="11"/>
      <c r="K6742" s="11"/>
    </row>
    <row r="6743" spans="3:11">
      <c r="C6743" s="11"/>
      <c r="K6743" s="11"/>
    </row>
    <row r="6744" spans="3:11">
      <c r="C6744" s="11"/>
      <c r="K6744" s="11"/>
    </row>
    <row r="6745" spans="3:11">
      <c r="C6745" s="11"/>
      <c r="K6745" s="11"/>
    </row>
    <row r="6746" spans="3:11">
      <c r="C6746" s="11"/>
      <c r="K6746" s="11"/>
    </row>
    <row r="6747" spans="3:11">
      <c r="C6747" s="11"/>
      <c r="K6747" s="11"/>
    </row>
    <row r="6748" spans="3:11">
      <c r="C6748" s="11"/>
      <c r="K6748" s="11"/>
    </row>
    <row r="6749" spans="3:11">
      <c r="C6749" s="11"/>
      <c r="K6749" s="11"/>
    </row>
    <row r="6750" spans="3:11">
      <c r="C6750" s="11"/>
      <c r="K6750" s="11"/>
    </row>
    <row r="6751" spans="3:11">
      <c r="C6751" s="11"/>
      <c r="K6751" s="11"/>
    </row>
    <row r="6752" spans="3:11">
      <c r="C6752" s="11"/>
      <c r="K6752" s="11"/>
    </row>
    <row r="6753" spans="3:11">
      <c r="C6753" s="11"/>
      <c r="K6753" s="11"/>
    </row>
    <row r="6754" spans="3:11">
      <c r="C6754" s="11"/>
      <c r="K6754" s="11"/>
    </row>
    <row r="6755" spans="3:11">
      <c r="C6755" s="11"/>
      <c r="K6755" s="11"/>
    </row>
    <row r="6756" spans="3:11">
      <c r="C6756" s="11"/>
      <c r="K6756" s="11"/>
    </row>
    <row r="6757" spans="3:11">
      <c r="C6757" s="11"/>
      <c r="K6757" s="11"/>
    </row>
    <row r="6758" spans="3:11">
      <c r="C6758" s="11"/>
      <c r="K6758" s="11"/>
    </row>
    <row r="6759" spans="3:11">
      <c r="C6759" s="11"/>
      <c r="K6759" s="11"/>
    </row>
    <row r="6760" spans="3:11">
      <c r="C6760" s="11"/>
      <c r="K6760" s="11"/>
    </row>
    <row r="6761" spans="3:11">
      <c r="C6761" s="11"/>
      <c r="K6761" s="11"/>
    </row>
    <row r="6762" spans="3:11">
      <c r="C6762" s="11"/>
      <c r="K6762" s="11"/>
    </row>
    <row r="6763" spans="3:11">
      <c r="C6763" s="11"/>
      <c r="K6763" s="11"/>
    </row>
    <row r="6764" spans="3:11">
      <c r="C6764" s="11"/>
      <c r="K6764" s="11"/>
    </row>
    <row r="6765" spans="3:11">
      <c r="C6765" s="11"/>
      <c r="K6765" s="11"/>
    </row>
    <row r="6766" spans="3:11">
      <c r="C6766" s="11"/>
      <c r="K6766" s="11"/>
    </row>
    <row r="6767" spans="3:11">
      <c r="C6767" s="11"/>
      <c r="K6767" s="11"/>
    </row>
    <row r="6768" spans="3:11">
      <c r="C6768" s="11"/>
      <c r="K6768" s="11"/>
    </row>
    <row r="6769" spans="3:11">
      <c r="C6769" s="11"/>
      <c r="K6769" s="11"/>
    </row>
    <row r="6770" spans="3:11">
      <c r="C6770" s="11"/>
      <c r="K6770" s="11"/>
    </row>
    <row r="6771" spans="3:11">
      <c r="C6771" s="11"/>
      <c r="K6771" s="11"/>
    </row>
    <row r="6772" spans="3:11">
      <c r="C6772" s="11"/>
      <c r="K6772" s="11"/>
    </row>
    <row r="6773" spans="3:11">
      <c r="C6773" s="11"/>
      <c r="K6773" s="11"/>
    </row>
    <row r="6774" spans="3:11">
      <c r="C6774" s="11"/>
      <c r="K6774" s="11"/>
    </row>
    <row r="6775" spans="3:11">
      <c r="C6775" s="11"/>
      <c r="K6775" s="11"/>
    </row>
    <row r="6776" spans="3:11">
      <c r="C6776" s="11"/>
      <c r="K6776" s="11"/>
    </row>
    <row r="6777" spans="3:11">
      <c r="C6777" s="11"/>
      <c r="K6777" s="11"/>
    </row>
    <row r="6778" spans="3:11">
      <c r="C6778" s="11"/>
      <c r="K6778" s="11"/>
    </row>
    <row r="6779" spans="3:11">
      <c r="C6779" s="11"/>
      <c r="K6779" s="11"/>
    </row>
    <row r="6780" spans="3:11">
      <c r="C6780" s="11"/>
      <c r="K6780" s="11"/>
    </row>
    <row r="6781" spans="3:11">
      <c r="C6781" s="11"/>
      <c r="K6781" s="11"/>
    </row>
    <row r="6782" spans="3:11">
      <c r="C6782" s="11"/>
      <c r="K6782" s="11"/>
    </row>
    <row r="6783" spans="3:11">
      <c r="C6783" s="11"/>
      <c r="K6783" s="11"/>
    </row>
    <row r="6784" spans="3:11">
      <c r="C6784" s="11"/>
      <c r="K6784" s="11"/>
    </row>
    <row r="6785" spans="3:11">
      <c r="C6785" s="11"/>
      <c r="K6785" s="11"/>
    </row>
    <row r="6786" spans="3:11">
      <c r="C6786" s="11"/>
      <c r="K6786" s="11"/>
    </row>
    <row r="6787" spans="3:11">
      <c r="C6787" s="11"/>
      <c r="K6787" s="11"/>
    </row>
    <row r="6788" spans="3:11">
      <c r="C6788" s="11"/>
      <c r="K6788" s="11"/>
    </row>
    <row r="6789" spans="3:11">
      <c r="C6789" s="11"/>
      <c r="K6789" s="11"/>
    </row>
    <row r="6790" spans="3:11">
      <c r="C6790" s="11"/>
      <c r="K6790" s="11"/>
    </row>
    <row r="6791" spans="3:11">
      <c r="C6791" s="11"/>
      <c r="K6791" s="11"/>
    </row>
    <row r="6792" spans="3:11">
      <c r="C6792" s="11"/>
      <c r="K6792" s="11"/>
    </row>
    <row r="6793" spans="3:11">
      <c r="C6793" s="11"/>
      <c r="K6793" s="11"/>
    </row>
    <row r="6794" spans="3:11">
      <c r="C6794" s="11"/>
      <c r="K6794" s="11"/>
    </row>
    <row r="6795" spans="3:11">
      <c r="C6795" s="11"/>
      <c r="K6795" s="11"/>
    </row>
    <row r="6796" spans="3:11">
      <c r="C6796" s="11"/>
      <c r="K6796" s="11"/>
    </row>
    <row r="6797" spans="3:11">
      <c r="C6797" s="11"/>
      <c r="K6797" s="11"/>
    </row>
    <row r="6798" spans="3:11">
      <c r="C6798" s="11"/>
      <c r="K6798" s="11"/>
    </row>
    <row r="6799" spans="3:11">
      <c r="C6799" s="11"/>
      <c r="K6799" s="11"/>
    </row>
    <row r="6800" spans="3:11">
      <c r="C6800" s="11"/>
      <c r="K6800" s="11"/>
    </row>
    <row r="6801" spans="3:11">
      <c r="C6801" s="11"/>
      <c r="K6801" s="11"/>
    </row>
    <row r="6802" spans="3:11">
      <c r="C6802" s="11"/>
      <c r="K6802" s="11"/>
    </row>
    <row r="6803" spans="3:11">
      <c r="C6803" s="11"/>
      <c r="K6803" s="11"/>
    </row>
    <row r="6804" spans="3:11">
      <c r="C6804" s="11"/>
      <c r="K6804" s="11"/>
    </row>
    <row r="6805" spans="3:11">
      <c r="C6805" s="11"/>
      <c r="K6805" s="11"/>
    </row>
    <row r="6806" spans="3:11">
      <c r="C6806" s="11"/>
      <c r="K6806" s="11"/>
    </row>
    <row r="6807" spans="3:11">
      <c r="C6807" s="11"/>
      <c r="K6807" s="11"/>
    </row>
    <row r="6808" spans="3:11">
      <c r="C6808" s="11"/>
      <c r="K6808" s="11"/>
    </row>
    <row r="6809" spans="3:11">
      <c r="C6809" s="11"/>
      <c r="K6809" s="11"/>
    </row>
    <row r="6810" spans="3:11">
      <c r="C6810" s="11"/>
      <c r="K6810" s="11"/>
    </row>
    <row r="6811" spans="3:11">
      <c r="C6811" s="11"/>
      <c r="K6811" s="11"/>
    </row>
    <row r="6812" spans="3:11">
      <c r="C6812" s="11"/>
      <c r="K6812" s="11"/>
    </row>
    <row r="6813" spans="3:11">
      <c r="C6813" s="11"/>
      <c r="K6813" s="11"/>
    </row>
    <row r="6814" spans="3:11">
      <c r="C6814" s="11"/>
      <c r="K6814" s="11"/>
    </row>
    <row r="6815" spans="3:11">
      <c r="C6815" s="11"/>
      <c r="K6815" s="11"/>
    </row>
    <row r="6816" spans="3:11">
      <c r="C6816" s="11"/>
      <c r="K6816" s="11"/>
    </row>
    <row r="6817" spans="3:11">
      <c r="C6817" s="11"/>
      <c r="K6817" s="11"/>
    </row>
    <row r="6818" spans="3:11">
      <c r="C6818" s="11"/>
      <c r="K6818" s="11"/>
    </row>
    <row r="6819" spans="3:11">
      <c r="C6819" s="11"/>
      <c r="K6819" s="11"/>
    </row>
    <row r="6820" spans="3:11">
      <c r="C6820" s="11"/>
      <c r="K6820" s="11"/>
    </row>
    <row r="6821" spans="3:11">
      <c r="C6821" s="11"/>
      <c r="K6821" s="11"/>
    </row>
    <row r="6822" spans="3:11">
      <c r="C6822" s="11"/>
      <c r="K6822" s="11"/>
    </row>
    <row r="6823" spans="3:11">
      <c r="C6823" s="11"/>
      <c r="K6823" s="11"/>
    </row>
    <row r="6824" spans="3:11">
      <c r="C6824" s="11"/>
      <c r="K6824" s="11"/>
    </row>
    <row r="6825" spans="3:11">
      <c r="C6825" s="11"/>
      <c r="K6825" s="11"/>
    </row>
    <row r="6826" spans="3:11">
      <c r="C6826" s="11"/>
      <c r="K6826" s="11"/>
    </row>
    <row r="6827" spans="3:11">
      <c r="C6827" s="11"/>
      <c r="K6827" s="11"/>
    </row>
    <row r="6828" spans="3:11">
      <c r="C6828" s="11"/>
      <c r="K6828" s="11"/>
    </row>
    <row r="6829" spans="3:11">
      <c r="C6829" s="11"/>
      <c r="K6829" s="11"/>
    </row>
    <row r="6830" spans="3:11">
      <c r="C6830" s="11"/>
      <c r="K6830" s="11"/>
    </row>
    <row r="6831" spans="3:11">
      <c r="C6831" s="11"/>
      <c r="K6831" s="11"/>
    </row>
    <row r="6832" spans="3:11">
      <c r="C6832" s="11"/>
      <c r="K6832" s="11"/>
    </row>
    <row r="6833" spans="3:11">
      <c r="C6833" s="11"/>
      <c r="K6833" s="11"/>
    </row>
    <row r="6834" spans="3:11">
      <c r="C6834" s="11"/>
      <c r="K6834" s="11"/>
    </row>
    <row r="6835" spans="3:11">
      <c r="C6835" s="11"/>
      <c r="K6835" s="11"/>
    </row>
    <row r="6836" spans="3:11">
      <c r="C6836" s="11"/>
      <c r="K6836" s="11"/>
    </row>
    <row r="6837" spans="3:11">
      <c r="C6837" s="11"/>
      <c r="K6837" s="11"/>
    </row>
    <row r="6838" spans="3:11">
      <c r="C6838" s="11"/>
      <c r="K6838" s="11"/>
    </row>
    <row r="6839" spans="3:11">
      <c r="C6839" s="11"/>
      <c r="K6839" s="11"/>
    </row>
    <row r="6840" spans="3:11">
      <c r="C6840" s="11"/>
      <c r="K6840" s="11"/>
    </row>
    <row r="6841" spans="3:11">
      <c r="C6841" s="11"/>
      <c r="K6841" s="11"/>
    </row>
    <row r="6842" spans="3:11">
      <c r="C6842" s="11"/>
      <c r="K6842" s="11"/>
    </row>
    <row r="6843" spans="3:11">
      <c r="C6843" s="11"/>
      <c r="K6843" s="11"/>
    </row>
    <row r="6844" spans="3:11">
      <c r="C6844" s="11"/>
      <c r="K6844" s="11"/>
    </row>
    <row r="6845" spans="3:11">
      <c r="C6845" s="11"/>
      <c r="K6845" s="11"/>
    </row>
    <row r="6846" spans="3:11">
      <c r="C6846" s="11"/>
      <c r="K6846" s="11"/>
    </row>
    <row r="6847" spans="3:11">
      <c r="C6847" s="11"/>
      <c r="K6847" s="11"/>
    </row>
    <row r="6848" spans="3:11">
      <c r="C6848" s="11"/>
      <c r="K6848" s="11"/>
    </row>
    <row r="6849" spans="3:11">
      <c r="C6849" s="11"/>
      <c r="K6849" s="11"/>
    </row>
    <row r="6850" spans="3:11">
      <c r="C6850" s="11"/>
      <c r="K6850" s="11"/>
    </row>
    <row r="6851" spans="3:11">
      <c r="C6851" s="11"/>
      <c r="K6851" s="11"/>
    </row>
    <row r="6852" spans="3:11">
      <c r="C6852" s="11"/>
      <c r="K6852" s="11"/>
    </row>
    <row r="6853" spans="3:11">
      <c r="C6853" s="11"/>
      <c r="K6853" s="11"/>
    </row>
    <row r="6854" spans="3:11">
      <c r="C6854" s="11"/>
      <c r="K6854" s="11"/>
    </row>
    <row r="6855" spans="3:11">
      <c r="C6855" s="11"/>
      <c r="K6855" s="11"/>
    </row>
    <row r="6856" spans="3:11">
      <c r="C6856" s="11"/>
      <c r="K6856" s="11"/>
    </row>
    <row r="6857" spans="3:11">
      <c r="C6857" s="11"/>
      <c r="K6857" s="11"/>
    </row>
    <row r="6858" spans="3:11">
      <c r="C6858" s="11"/>
      <c r="K6858" s="11"/>
    </row>
    <row r="6859" spans="3:11">
      <c r="C6859" s="11"/>
      <c r="K6859" s="11"/>
    </row>
    <row r="6860" spans="3:11">
      <c r="C6860" s="11"/>
      <c r="K6860" s="11"/>
    </row>
    <row r="6861" spans="3:11">
      <c r="C6861" s="11"/>
      <c r="K6861" s="11"/>
    </row>
    <row r="6862" spans="3:11">
      <c r="C6862" s="11"/>
      <c r="K6862" s="11"/>
    </row>
    <row r="6863" spans="3:11">
      <c r="C6863" s="11"/>
      <c r="K6863" s="11"/>
    </row>
    <row r="6864" spans="3:11">
      <c r="C6864" s="11"/>
      <c r="K6864" s="11"/>
    </row>
    <row r="6865" spans="3:11">
      <c r="C6865" s="11"/>
      <c r="K6865" s="11"/>
    </row>
    <row r="6866" spans="3:11">
      <c r="C6866" s="11"/>
      <c r="K6866" s="11"/>
    </row>
    <row r="6867" spans="3:11">
      <c r="C6867" s="11"/>
      <c r="K6867" s="11"/>
    </row>
    <row r="6868" spans="3:11">
      <c r="C6868" s="11"/>
      <c r="K6868" s="11"/>
    </row>
    <row r="6869" spans="3:11">
      <c r="C6869" s="11"/>
      <c r="K6869" s="11"/>
    </row>
    <row r="6870" spans="3:11">
      <c r="C6870" s="11"/>
      <c r="K6870" s="11"/>
    </row>
    <row r="6871" spans="3:11">
      <c r="C6871" s="11"/>
      <c r="K6871" s="11"/>
    </row>
    <row r="6872" spans="3:11">
      <c r="C6872" s="11"/>
      <c r="K6872" s="11"/>
    </row>
    <row r="6873" spans="3:11">
      <c r="C6873" s="11"/>
      <c r="K6873" s="11"/>
    </row>
    <row r="6874" spans="3:11">
      <c r="C6874" s="11"/>
      <c r="K6874" s="11"/>
    </row>
    <row r="6875" spans="3:11">
      <c r="C6875" s="11"/>
      <c r="K6875" s="11"/>
    </row>
    <row r="6876" spans="3:11">
      <c r="C6876" s="11"/>
      <c r="K6876" s="11"/>
    </row>
    <row r="6877" spans="3:11">
      <c r="C6877" s="11"/>
      <c r="K6877" s="11"/>
    </row>
    <row r="6878" spans="3:11">
      <c r="C6878" s="11"/>
      <c r="K6878" s="11"/>
    </row>
    <row r="6879" spans="3:11">
      <c r="C6879" s="11"/>
      <c r="K6879" s="11"/>
    </row>
    <row r="6880" spans="3:11">
      <c r="C6880" s="11"/>
      <c r="K6880" s="11"/>
    </row>
    <row r="6881" spans="3:11">
      <c r="C6881" s="11"/>
      <c r="K6881" s="11"/>
    </row>
    <row r="6882" spans="3:11">
      <c r="C6882" s="11"/>
      <c r="K6882" s="11"/>
    </row>
    <row r="6883" spans="3:11">
      <c r="C6883" s="11"/>
      <c r="K6883" s="11"/>
    </row>
    <row r="6884" spans="3:11">
      <c r="C6884" s="11"/>
      <c r="K6884" s="11"/>
    </row>
    <row r="6885" spans="3:11">
      <c r="C6885" s="11"/>
      <c r="K6885" s="11"/>
    </row>
    <row r="6886" spans="3:11">
      <c r="C6886" s="11"/>
      <c r="K6886" s="11"/>
    </row>
    <row r="6887" spans="3:11">
      <c r="C6887" s="11"/>
      <c r="K6887" s="11"/>
    </row>
    <row r="6888" spans="3:11">
      <c r="C6888" s="11"/>
      <c r="K6888" s="11"/>
    </row>
    <row r="6889" spans="3:11">
      <c r="C6889" s="11"/>
      <c r="K6889" s="11"/>
    </row>
    <row r="6890" spans="3:11">
      <c r="C6890" s="11"/>
      <c r="K6890" s="11"/>
    </row>
    <row r="6891" spans="3:11">
      <c r="C6891" s="11"/>
      <c r="K6891" s="11"/>
    </row>
    <row r="6892" spans="3:11">
      <c r="C6892" s="11"/>
      <c r="K6892" s="11"/>
    </row>
    <row r="6893" spans="3:11">
      <c r="C6893" s="11"/>
      <c r="K6893" s="11"/>
    </row>
    <row r="6894" spans="3:11">
      <c r="C6894" s="11"/>
      <c r="K6894" s="11"/>
    </row>
    <row r="6895" spans="3:11">
      <c r="C6895" s="11"/>
      <c r="K6895" s="11"/>
    </row>
    <row r="6896" spans="3:11">
      <c r="C6896" s="11"/>
      <c r="K6896" s="11"/>
    </row>
    <row r="6897" spans="3:11">
      <c r="C6897" s="11"/>
      <c r="K6897" s="11"/>
    </row>
    <row r="6898" spans="3:11">
      <c r="C6898" s="11"/>
      <c r="K6898" s="11"/>
    </row>
    <row r="6899" spans="3:11">
      <c r="C6899" s="11"/>
      <c r="K6899" s="11"/>
    </row>
    <row r="6900" spans="3:11">
      <c r="C6900" s="11"/>
      <c r="K6900" s="11"/>
    </row>
    <row r="6901" spans="3:11">
      <c r="C6901" s="11"/>
      <c r="K6901" s="11"/>
    </row>
    <row r="6902" spans="3:11">
      <c r="C6902" s="11"/>
      <c r="K6902" s="11"/>
    </row>
    <row r="6903" spans="3:11">
      <c r="C6903" s="11"/>
      <c r="K6903" s="11"/>
    </row>
    <row r="6904" spans="3:11">
      <c r="C6904" s="11"/>
      <c r="K6904" s="11"/>
    </row>
    <row r="6905" spans="3:11">
      <c r="C6905" s="11"/>
      <c r="K6905" s="11"/>
    </row>
    <row r="6906" spans="3:11">
      <c r="C6906" s="11"/>
      <c r="K6906" s="11"/>
    </row>
    <row r="6907" spans="3:11">
      <c r="C6907" s="11"/>
      <c r="K6907" s="11"/>
    </row>
    <row r="6908" spans="3:11">
      <c r="C6908" s="11"/>
      <c r="K6908" s="11"/>
    </row>
    <row r="6909" spans="3:11">
      <c r="C6909" s="11"/>
      <c r="K6909" s="11"/>
    </row>
    <row r="6910" spans="3:11">
      <c r="C6910" s="11"/>
      <c r="K6910" s="11"/>
    </row>
    <row r="6911" spans="3:11">
      <c r="C6911" s="11"/>
      <c r="K6911" s="11"/>
    </row>
    <row r="6912" spans="3:11">
      <c r="C6912" s="11"/>
      <c r="K6912" s="11"/>
    </row>
    <row r="6913" spans="3:11">
      <c r="C6913" s="11"/>
      <c r="K6913" s="11"/>
    </row>
    <row r="6914" spans="3:11">
      <c r="C6914" s="11"/>
      <c r="K6914" s="11"/>
    </row>
    <row r="6915" spans="3:11">
      <c r="C6915" s="11"/>
      <c r="K6915" s="11"/>
    </row>
    <row r="6916" spans="3:11">
      <c r="C6916" s="11"/>
      <c r="K6916" s="11"/>
    </row>
    <row r="6917" spans="3:11">
      <c r="C6917" s="11"/>
      <c r="K6917" s="11"/>
    </row>
    <row r="6918" spans="3:11">
      <c r="C6918" s="11"/>
      <c r="K6918" s="11"/>
    </row>
    <row r="6919" spans="3:11">
      <c r="C6919" s="11"/>
      <c r="K6919" s="11"/>
    </row>
    <row r="6920" spans="3:11">
      <c r="C6920" s="11"/>
      <c r="K6920" s="11"/>
    </row>
    <row r="6921" spans="3:11">
      <c r="C6921" s="11"/>
      <c r="K6921" s="11"/>
    </row>
    <row r="6922" spans="3:11">
      <c r="C6922" s="11"/>
      <c r="K6922" s="11"/>
    </row>
    <row r="6923" spans="3:11">
      <c r="C6923" s="11"/>
      <c r="K6923" s="11"/>
    </row>
    <row r="6924" spans="3:11">
      <c r="C6924" s="11"/>
      <c r="K6924" s="11"/>
    </row>
    <row r="6925" spans="3:11">
      <c r="C6925" s="11"/>
      <c r="K6925" s="11"/>
    </row>
    <row r="6926" spans="3:11">
      <c r="C6926" s="11"/>
      <c r="K6926" s="11"/>
    </row>
    <row r="6927" spans="3:11">
      <c r="C6927" s="11"/>
      <c r="K6927" s="11"/>
    </row>
    <row r="6928" spans="3:11">
      <c r="C6928" s="11"/>
      <c r="K6928" s="11"/>
    </row>
    <row r="6929" spans="3:11">
      <c r="C6929" s="11"/>
      <c r="K6929" s="11"/>
    </row>
    <row r="6930" spans="3:11">
      <c r="C6930" s="11"/>
      <c r="K6930" s="11"/>
    </row>
    <row r="6931" spans="3:11">
      <c r="C6931" s="11"/>
      <c r="K6931" s="11"/>
    </row>
    <row r="6932" spans="3:11">
      <c r="C6932" s="11"/>
      <c r="K6932" s="11"/>
    </row>
    <row r="6933" spans="3:11">
      <c r="C6933" s="11"/>
      <c r="K6933" s="11"/>
    </row>
    <row r="6934" spans="3:11">
      <c r="C6934" s="11"/>
      <c r="K6934" s="11"/>
    </row>
    <row r="6935" spans="3:11">
      <c r="C6935" s="11"/>
      <c r="K6935" s="11"/>
    </row>
    <row r="6936" spans="3:11">
      <c r="C6936" s="11"/>
      <c r="K6936" s="11"/>
    </row>
    <row r="6937" spans="3:11">
      <c r="C6937" s="11"/>
      <c r="K6937" s="11"/>
    </row>
    <row r="6938" spans="3:11">
      <c r="C6938" s="11"/>
      <c r="K6938" s="11"/>
    </row>
    <row r="6939" spans="3:11">
      <c r="C6939" s="11"/>
      <c r="K6939" s="11"/>
    </row>
    <row r="6940" spans="3:11">
      <c r="C6940" s="11"/>
      <c r="K6940" s="11"/>
    </row>
    <row r="6941" spans="3:11">
      <c r="C6941" s="11"/>
      <c r="K6941" s="11"/>
    </row>
    <row r="6942" spans="3:11">
      <c r="C6942" s="11"/>
      <c r="K6942" s="11"/>
    </row>
    <row r="6943" spans="3:11">
      <c r="C6943" s="11"/>
      <c r="K6943" s="11"/>
    </row>
    <row r="6944" spans="3:11">
      <c r="C6944" s="11"/>
      <c r="K6944" s="11"/>
    </row>
    <row r="6945" spans="3:11">
      <c r="C6945" s="11"/>
      <c r="K6945" s="11"/>
    </row>
    <row r="6946" spans="3:11">
      <c r="C6946" s="11"/>
      <c r="K6946" s="11"/>
    </row>
    <row r="6947" spans="3:11">
      <c r="C6947" s="11"/>
      <c r="K6947" s="11"/>
    </row>
    <row r="6948" spans="3:11">
      <c r="C6948" s="11"/>
      <c r="K6948" s="11"/>
    </row>
    <row r="6949" spans="3:11">
      <c r="C6949" s="11"/>
      <c r="K6949" s="11"/>
    </row>
    <row r="6950" spans="3:11">
      <c r="C6950" s="11"/>
      <c r="K6950" s="11"/>
    </row>
    <row r="6951" spans="3:11">
      <c r="C6951" s="11"/>
      <c r="K6951" s="11"/>
    </row>
    <row r="6952" spans="3:11">
      <c r="C6952" s="11"/>
      <c r="K6952" s="11"/>
    </row>
    <row r="6953" spans="3:11">
      <c r="C6953" s="11"/>
      <c r="K6953" s="11"/>
    </row>
    <row r="6954" spans="3:11">
      <c r="C6954" s="11"/>
      <c r="K6954" s="11"/>
    </row>
    <row r="6955" spans="3:11">
      <c r="C6955" s="11"/>
      <c r="K6955" s="11"/>
    </row>
    <row r="6956" spans="3:11">
      <c r="C6956" s="11"/>
      <c r="K6956" s="11"/>
    </row>
    <row r="6957" spans="3:11">
      <c r="C6957" s="11"/>
      <c r="K6957" s="11"/>
    </row>
    <row r="6958" spans="3:11">
      <c r="C6958" s="11"/>
      <c r="K6958" s="11"/>
    </row>
    <row r="6959" spans="3:11">
      <c r="C6959" s="11"/>
      <c r="K6959" s="11"/>
    </row>
    <row r="6960" spans="3:11">
      <c r="C6960" s="11"/>
      <c r="K6960" s="11"/>
    </row>
    <row r="6961" spans="3:11">
      <c r="C6961" s="11"/>
      <c r="K6961" s="11"/>
    </row>
    <row r="6962" spans="3:11">
      <c r="C6962" s="11"/>
      <c r="K6962" s="11"/>
    </row>
    <row r="6963" spans="3:11">
      <c r="C6963" s="11"/>
      <c r="K6963" s="11"/>
    </row>
    <row r="6964" spans="3:11">
      <c r="C6964" s="11"/>
      <c r="K6964" s="11"/>
    </row>
    <row r="6965" spans="3:11">
      <c r="C6965" s="11"/>
      <c r="K6965" s="11"/>
    </row>
    <row r="6966" spans="3:11">
      <c r="C6966" s="11"/>
      <c r="K6966" s="11"/>
    </row>
    <row r="6967" spans="3:11">
      <c r="C6967" s="11"/>
      <c r="K6967" s="11"/>
    </row>
    <row r="6968" spans="3:11">
      <c r="C6968" s="11"/>
      <c r="K6968" s="11"/>
    </row>
    <row r="6969" spans="3:11">
      <c r="C6969" s="11"/>
      <c r="K6969" s="11"/>
    </row>
    <row r="6970" spans="3:11">
      <c r="C6970" s="11"/>
      <c r="K6970" s="11"/>
    </row>
    <row r="6971" spans="3:11">
      <c r="C6971" s="11"/>
      <c r="K6971" s="11"/>
    </row>
    <row r="6972" spans="3:11">
      <c r="C6972" s="11"/>
      <c r="K6972" s="11"/>
    </row>
    <row r="6973" spans="3:11">
      <c r="C6973" s="11"/>
      <c r="K6973" s="11"/>
    </row>
    <row r="6974" spans="3:11">
      <c r="C6974" s="11"/>
      <c r="K6974" s="11"/>
    </row>
    <row r="6975" spans="3:11">
      <c r="C6975" s="11"/>
      <c r="K6975" s="11"/>
    </row>
    <row r="6976" spans="3:11">
      <c r="C6976" s="11"/>
      <c r="K6976" s="11"/>
    </row>
    <row r="6977" spans="3:11">
      <c r="C6977" s="11"/>
      <c r="K6977" s="11"/>
    </row>
    <row r="6978" spans="3:11">
      <c r="C6978" s="11"/>
      <c r="K6978" s="11"/>
    </row>
    <row r="6979" spans="3:11">
      <c r="C6979" s="11"/>
      <c r="K6979" s="11"/>
    </row>
    <row r="6980" spans="3:11">
      <c r="C6980" s="11"/>
      <c r="K6980" s="11"/>
    </row>
    <row r="6981" spans="3:11">
      <c r="C6981" s="11"/>
      <c r="K6981" s="11"/>
    </row>
    <row r="6982" spans="3:11">
      <c r="C6982" s="11"/>
      <c r="K6982" s="11"/>
    </row>
    <row r="6983" spans="3:11">
      <c r="C6983" s="11"/>
      <c r="K6983" s="11"/>
    </row>
    <row r="6984" spans="3:11">
      <c r="C6984" s="11"/>
      <c r="K6984" s="11"/>
    </row>
    <row r="6985" spans="3:11">
      <c r="C6985" s="11"/>
      <c r="K6985" s="11"/>
    </row>
    <row r="6986" spans="3:11">
      <c r="C6986" s="11"/>
      <c r="K6986" s="11"/>
    </row>
    <row r="6987" spans="3:11">
      <c r="C6987" s="11"/>
      <c r="K6987" s="11"/>
    </row>
    <row r="6988" spans="3:11">
      <c r="C6988" s="11"/>
      <c r="K6988" s="11"/>
    </row>
    <row r="6989" spans="3:11">
      <c r="C6989" s="11"/>
      <c r="K6989" s="11"/>
    </row>
    <row r="6990" spans="3:11">
      <c r="C6990" s="11"/>
      <c r="K6990" s="11"/>
    </row>
    <row r="6991" spans="3:11">
      <c r="C6991" s="11"/>
      <c r="K6991" s="11"/>
    </row>
    <row r="6992" spans="3:11">
      <c r="C6992" s="11"/>
      <c r="K6992" s="11"/>
    </row>
    <row r="6993" spans="3:11">
      <c r="C6993" s="11"/>
      <c r="K6993" s="11"/>
    </row>
    <row r="6994" spans="3:11">
      <c r="C6994" s="11"/>
      <c r="K6994" s="11"/>
    </row>
    <row r="6995" spans="3:11">
      <c r="C6995" s="11"/>
      <c r="K6995" s="11"/>
    </row>
    <row r="6996" spans="3:11">
      <c r="C6996" s="11"/>
      <c r="K6996" s="11"/>
    </row>
    <row r="6997" spans="3:11">
      <c r="C6997" s="11"/>
      <c r="K6997" s="11"/>
    </row>
    <row r="6998" spans="3:11">
      <c r="C6998" s="11"/>
      <c r="K6998" s="11"/>
    </row>
    <row r="6999" spans="3:11">
      <c r="C6999" s="11"/>
      <c r="K6999" s="11"/>
    </row>
    <row r="7000" spans="3:11">
      <c r="C7000" s="11"/>
      <c r="K7000" s="11"/>
    </row>
    <row r="7001" spans="3:11">
      <c r="C7001" s="11"/>
      <c r="K7001" s="11"/>
    </row>
    <row r="7002" spans="3:11">
      <c r="C7002" s="11"/>
      <c r="K7002" s="11"/>
    </row>
    <row r="7003" spans="3:11">
      <c r="C7003" s="11"/>
      <c r="K7003" s="11"/>
    </row>
    <row r="7004" spans="3:11">
      <c r="C7004" s="11"/>
      <c r="K7004" s="11"/>
    </row>
    <row r="7005" spans="3:11">
      <c r="C7005" s="11"/>
      <c r="K7005" s="11"/>
    </row>
    <row r="7006" spans="3:11">
      <c r="C7006" s="11"/>
      <c r="K7006" s="11"/>
    </row>
    <row r="7007" spans="3:11">
      <c r="C7007" s="11"/>
      <c r="K7007" s="11"/>
    </row>
    <row r="7008" spans="3:11">
      <c r="C7008" s="11"/>
      <c r="K7008" s="11"/>
    </row>
    <row r="7009" spans="3:11">
      <c r="C7009" s="11"/>
      <c r="K7009" s="11"/>
    </row>
    <row r="7010" spans="3:11">
      <c r="C7010" s="11"/>
      <c r="K7010" s="11"/>
    </row>
    <row r="7011" spans="3:11">
      <c r="C7011" s="11"/>
      <c r="K7011" s="11"/>
    </row>
    <row r="7012" spans="3:11">
      <c r="C7012" s="11"/>
      <c r="K7012" s="11"/>
    </row>
    <row r="7013" spans="3:11">
      <c r="C7013" s="11"/>
      <c r="K7013" s="11"/>
    </row>
    <row r="7014" spans="3:11">
      <c r="C7014" s="11"/>
      <c r="K7014" s="11"/>
    </row>
    <row r="7015" spans="3:11">
      <c r="C7015" s="11"/>
      <c r="K7015" s="11"/>
    </row>
    <row r="7016" spans="3:11">
      <c r="C7016" s="11"/>
      <c r="K7016" s="11"/>
    </row>
    <row r="7017" spans="3:11">
      <c r="C7017" s="11"/>
      <c r="K7017" s="11"/>
    </row>
    <row r="7018" spans="3:11">
      <c r="C7018" s="11"/>
      <c r="K7018" s="11"/>
    </row>
    <row r="7019" spans="3:11">
      <c r="C7019" s="11"/>
      <c r="K7019" s="11"/>
    </row>
    <row r="7020" spans="3:11">
      <c r="C7020" s="11"/>
      <c r="K7020" s="11"/>
    </row>
    <row r="7021" spans="3:11">
      <c r="C7021" s="11"/>
      <c r="K7021" s="11"/>
    </row>
    <row r="7022" spans="3:11">
      <c r="C7022" s="11"/>
      <c r="K7022" s="11"/>
    </row>
    <row r="7023" spans="3:11">
      <c r="C7023" s="11"/>
      <c r="K7023" s="11"/>
    </row>
    <row r="7024" spans="3:11">
      <c r="C7024" s="11"/>
      <c r="K7024" s="11"/>
    </row>
    <row r="7025" spans="3:11">
      <c r="C7025" s="11"/>
      <c r="K7025" s="11"/>
    </row>
    <row r="7026" spans="3:11">
      <c r="C7026" s="11"/>
      <c r="K7026" s="11"/>
    </row>
    <row r="7027" spans="3:11">
      <c r="C7027" s="11"/>
      <c r="K7027" s="11"/>
    </row>
    <row r="7028" spans="3:11">
      <c r="C7028" s="11"/>
      <c r="K7028" s="11"/>
    </row>
    <row r="7029" spans="3:11">
      <c r="C7029" s="11"/>
      <c r="K7029" s="11"/>
    </row>
    <row r="7030" spans="3:11">
      <c r="C7030" s="11"/>
      <c r="K7030" s="11"/>
    </row>
    <row r="7031" spans="3:11">
      <c r="C7031" s="11"/>
      <c r="K7031" s="11"/>
    </row>
    <row r="7032" spans="3:11">
      <c r="C7032" s="11"/>
      <c r="K7032" s="11"/>
    </row>
    <row r="7033" spans="3:11">
      <c r="C7033" s="11"/>
      <c r="K7033" s="11"/>
    </row>
    <row r="7034" spans="3:11">
      <c r="C7034" s="11"/>
      <c r="K7034" s="11"/>
    </row>
    <row r="7035" spans="3:11">
      <c r="C7035" s="11"/>
      <c r="K7035" s="11"/>
    </row>
    <row r="7036" spans="3:11">
      <c r="C7036" s="11"/>
      <c r="K7036" s="11"/>
    </row>
    <row r="7037" spans="3:11">
      <c r="C7037" s="11"/>
      <c r="K7037" s="11"/>
    </row>
    <row r="7038" spans="3:11">
      <c r="C7038" s="11"/>
      <c r="K7038" s="11"/>
    </row>
    <row r="7039" spans="3:11">
      <c r="C7039" s="11"/>
      <c r="K7039" s="11"/>
    </row>
    <row r="7040" spans="3:11">
      <c r="C7040" s="11"/>
      <c r="K7040" s="11"/>
    </row>
    <row r="7041" spans="3:11">
      <c r="C7041" s="11"/>
      <c r="K7041" s="11"/>
    </row>
    <row r="7042" spans="3:11">
      <c r="C7042" s="11"/>
      <c r="K7042" s="11"/>
    </row>
    <row r="7043" spans="3:11">
      <c r="C7043" s="11"/>
      <c r="K7043" s="11"/>
    </row>
    <row r="7044" spans="3:11">
      <c r="C7044" s="11"/>
      <c r="K7044" s="11"/>
    </row>
    <row r="7045" spans="3:11">
      <c r="C7045" s="11"/>
      <c r="K7045" s="11"/>
    </row>
    <row r="7046" spans="3:11">
      <c r="C7046" s="11"/>
      <c r="K7046" s="11"/>
    </row>
    <row r="7047" spans="3:11">
      <c r="C7047" s="11"/>
      <c r="K7047" s="11"/>
    </row>
    <row r="7048" spans="3:11">
      <c r="C7048" s="11"/>
      <c r="K7048" s="11"/>
    </row>
    <row r="7049" spans="3:11">
      <c r="C7049" s="11"/>
      <c r="K7049" s="11"/>
    </row>
    <row r="7050" spans="3:11">
      <c r="C7050" s="11"/>
      <c r="K7050" s="11"/>
    </row>
    <row r="7051" spans="3:11">
      <c r="C7051" s="11"/>
      <c r="K7051" s="11"/>
    </row>
    <row r="7052" spans="3:11">
      <c r="C7052" s="11"/>
      <c r="K7052" s="11"/>
    </row>
    <row r="7053" spans="3:11">
      <c r="C7053" s="11"/>
      <c r="K7053" s="11"/>
    </row>
    <row r="7054" spans="3:11">
      <c r="C7054" s="11"/>
      <c r="K7054" s="11"/>
    </row>
    <row r="7055" spans="3:11">
      <c r="C7055" s="11"/>
      <c r="K7055" s="11"/>
    </row>
    <row r="7056" spans="3:11">
      <c r="C7056" s="11"/>
      <c r="K7056" s="11"/>
    </row>
    <row r="7057" spans="3:11">
      <c r="C7057" s="11"/>
      <c r="K7057" s="11"/>
    </row>
    <row r="7058" spans="3:11">
      <c r="C7058" s="11"/>
      <c r="K7058" s="11"/>
    </row>
    <row r="7059" spans="3:11">
      <c r="C7059" s="11"/>
      <c r="K7059" s="11"/>
    </row>
    <row r="7060" spans="3:11">
      <c r="C7060" s="11"/>
      <c r="K7060" s="11"/>
    </row>
    <row r="7061" spans="3:11">
      <c r="C7061" s="11"/>
      <c r="K7061" s="11"/>
    </row>
    <row r="7062" spans="3:11">
      <c r="C7062" s="11"/>
      <c r="K7062" s="11"/>
    </row>
    <row r="7063" spans="3:11">
      <c r="C7063" s="11"/>
      <c r="K7063" s="11"/>
    </row>
    <row r="7064" spans="3:11">
      <c r="C7064" s="11"/>
      <c r="K7064" s="11"/>
    </row>
    <row r="7065" spans="3:11">
      <c r="C7065" s="11"/>
      <c r="K7065" s="11"/>
    </row>
    <row r="7066" spans="3:11">
      <c r="C7066" s="11"/>
      <c r="K7066" s="11"/>
    </row>
    <row r="7067" spans="3:11">
      <c r="C7067" s="11"/>
      <c r="K7067" s="11"/>
    </row>
    <row r="7068" spans="3:11">
      <c r="C7068" s="11"/>
      <c r="K7068" s="11"/>
    </row>
    <row r="7069" spans="3:11">
      <c r="C7069" s="11"/>
      <c r="K7069" s="11"/>
    </row>
    <row r="7070" spans="3:11">
      <c r="C7070" s="11"/>
      <c r="K7070" s="11"/>
    </row>
    <row r="7071" spans="3:11">
      <c r="C7071" s="11"/>
      <c r="K7071" s="11"/>
    </row>
    <row r="7072" spans="3:11">
      <c r="C7072" s="11"/>
      <c r="K7072" s="11"/>
    </row>
    <row r="7073" spans="3:11">
      <c r="C7073" s="11"/>
      <c r="K7073" s="11"/>
    </row>
    <row r="7074" spans="3:11">
      <c r="C7074" s="11"/>
      <c r="K7074" s="11"/>
    </row>
    <row r="7075" spans="3:11">
      <c r="C7075" s="11"/>
      <c r="K7075" s="11"/>
    </row>
    <row r="7076" spans="3:11">
      <c r="C7076" s="11"/>
      <c r="K7076" s="11"/>
    </row>
    <row r="7077" spans="3:11">
      <c r="C7077" s="11"/>
      <c r="K7077" s="11"/>
    </row>
    <row r="7078" spans="3:11">
      <c r="C7078" s="11"/>
      <c r="K7078" s="11"/>
    </row>
    <row r="7079" spans="3:11">
      <c r="C7079" s="11"/>
      <c r="K7079" s="11"/>
    </row>
    <row r="7080" spans="3:11">
      <c r="C7080" s="11"/>
      <c r="K7080" s="11"/>
    </row>
    <row r="7081" spans="3:11">
      <c r="C7081" s="11"/>
      <c r="K7081" s="11"/>
    </row>
    <row r="7082" spans="3:11">
      <c r="C7082" s="11"/>
      <c r="K7082" s="11"/>
    </row>
    <row r="7083" spans="3:11">
      <c r="C7083" s="11"/>
      <c r="K7083" s="11"/>
    </row>
    <row r="7084" spans="3:11">
      <c r="C7084" s="11"/>
      <c r="K7084" s="11"/>
    </row>
    <row r="7085" spans="3:11">
      <c r="C7085" s="11"/>
      <c r="K7085" s="11"/>
    </row>
    <row r="7086" spans="3:11">
      <c r="C7086" s="11"/>
      <c r="K7086" s="11"/>
    </row>
    <row r="7087" spans="3:11">
      <c r="C7087" s="11"/>
      <c r="K7087" s="11"/>
    </row>
    <row r="7088" spans="3:11">
      <c r="C7088" s="11"/>
      <c r="K7088" s="11"/>
    </row>
    <row r="7089" spans="3:11">
      <c r="C7089" s="11"/>
      <c r="K7089" s="11"/>
    </row>
    <row r="7090" spans="3:11">
      <c r="C7090" s="11"/>
      <c r="K7090" s="11"/>
    </row>
    <row r="7091" spans="3:11">
      <c r="C7091" s="11"/>
      <c r="K7091" s="11"/>
    </row>
    <row r="7092" spans="3:11">
      <c r="C7092" s="11"/>
      <c r="K7092" s="11"/>
    </row>
    <row r="7093" spans="3:11">
      <c r="C7093" s="11"/>
      <c r="K7093" s="11"/>
    </row>
    <row r="7094" spans="3:11">
      <c r="C7094" s="11"/>
      <c r="K7094" s="11"/>
    </row>
    <row r="7095" spans="3:11">
      <c r="C7095" s="11"/>
      <c r="K7095" s="11"/>
    </row>
    <row r="7096" spans="3:11">
      <c r="C7096" s="11"/>
      <c r="K7096" s="11"/>
    </row>
    <row r="7097" spans="3:11">
      <c r="C7097" s="11"/>
      <c r="K7097" s="11"/>
    </row>
    <row r="7098" spans="3:11">
      <c r="C7098" s="11"/>
      <c r="K7098" s="11"/>
    </row>
    <row r="7099" spans="3:11">
      <c r="C7099" s="11"/>
      <c r="K7099" s="11"/>
    </row>
    <row r="7100" spans="3:11">
      <c r="C7100" s="11"/>
      <c r="K7100" s="11"/>
    </row>
    <row r="7101" spans="3:11">
      <c r="C7101" s="11"/>
      <c r="K7101" s="11"/>
    </row>
    <row r="7102" spans="3:11">
      <c r="C7102" s="11"/>
      <c r="K7102" s="11"/>
    </row>
    <row r="7103" spans="3:11">
      <c r="C7103" s="11"/>
      <c r="K7103" s="11"/>
    </row>
    <row r="7104" spans="3:11">
      <c r="C7104" s="11"/>
      <c r="K7104" s="11"/>
    </row>
    <row r="7105" spans="3:11">
      <c r="C7105" s="11"/>
      <c r="K7105" s="11"/>
    </row>
    <row r="7106" spans="3:11">
      <c r="C7106" s="11"/>
      <c r="K7106" s="11"/>
    </row>
    <row r="7107" spans="3:11">
      <c r="C7107" s="11"/>
      <c r="K7107" s="11"/>
    </row>
    <row r="7108" spans="3:11">
      <c r="C7108" s="11"/>
      <c r="K7108" s="11"/>
    </row>
    <row r="7109" spans="3:11">
      <c r="C7109" s="11"/>
      <c r="K7109" s="11"/>
    </row>
    <row r="7110" spans="3:11">
      <c r="C7110" s="11"/>
      <c r="K7110" s="11"/>
    </row>
    <row r="7111" spans="3:11">
      <c r="C7111" s="11"/>
      <c r="K7111" s="11"/>
    </row>
    <row r="7112" spans="3:11">
      <c r="C7112" s="11"/>
      <c r="K7112" s="11"/>
    </row>
    <row r="7113" spans="3:11">
      <c r="C7113" s="11"/>
      <c r="K7113" s="11"/>
    </row>
    <row r="7114" spans="3:11">
      <c r="C7114" s="11"/>
      <c r="K7114" s="11"/>
    </row>
    <row r="7115" spans="3:11">
      <c r="C7115" s="11"/>
      <c r="K7115" s="11"/>
    </row>
    <row r="7116" spans="3:11">
      <c r="C7116" s="11"/>
      <c r="K7116" s="11"/>
    </row>
    <row r="7117" spans="3:11">
      <c r="C7117" s="11"/>
      <c r="K7117" s="11"/>
    </row>
    <row r="7118" spans="3:11">
      <c r="C7118" s="11"/>
      <c r="K7118" s="11"/>
    </row>
    <row r="7119" spans="3:11">
      <c r="C7119" s="11"/>
      <c r="K7119" s="11"/>
    </row>
    <row r="7120" spans="3:11">
      <c r="C7120" s="11"/>
      <c r="K7120" s="11"/>
    </row>
    <row r="7121" spans="3:11">
      <c r="C7121" s="11"/>
      <c r="K7121" s="11"/>
    </row>
    <row r="7122" spans="3:11">
      <c r="C7122" s="11"/>
      <c r="K7122" s="11"/>
    </row>
    <row r="7123" spans="3:11">
      <c r="C7123" s="11"/>
      <c r="K7123" s="11"/>
    </row>
    <row r="7124" spans="3:11">
      <c r="C7124" s="11"/>
      <c r="K7124" s="11"/>
    </row>
    <row r="7125" spans="3:11">
      <c r="C7125" s="11"/>
      <c r="K7125" s="11"/>
    </row>
    <row r="7126" spans="3:11">
      <c r="C7126" s="11"/>
      <c r="K7126" s="11"/>
    </row>
    <row r="7127" spans="3:11">
      <c r="C7127" s="11"/>
      <c r="K7127" s="11"/>
    </row>
    <row r="7128" spans="3:11">
      <c r="C7128" s="11"/>
      <c r="K7128" s="11"/>
    </row>
    <row r="7129" spans="3:11">
      <c r="C7129" s="11"/>
      <c r="K7129" s="11"/>
    </row>
    <row r="7130" spans="3:11">
      <c r="C7130" s="11"/>
      <c r="K7130" s="11"/>
    </row>
    <row r="7131" spans="3:11">
      <c r="C7131" s="11"/>
      <c r="K7131" s="11"/>
    </row>
    <row r="7132" spans="3:11">
      <c r="C7132" s="11"/>
      <c r="K7132" s="11"/>
    </row>
    <row r="7133" spans="3:11">
      <c r="C7133" s="11"/>
      <c r="K7133" s="11"/>
    </row>
    <row r="7134" spans="3:11">
      <c r="C7134" s="11"/>
      <c r="K7134" s="11"/>
    </row>
    <row r="7135" spans="3:11">
      <c r="C7135" s="11"/>
      <c r="K7135" s="11"/>
    </row>
    <row r="7136" spans="3:11">
      <c r="C7136" s="11"/>
      <c r="K7136" s="11"/>
    </row>
    <row r="7137" spans="3:11">
      <c r="C7137" s="11"/>
      <c r="K7137" s="11"/>
    </row>
    <row r="7138" spans="3:11">
      <c r="C7138" s="11"/>
      <c r="K7138" s="11"/>
    </row>
    <row r="7139" spans="3:11">
      <c r="C7139" s="11"/>
      <c r="K7139" s="11"/>
    </row>
    <row r="7140" spans="3:11">
      <c r="C7140" s="11"/>
      <c r="K7140" s="11"/>
    </row>
    <row r="7141" spans="3:11">
      <c r="C7141" s="11"/>
      <c r="K7141" s="11"/>
    </row>
    <row r="7142" spans="3:11">
      <c r="C7142" s="11"/>
      <c r="K7142" s="11"/>
    </row>
    <row r="7143" spans="3:11">
      <c r="C7143" s="11"/>
      <c r="K7143" s="11"/>
    </row>
    <row r="7144" spans="3:11">
      <c r="C7144" s="11"/>
      <c r="K7144" s="11"/>
    </row>
    <row r="7145" spans="3:11">
      <c r="C7145" s="11"/>
      <c r="K7145" s="11"/>
    </row>
    <row r="7146" spans="3:11">
      <c r="C7146" s="11"/>
      <c r="K7146" s="11"/>
    </row>
    <row r="7147" spans="3:11">
      <c r="C7147" s="11"/>
      <c r="K7147" s="11"/>
    </row>
    <row r="7148" spans="3:11">
      <c r="C7148" s="11"/>
      <c r="K7148" s="11"/>
    </row>
    <row r="7149" spans="3:11">
      <c r="C7149" s="11"/>
      <c r="K7149" s="11"/>
    </row>
    <row r="7150" spans="3:11">
      <c r="C7150" s="11"/>
      <c r="K7150" s="11"/>
    </row>
    <row r="7151" spans="3:11">
      <c r="C7151" s="11"/>
      <c r="K7151" s="11"/>
    </row>
    <row r="7152" spans="3:11">
      <c r="C7152" s="11"/>
      <c r="K7152" s="11"/>
    </row>
    <row r="7153" spans="3:11">
      <c r="C7153" s="11"/>
      <c r="K7153" s="11"/>
    </row>
    <row r="7154" spans="3:11">
      <c r="C7154" s="11"/>
      <c r="K7154" s="11"/>
    </row>
    <row r="7155" spans="3:11">
      <c r="C7155" s="11"/>
      <c r="K7155" s="11"/>
    </row>
    <row r="7156" spans="3:11">
      <c r="C7156" s="11"/>
      <c r="K7156" s="11"/>
    </row>
    <row r="7157" spans="3:11">
      <c r="C7157" s="11"/>
      <c r="K7157" s="11"/>
    </row>
    <row r="7158" spans="3:11">
      <c r="C7158" s="11"/>
      <c r="K7158" s="11"/>
    </row>
    <row r="7159" spans="3:11">
      <c r="C7159" s="11"/>
      <c r="K7159" s="11"/>
    </row>
    <row r="7160" spans="3:11">
      <c r="C7160" s="11"/>
      <c r="K7160" s="11"/>
    </row>
    <row r="7161" spans="3:11">
      <c r="C7161" s="11"/>
      <c r="K7161" s="11"/>
    </row>
    <row r="7162" spans="3:11">
      <c r="C7162" s="11"/>
      <c r="K7162" s="11"/>
    </row>
    <row r="7163" spans="3:11">
      <c r="C7163" s="11"/>
      <c r="K7163" s="11"/>
    </row>
    <row r="7164" spans="3:11">
      <c r="C7164" s="11"/>
      <c r="K7164" s="11"/>
    </row>
    <row r="7165" spans="3:11">
      <c r="C7165" s="11"/>
      <c r="K7165" s="11"/>
    </row>
    <row r="7166" spans="3:11">
      <c r="C7166" s="11"/>
      <c r="K7166" s="11"/>
    </row>
    <row r="7167" spans="3:11">
      <c r="C7167" s="11"/>
      <c r="K7167" s="11"/>
    </row>
    <row r="7168" spans="3:11">
      <c r="C7168" s="11"/>
      <c r="K7168" s="11"/>
    </row>
    <row r="7169" spans="3:11">
      <c r="C7169" s="11"/>
      <c r="K7169" s="11"/>
    </row>
    <row r="7170" spans="3:11">
      <c r="C7170" s="11"/>
      <c r="K7170" s="11"/>
    </row>
    <row r="7171" spans="3:11">
      <c r="C7171" s="11"/>
      <c r="K7171" s="11"/>
    </row>
    <row r="7172" spans="3:11">
      <c r="C7172" s="11"/>
      <c r="K7172" s="11"/>
    </row>
    <row r="7173" spans="3:11">
      <c r="C7173" s="11"/>
      <c r="K7173" s="11"/>
    </row>
    <row r="7174" spans="3:11">
      <c r="C7174" s="11"/>
      <c r="K7174" s="11"/>
    </row>
    <row r="7175" spans="3:11">
      <c r="C7175" s="11"/>
      <c r="K7175" s="11"/>
    </row>
    <row r="7176" spans="3:11">
      <c r="C7176" s="11"/>
      <c r="K7176" s="11"/>
    </row>
    <row r="7177" spans="3:11">
      <c r="C7177" s="11"/>
      <c r="K7177" s="11"/>
    </row>
    <row r="7178" spans="3:11">
      <c r="C7178" s="11"/>
      <c r="K7178" s="11"/>
    </row>
    <row r="7179" spans="3:11">
      <c r="C7179" s="11"/>
      <c r="K7179" s="11"/>
    </row>
    <row r="7180" spans="3:11">
      <c r="C7180" s="11"/>
      <c r="K7180" s="11"/>
    </row>
    <row r="7181" spans="3:11">
      <c r="C7181" s="11"/>
      <c r="K7181" s="11"/>
    </row>
    <row r="7182" spans="3:11">
      <c r="C7182" s="11"/>
      <c r="K7182" s="11"/>
    </row>
    <row r="7183" spans="3:11">
      <c r="C7183" s="11"/>
      <c r="K7183" s="11"/>
    </row>
    <row r="7184" spans="3:11">
      <c r="C7184" s="11"/>
      <c r="K7184" s="11"/>
    </row>
    <row r="7185" spans="3:11">
      <c r="C7185" s="11"/>
      <c r="K7185" s="11"/>
    </row>
    <row r="7186" spans="3:11">
      <c r="C7186" s="11"/>
      <c r="K7186" s="11"/>
    </row>
    <row r="7187" spans="3:11">
      <c r="C7187" s="11"/>
      <c r="K7187" s="11"/>
    </row>
    <row r="7188" spans="3:11">
      <c r="C7188" s="11"/>
      <c r="K7188" s="11"/>
    </row>
    <row r="7189" spans="3:11">
      <c r="C7189" s="11"/>
      <c r="K7189" s="11"/>
    </row>
    <row r="7190" spans="3:11">
      <c r="C7190" s="11"/>
      <c r="K7190" s="11"/>
    </row>
    <row r="7191" spans="3:11">
      <c r="C7191" s="11"/>
      <c r="K7191" s="11"/>
    </row>
    <row r="7192" spans="3:11">
      <c r="C7192" s="11"/>
      <c r="K7192" s="11"/>
    </row>
    <row r="7193" spans="3:11">
      <c r="C7193" s="11"/>
      <c r="K7193" s="11"/>
    </row>
    <row r="7194" spans="3:11">
      <c r="C7194" s="11"/>
      <c r="K7194" s="11"/>
    </row>
    <row r="7195" spans="3:11">
      <c r="C7195" s="11"/>
      <c r="K7195" s="11"/>
    </row>
    <row r="7196" spans="3:11">
      <c r="C7196" s="11"/>
      <c r="K7196" s="11"/>
    </row>
    <row r="7197" spans="3:11">
      <c r="C7197" s="11"/>
      <c r="K7197" s="11"/>
    </row>
    <row r="7198" spans="3:11">
      <c r="C7198" s="11"/>
      <c r="K7198" s="11"/>
    </row>
    <row r="7199" spans="3:11">
      <c r="C7199" s="11"/>
      <c r="K7199" s="11"/>
    </row>
    <row r="7200" spans="3:11">
      <c r="C7200" s="11"/>
      <c r="K7200" s="11"/>
    </row>
    <row r="7201" spans="3:11">
      <c r="C7201" s="11"/>
      <c r="K7201" s="11"/>
    </row>
    <row r="7202" spans="3:11">
      <c r="C7202" s="11"/>
      <c r="K7202" s="11"/>
    </row>
    <row r="7203" spans="3:11">
      <c r="C7203" s="11"/>
      <c r="K7203" s="11"/>
    </row>
    <row r="7204" spans="3:11">
      <c r="C7204" s="11"/>
      <c r="K7204" s="11"/>
    </row>
    <row r="7205" spans="3:11">
      <c r="C7205" s="11"/>
      <c r="K7205" s="11"/>
    </row>
    <row r="7206" spans="3:11">
      <c r="C7206" s="11"/>
      <c r="K7206" s="11"/>
    </row>
    <row r="7207" spans="3:11">
      <c r="C7207" s="11"/>
      <c r="K7207" s="11"/>
    </row>
    <row r="7208" spans="3:11">
      <c r="C7208" s="11"/>
      <c r="K7208" s="11"/>
    </row>
    <row r="7209" spans="3:11">
      <c r="C7209" s="11"/>
      <c r="K7209" s="11"/>
    </row>
    <row r="7210" spans="3:11">
      <c r="C7210" s="11"/>
      <c r="K7210" s="11"/>
    </row>
    <row r="7211" spans="3:11">
      <c r="C7211" s="11"/>
      <c r="K7211" s="11"/>
    </row>
    <row r="7212" spans="3:11">
      <c r="C7212" s="11"/>
      <c r="K7212" s="11"/>
    </row>
    <row r="7213" spans="3:11">
      <c r="C7213" s="11"/>
      <c r="K7213" s="11"/>
    </row>
    <row r="7214" spans="3:11">
      <c r="C7214" s="11"/>
      <c r="K7214" s="11"/>
    </row>
    <row r="7215" spans="3:11">
      <c r="C7215" s="11"/>
      <c r="K7215" s="11"/>
    </row>
    <row r="7216" spans="3:11">
      <c r="C7216" s="11"/>
      <c r="K7216" s="11"/>
    </row>
    <row r="7217" spans="3:11">
      <c r="C7217" s="11"/>
      <c r="K7217" s="11"/>
    </row>
    <row r="7218" spans="3:11">
      <c r="C7218" s="11"/>
      <c r="K7218" s="11"/>
    </row>
    <row r="7219" spans="3:11">
      <c r="C7219" s="11"/>
      <c r="K7219" s="11"/>
    </row>
    <row r="7220" spans="3:11">
      <c r="C7220" s="11"/>
      <c r="K7220" s="11"/>
    </row>
    <row r="7221" spans="3:11">
      <c r="C7221" s="11"/>
      <c r="K7221" s="11"/>
    </row>
    <row r="7222" spans="3:11">
      <c r="C7222" s="11"/>
      <c r="K7222" s="11"/>
    </row>
    <row r="7223" spans="3:11">
      <c r="C7223" s="11"/>
      <c r="K7223" s="11"/>
    </row>
    <row r="7224" spans="3:11">
      <c r="C7224" s="11"/>
      <c r="K7224" s="11"/>
    </row>
    <row r="7225" spans="3:11">
      <c r="C7225" s="11"/>
      <c r="K7225" s="11"/>
    </row>
    <row r="7226" spans="3:11">
      <c r="C7226" s="11"/>
      <c r="K7226" s="11"/>
    </row>
    <row r="7227" spans="3:11">
      <c r="C7227" s="11"/>
      <c r="K7227" s="11"/>
    </row>
    <row r="7228" spans="3:11">
      <c r="C7228" s="11"/>
      <c r="K7228" s="11"/>
    </row>
    <row r="7229" spans="3:11">
      <c r="C7229" s="11"/>
      <c r="K7229" s="11"/>
    </row>
    <row r="7230" spans="3:11">
      <c r="C7230" s="11"/>
      <c r="K7230" s="11"/>
    </row>
    <row r="7231" spans="3:11">
      <c r="C7231" s="11"/>
      <c r="K7231" s="11"/>
    </row>
    <row r="7232" spans="3:11">
      <c r="C7232" s="11"/>
      <c r="K7232" s="11"/>
    </row>
    <row r="7233" spans="3:11">
      <c r="C7233" s="11"/>
      <c r="K7233" s="11"/>
    </row>
    <row r="7234" spans="3:11">
      <c r="C7234" s="11"/>
      <c r="K7234" s="11"/>
    </row>
    <row r="7235" spans="3:11">
      <c r="C7235" s="11"/>
      <c r="K7235" s="11"/>
    </row>
    <row r="7236" spans="3:11">
      <c r="C7236" s="11"/>
      <c r="K7236" s="11"/>
    </row>
    <row r="7237" spans="3:11">
      <c r="C7237" s="11"/>
      <c r="K7237" s="11"/>
    </row>
    <row r="7238" spans="3:11">
      <c r="C7238" s="11"/>
      <c r="K7238" s="11"/>
    </row>
    <row r="7239" spans="3:11">
      <c r="C7239" s="11"/>
      <c r="K7239" s="11"/>
    </row>
    <row r="7240" spans="3:11">
      <c r="C7240" s="11"/>
      <c r="K7240" s="11"/>
    </row>
    <row r="7241" spans="3:11">
      <c r="C7241" s="11"/>
      <c r="K7241" s="11"/>
    </row>
    <row r="7242" spans="3:11">
      <c r="C7242" s="11"/>
      <c r="K7242" s="11"/>
    </row>
    <row r="7243" spans="3:11">
      <c r="C7243" s="11"/>
      <c r="K7243" s="11"/>
    </row>
    <row r="7244" spans="3:11">
      <c r="C7244" s="11"/>
      <c r="K7244" s="11"/>
    </row>
    <row r="7245" spans="3:11">
      <c r="C7245" s="11"/>
      <c r="K7245" s="11"/>
    </row>
    <row r="7246" spans="3:11">
      <c r="C7246" s="11"/>
      <c r="K7246" s="11"/>
    </row>
    <row r="7247" spans="3:11">
      <c r="C7247" s="11"/>
      <c r="K7247" s="11"/>
    </row>
    <row r="7248" spans="3:11">
      <c r="C7248" s="11"/>
      <c r="K7248" s="11"/>
    </row>
    <row r="7249" spans="3:11">
      <c r="C7249" s="11"/>
      <c r="K7249" s="11"/>
    </row>
    <row r="7250" spans="3:11">
      <c r="C7250" s="11"/>
      <c r="K7250" s="11"/>
    </row>
    <row r="7251" spans="3:11">
      <c r="C7251" s="11"/>
      <c r="K7251" s="11"/>
    </row>
    <row r="7252" spans="3:11">
      <c r="C7252" s="11"/>
      <c r="K7252" s="11"/>
    </row>
    <row r="7253" spans="3:11">
      <c r="C7253" s="11"/>
      <c r="K7253" s="11"/>
    </row>
    <row r="7254" spans="3:11">
      <c r="C7254" s="11"/>
      <c r="K7254" s="11"/>
    </row>
    <row r="7255" spans="3:11">
      <c r="C7255" s="11"/>
      <c r="K7255" s="11"/>
    </row>
    <row r="7256" spans="3:11">
      <c r="C7256" s="11"/>
      <c r="K7256" s="11"/>
    </row>
    <row r="7257" spans="3:11">
      <c r="C7257" s="11"/>
      <c r="K7257" s="11"/>
    </row>
    <row r="7258" spans="3:11">
      <c r="C7258" s="11"/>
      <c r="K7258" s="11"/>
    </row>
    <row r="7259" spans="3:11">
      <c r="C7259" s="11"/>
      <c r="K7259" s="11"/>
    </row>
    <row r="7260" spans="3:11">
      <c r="C7260" s="11"/>
      <c r="K7260" s="11"/>
    </row>
    <row r="7261" spans="3:11">
      <c r="C7261" s="11"/>
      <c r="K7261" s="11"/>
    </row>
    <row r="7262" spans="3:11">
      <c r="C7262" s="11"/>
      <c r="K7262" s="11"/>
    </row>
    <row r="7263" spans="3:11">
      <c r="C7263" s="11"/>
      <c r="K7263" s="11"/>
    </row>
    <row r="7264" spans="3:11">
      <c r="C7264" s="11"/>
      <c r="K7264" s="11"/>
    </row>
    <row r="7265" spans="3:11">
      <c r="C7265" s="11"/>
      <c r="K7265" s="11"/>
    </row>
    <row r="7266" spans="3:11">
      <c r="C7266" s="11"/>
      <c r="K7266" s="11"/>
    </row>
    <row r="7267" spans="3:11">
      <c r="C7267" s="11"/>
      <c r="K7267" s="11"/>
    </row>
    <row r="7268" spans="3:11">
      <c r="C7268" s="11"/>
      <c r="K7268" s="11"/>
    </row>
    <row r="7269" spans="3:11">
      <c r="C7269" s="11"/>
      <c r="K7269" s="11"/>
    </row>
    <row r="7270" spans="3:11">
      <c r="C7270" s="11"/>
      <c r="K7270" s="11"/>
    </row>
    <row r="7271" spans="3:11">
      <c r="C7271" s="11"/>
      <c r="K7271" s="11"/>
    </row>
    <row r="7272" spans="3:11">
      <c r="C7272" s="11"/>
      <c r="K7272" s="11"/>
    </row>
    <row r="7273" spans="3:11">
      <c r="C7273" s="11"/>
      <c r="K7273" s="11"/>
    </row>
    <row r="7274" spans="3:11">
      <c r="C7274" s="11"/>
      <c r="K7274" s="11"/>
    </row>
    <row r="7275" spans="3:11">
      <c r="C7275" s="11"/>
      <c r="K7275" s="11"/>
    </row>
    <row r="7276" spans="3:11">
      <c r="C7276" s="11"/>
      <c r="K7276" s="11"/>
    </row>
    <row r="7277" spans="3:11">
      <c r="C7277" s="11"/>
      <c r="K7277" s="11"/>
    </row>
    <row r="7278" spans="3:11">
      <c r="C7278" s="11"/>
      <c r="K7278" s="11"/>
    </row>
    <row r="7279" spans="3:11">
      <c r="C7279" s="11"/>
      <c r="K7279" s="11"/>
    </row>
    <row r="7280" spans="3:11">
      <c r="C7280" s="11"/>
      <c r="K7280" s="11"/>
    </row>
    <row r="7281" spans="3:11">
      <c r="C7281" s="11"/>
      <c r="K7281" s="11"/>
    </row>
    <row r="7282" spans="3:11">
      <c r="C7282" s="11"/>
      <c r="K7282" s="11"/>
    </row>
    <row r="7283" spans="3:11">
      <c r="C7283" s="11"/>
      <c r="K7283" s="11"/>
    </row>
    <row r="7284" spans="3:11">
      <c r="C7284" s="11"/>
      <c r="K7284" s="11"/>
    </row>
    <row r="7285" spans="3:11">
      <c r="C7285" s="11"/>
      <c r="K7285" s="11"/>
    </row>
    <row r="7286" spans="3:11">
      <c r="C7286" s="11"/>
      <c r="K7286" s="11"/>
    </row>
    <row r="7287" spans="3:11">
      <c r="C7287" s="11"/>
      <c r="K7287" s="11"/>
    </row>
    <row r="7288" spans="3:11">
      <c r="C7288" s="11"/>
      <c r="K7288" s="11"/>
    </row>
    <row r="7289" spans="3:11">
      <c r="C7289" s="11"/>
      <c r="K7289" s="11"/>
    </row>
    <row r="7290" spans="3:11">
      <c r="C7290" s="11"/>
      <c r="K7290" s="11"/>
    </row>
    <row r="7291" spans="3:11">
      <c r="C7291" s="11"/>
      <c r="K7291" s="11"/>
    </row>
    <row r="7292" spans="3:11">
      <c r="C7292" s="11"/>
      <c r="K7292" s="11"/>
    </row>
    <row r="7293" spans="3:11">
      <c r="C7293" s="11"/>
      <c r="K7293" s="11"/>
    </row>
    <row r="7294" spans="3:11">
      <c r="C7294" s="11"/>
      <c r="K7294" s="11"/>
    </row>
    <row r="7295" spans="3:11">
      <c r="C7295" s="11"/>
      <c r="K7295" s="11"/>
    </row>
    <row r="7296" spans="3:11">
      <c r="C7296" s="11"/>
      <c r="K7296" s="11"/>
    </row>
    <row r="7297" spans="3:11">
      <c r="C7297" s="11"/>
      <c r="K7297" s="11"/>
    </row>
    <row r="7298" spans="3:11">
      <c r="C7298" s="11"/>
      <c r="K7298" s="11"/>
    </row>
    <row r="7299" spans="3:11">
      <c r="C7299" s="11"/>
      <c r="K7299" s="11"/>
    </row>
    <row r="7300" spans="3:11">
      <c r="C7300" s="11"/>
      <c r="K7300" s="11"/>
    </row>
    <row r="7301" spans="3:11">
      <c r="C7301" s="11"/>
      <c r="K7301" s="11"/>
    </row>
    <row r="7302" spans="3:11">
      <c r="C7302" s="11"/>
      <c r="K7302" s="11"/>
    </row>
    <row r="7303" spans="3:11">
      <c r="C7303" s="11"/>
      <c r="K7303" s="11"/>
    </row>
    <row r="7304" spans="3:11">
      <c r="C7304" s="11"/>
      <c r="K7304" s="11"/>
    </row>
    <row r="7305" spans="3:11">
      <c r="C7305" s="11"/>
      <c r="K7305" s="11"/>
    </row>
    <row r="7306" spans="3:11">
      <c r="C7306" s="11"/>
      <c r="K7306" s="11"/>
    </row>
    <row r="7307" spans="3:11">
      <c r="C7307" s="11"/>
      <c r="K7307" s="11"/>
    </row>
    <row r="7308" spans="3:11">
      <c r="C7308" s="11"/>
      <c r="K7308" s="11"/>
    </row>
    <row r="7309" spans="3:11">
      <c r="C7309" s="11"/>
      <c r="K7309" s="11"/>
    </row>
    <row r="7310" spans="3:11">
      <c r="C7310" s="11"/>
      <c r="K7310" s="11"/>
    </row>
    <row r="7311" spans="3:11">
      <c r="C7311" s="11"/>
      <c r="K7311" s="11"/>
    </row>
    <row r="7312" spans="3:11">
      <c r="C7312" s="11"/>
      <c r="K7312" s="11"/>
    </row>
    <row r="7313" spans="3:11">
      <c r="C7313" s="11"/>
      <c r="K7313" s="11"/>
    </row>
    <row r="7314" spans="3:11">
      <c r="C7314" s="11"/>
      <c r="K7314" s="11"/>
    </row>
    <row r="7315" spans="3:11">
      <c r="C7315" s="11"/>
      <c r="K7315" s="11"/>
    </row>
    <row r="7316" spans="3:11">
      <c r="C7316" s="11"/>
      <c r="K7316" s="11"/>
    </row>
    <row r="7317" spans="3:11">
      <c r="C7317" s="11"/>
      <c r="K7317" s="11"/>
    </row>
    <row r="7318" spans="3:11">
      <c r="C7318" s="11"/>
      <c r="K7318" s="11"/>
    </row>
    <row r="7319" spans="3:11">
      <c r="C7319" s="11"/>
      <c r="K7319" s="11"/>
    </row>
    <row r="7320" spans="3:11">
      <c r="C7320" s="11"/>
      <c r="K7320" s="11"/>
    </row>
    <row r="7321" spans="3:11">
      <c r="C7321" s="11"/>
      <c r="K7321" s="11"/>
    </row>
    <row r="7322" spans="3:11">
      <c r="C7322" s="11"/>
      <c r="K7322" s="11"/>
    </row>
    <row r="7323" spans="3:11">
      <c r="C7323" s="11"/>
      <c r="K7323" s="11"/>
    </row>
    <row r="7324" spans="3:11">
      <c r="C7324" s="11"/>
      <c r="K7324" s="11"/>
    </row>
    <row r="7325" spans="3:11">
      <c r="C7325" s="11"/>
      <c r="K7325" s="11"/>
    </row>
    <row r="7326" spans="3:11">
      <c r="C7326" s="11"/>
      <c r="K7326" s="11"/>
    </row>
    <row r="7327" spans="3:11">
      <c r="C7327" s="11"/>
      <c r="K7327" s="11"/>
    </row>
    <row r="7328" spans="3:11">
      <c r="C7328" s="11"/>
      <c r="K7328" s="11"/>
    </row>
    <row r="7329" spans="3:11">
      <c r="C7329" s="11"/>
      <c r="K7329" s="11"/>
    </row>
    <row r="7330" spans="3:11">
      <c r="C7330" s="11"/>
      <c r="K7330" s="11"/>
    </row>
    <row r="7331" spans="3:11">
      <c r="C7331" s="11"/>
      <c r="K7331" s="11"/>
    </row>
    <row r="7332" spans="3:11">
      <c r="C7332" s="11"/>
      <c r="K7332" s="11"/>
    </row>
    <row r="7333" spans="3:11">
      <c r="C7333" s="11"/>
      <c r="K7333" s="11"/>
    </row>
    <row r="7334" spans="3:11">
      <c r="C7334" s="11"/>
      <c r="K7334" s="11"/>
    </row>
    <row r="7335" spans="3:11">
      <c r="C7335" s="11"/>
      <c r="K7335" s="11"/>
    </row>
    <row r="7336" spans="3:11">
      <c r="C7336" s="11"/>
      <c r="K7336" s="11"/>
    </row>
    <row r="7337" spans="3:11">
      <c r="C7337" s="11"/>
      <c r="K7337" s="11"/>
    </row>
    <row r="7338" spans="3:11">
      <c r="C7338" s="11"/>
      <c r="K7338" s="11"/>
    </row>
    <row r="7339" spans="3:11">
      <c r="C7339" s="11"/>
      <c r="K7339" s="11"/>
    </row>
    <row r="7340" spans="3:11">
      <c r="C7340" s="11"/>
      <c r="K7340" s="11"/>
    </row>
    <row r="7341" spans="3:11">
      <c r="C7341" s="11"/>
      <c r="K7341" s="11"/>
    </row>
    <row r="7342" spans="3:11">
      <c r="C7342" s="11"/>
      <c r="K7342" s="11"/>
    </row>
    <row r="7343" spans="3:11">
      <c r="C7343" s="11"/>
      <c r="K7343" s="11"/>
    </row>
    <row r="7344" spans="3:11">
      <c r="C7344" s="11"/>
      <c r="K7344" s="11"/>
    </row>
    <row r="7345" spans="3:11">
      <c r="C7345" s="11"/>
      <c r="K7345" s="11"/>
    </row>
    <row r="7346" spans="3:11">
      <c r="C7346" s="11"/>
      <c r="K7346" s="11"/>
    </row>
    <row r="7347" spans="3:11">
      <c r="C7347" s="11"/>
      <c r="K7347" s="11"/>
    </row>
    <row r="7348" spans="3:11">
      <c r="C7348" s="11"/>
      <c r="K7348" s="11"/>
    </row>
    <row r="7349" spans="3:11">
      <c r="C7349" s="11"/>
      <c r="K7349" s="11"/>
    </row>
    <row r="7350" spans="3:11">
      <c r="C7350" s="11"/>
      <c r="K7350" s="11"/>
    </row>
    <row r="7351" spans="3:11">
      <c r="C7351" s="11"/>
      <c r="K7351" s="11"/>
    </row>
    <row r="7352" spans="3:11">
      <c r="C7352" s="11"/>
      <c r="K7352" s="11"/>
    </row>
    <row r="7353" spans="3:11">
      <c r="C7353" s="11"/>
      <c r="K7353" s="11"/>
    </row>
    <row r="7354" spans="3:11">
      <c r="C7354" s="11"/>
      <c r="K7354" s="11"/>
    </row>
    <row r="7355" spans="3:11">
      <c r="C7355" s="11"/>
      <c r="K7355" s="11"/>
    </row>
    <row r="7356" spans="3:11">
      <c r="C7356" s="11"/>
      <c r="K7356" s="11"/>
    </row>
    <row r="7357" spans="3:11">
      <c r="C7357" s="11"/>
      <c r="K7357" s="11"/>
    </row>
    <row r="7358" spans="3:11">
      <c r="C7358" s="11"/>
      <c r="K7358" s="11"/>
    </row>
    <row r="7359" spans="3:11">
      <c r="C7359" s="11"/>
      <c r="K7359" s="11"/>
    </row>
    <row r="7360" spans="3:11">
      <c r="C7360" s="11"/>
      <c r="K7360" s="11"/>
    </row>
    <row r="7361" spans="3:11">
      <c r="C7361" s="11"/>
      <c r="K7361" s="11"/>
    </row>
    <row r="7362" spans="3:11">
      <c r="C7362" s="11"/>
      <c r="K7362" s="11"/>
    </row>
    <row r="7363" spans="3:11">
      <c r="C7363" s="11"/>
      <c r="K7363" s="11"/>
    </row>
    <row r="7364" spans="3:11">
      <c r="C7364" s="11"/>
      <c r="K7364" s="11"/>
    </row>
    <row r="7365" spans="3:11">
      <c r="C7365" s="11"/>
      <c r="K7365" s="11"/>
    </row>
    <row r="7366" spans="3:11">
      <c r="C7366" s="11"/>
      <c r="K7366" s="11"/>
    </row>
    <row r="7367" spans="3:11">
      <c r="C7367" s="11"/>
      <c r="K7367" s="11"/>
    </row>
    <row r="7368" spans="3:11">
      <c r="C7368" s="11"/>
      <c r="K7368" s="11"/>
    </row>
    <row r="7369" spans="3:11">
      <c r="C7369" s="11"/>
      <c r="K7369" s="11"/>
    </row>
    <row r="7370" spans="3:11">
      <c r="C7370" s="11"/>
      <c r="K7370" s="11"/>
    </row>
    <row r="7371" spans="3:11">
      <c r="C7371" s="11"/>
      <c r="K7371" s="11"/>
    </row>
    <row r="7372" spans="3:11">
      <c r="C7372" s="11"/>
      <c r="K7372" s="11"/>
    </row>
    <row r="7373" spans="3:11">
      <c r="C7373" s="11"/>
      <c r="K7373" s="11"/>
    </row>
    <row r="7374" spans="3:11">
      <c r="C7374" s="11"/>
      <c r="K7374" s="11"/>
    </row>
    <row r="7375" spans="3:11">
      <c r="C7375" s="11"/>
      <c r="K7375" s="11"/>
    </row>
    <row r="7376" spans="3:11">
      <c r="C7376" s="11"/>
      <c r="K7376" s="11"/>
    </row>
    <row r="7377" spans="3:11">
      <c r="C7377" s="11"/>
      <c r="K7377" s="11"/>
    </row>
    <row r="7378" spans="3:11">
      <c r="C7378" s="11"/>
      <c r="K7378" s="11"/>
    </row>
    <row r="7379" spans="3:11">
      <c r="C7379" s="11"/>
      <c r="K7379" s="11"/>
    </row>
    <row r="7380" spans="3:11">
      <c r="C7380" s="11"/>
      <c r="K7380" s="11"/>
    </row>
    <row r="7381" spans="3:11">
      <c r="C7381" s="11"/>
      <c r="K7381" s="11"/>
    </row>
    <row r="7382" spans="3:11">
      <c r="C7382" s="11"/>
      <c r="K7382" s="11"/>
    </row>
    <row r="7383" spans="3:11">
      <c r="C7383" s="11"/>
      <c r="K7383" s="11"/>
    </row>
    <row r="7384" spans="3:11">
      <c r="C7384" s="11"/>
      <c r="K7384" s="11"/>
    </row>
    <row r="7385" spans="3:11">
      <c r="C7385" s="11"/>
      <c r="K7385" s="11"/>
    </row>
    <row r="7386" spans="3:11">
      <c r="C7386" s="11"/>
      <c r="K7386" s="11"/>
    </row>
    <row r="7387" spans="3:11">
      <c r="C7387" s="11"/>
      <c r="K7387" s="11"/>
    </row>
    <row r="7388" spans="3:11">
      <c r="C7388" s="11"/>
      <c r="K7388" s="11"/>
    </row>
    <row r="7389" spans="3:11">
      <c r="C7389" s="11"/>
      <c r="K7389" s="11"/>
    </row>
    <row r="7390" spans="3:11">
      <c r="C7390" s="11"/>
      <c r="K7390" s="11"/>
    </row>
    <row r="7391" spans="3:11">
      <c r="C7391" s="11"/>
      <c r="K7391" s="11"/>
    </row>
    <row r="7392" spans="3:11">
      <c r="C7392" s="11"/>
      <c r="K7392" s="11"/>
    </row>
    <row r="7393" spans="3:11">
      <c r="C7393" s="11"/>
      <c r="K7393" s="11"/>
    </row>
    <row r="7394" spans="3:11">
      <c r="C7394" s="11"/>
      <c r="K7394" s="11"/>
    </row>
    <row r="7395" spans="3:11">
      <c r="C7395" s="11"/>
      <c r="K7395" s="11"/>
    </row>
    <row r="7396" spans="3:11">
      <c r="C7396" s="11"/>
      <c r="K7396" s="11"/>
    </row>
    <row r="7397" spans="3:11">
      <c r="C7397" s="11"/>
      <c r="K7397" s="11"/>
    </row>
    <row r="7398" spans="3:11">
      <c r="C7398" s="11"/>
      <c r="K7398" s="11"/>
    </row>
    <row r="7399" spans="3:11">
      <c r="C7399" s="11"/>
      <c r="K7399" s="11"/>
    </row>
    <row r="7400" spans="3:11">
      <c r="C7400" s="11"/>
      <c r="K7400" s="11"/>
    </row>
    <row r="7401" spans="3:11">
      <c r="C7401" s="11"/>
      <c r="K7401" s="11"/>
    </row>
    <row r="7402" spans="3:11">
      <c r="C7402" s="11"/>
      <c r="K7402" s="11"/>
    </row>
    <row r="7403" spans="3:11">
      <c r="C7403" s="11"/>
      <c r="K7403" s="11"/>
    </row>
    <row r="7404" spans="3:11">
      <c r="C7404" s="11"/>
      <c r="K7404" s="11"/>
    </row>
    <row r="7405" spans="3:11">
      <c r="C7405" s="11"/>
      <c r="K7405" s="11"/>
    </row>
    <row r="7406" spans="3:11">
      <c r="C7406" s="11"/>
      <c r="K7406" s="11"/>
    </row>
    <row r="7407" spans="3:11">
      <c r="C7407" s="11"/>
      <c r="K7407" s="11"/>
    </row>
    <row r="7408" spans="3:11">
      <c r="C7408" s="11"/>
      <c r="K7408" s="11"/>
    </row>
    <row r="7409" spans="3:11">
      <c r="C7409" s="11"/>
      <c r="K7409" s="11"/>
    </row>
    <row r="7410" spans="3:11">
      <c r="C7410" s="11"/>
      <c r="K7410" s="11"/>
    </row>
    <row r="7411" spans="3:11">
      <c r="C7411" s="11"/>
      <c r="K7411" s="11"/>
    </row>
    <row r="7412" spans="3:11">
      <c r="C7412" s="11"/>
      <c r="K7412" s="11"/>
    </row>
    <row r="7413" spans="3:11">
      <c r="C7413" s="11"/>
      <c r="K7413" s="11"/>
    </row>
    <row r="7414" spans="3:11">
      <c r="C7414" s="11"/>
      <c r="K7414" s="11"/>
    </row>
    <row r="7415" spans="3:11">
      <c r="C7415" s="11"/>
      <c r="K7415" s="11"/>
    </row>
    <row r="7416" spans="3:11">
      <c r="C7416" s="11"/>
      <c r="K7416" s="11"/>
    </row>
    <row r="7417" spans="3:11">
      <c r="C7417" s="11"/>
      <c r="K7417" s="11"/>
    </row>
    <row r="7418" spans="3:11">
      <c r="C7418" s="11"/>
      <c r="K7418" s="11"/>
    </row>
    <row r="7419" spans="3:11">
      <c r="C7419" s="11"/>
      <c r="K7419" s="11"/>
    </row>
    <row r="7420" spans="3:11">
      <c r="C7420" s="11"/>
      <c r="K7420" s="11"/>
    </row>
    <row r="7421" spans="3:11">
      <c r="C7421" s="11"/>
      <c r="K7421" s="11"/>
    </row>
    <row r="7422" spans="3:11">
      <c r="C7422" s="11"/>
      <c r="K7422" s="11"/>
    </row>
    <row r="7423" spans="3:11">
      <c r="C7423" s="11"/>
      <c r="K7423" s="11"/>
    </row>
    <row r="7424" spans="3:11">
      <c r="C7424" s="11"/>
      <c r="K7424" s="11"/>
    </row>
    <row r="7425" spans="3:11">
      <c r="C7425" s="11"/>
      <c r="K7425" s="11"/>
    </row>
    <row r="7426" spans="3:11">
      <c r="C7426" s="11"/>
      <c r="K7426" s="11"/>
    </row>
    <row r="7427" spans="3:11">
      <c r="C7427" s="11"/>
      <c r="K7427" s="11"/>
    </row>
    <row r="7428" spans="3:11">
      <c r="C7428" s="11"/>
      <c r="K7428" s="11"/>
    </row>
    <row r="7429" spans="3:11">
      <c r="C7429" s="11"/>
      <c r="K7429" s="11"/>
    </row>
    <row r="7430" spans="3:11">
      <c r="C7430" s="11"/>
      <c r="K7430" s="11"/>
    </row>
    <row r="7431" spans="3:11">
      <c r="C7431" s="11"/>
      <c r="K7431" s="11"/>
    </row>
    <row r="7432" spans="3:11">
      <c r="C7432" s="11"/>
      <c r="K7432" s="11"/>
    </row>
    <row r="7433" spans="3:11">
      <c r="C7433" s="11"/>
      <c r="K7433" s="11"/>
    </row>
    <row r="7434" spans="3:11">
      <c r="C7434" s="11"/>
      <c r="K7434" s="11"/>
    </row>
    <row r="7435" spans="3:11">
      <c r="C7435" s="11"/>
      <c r="K7435" s="11"/>
    </row>
    <row r="7436" spans="3:11">
      <c r="C7436" s="11"/>
      <c r="K7436" s="11"/>
    </row>
    <row r="7437" spans="3:11">
      <c r="C7437" s="11"/>
      <c r="K7437" s="11"/>
    </row>
    <row r="7438" spans="3:11">
      <c r="C7438" s="11"/>
      <c r="K7438" s="11"/>
    </row>
    <row r="7439" spans="3:11">
      <c r="C7439" s="11"/>
      <c r="K7439" s="11"/>
    </row>
    <row r="7440" spans="3:11">
      <c r="C7440" s="11"/>
      <c r="K7440" s="11"/>
    </row>
    <row r="7441" spans="3:11">
      <c r="C7441" s="11"/>
      <c r="K7441" s="11"/>
    </row>
    <row r="7442" spans="3:11">
      <c r="C7442" s="11"/>
      <c r="K7442" s="11"/>
    </row>
    <row r="7443" spans="3:11">
      <c r="C7443" s="11"/>
      <c r="K7443" s="11"/>
    </row>
    <row r="7444" spans="3:11">
      <c r="C7444" s="11"/>
      <c r="K7444" s="11"/>
    </row>
    <row r="7445" spans="3:11">
      <c r="C7445" s="11"/>
      <c r="K7445" s="11"/>
    </row>
    <row r="7446" spans="3:11">
      <c r="C7446" s="11"/>
      <c r="K7446" s="11"/>
    </row>
    <row r="7447" spans="3:11">
      <c r="C7447" s="11"/>
      <c r="K7447" s="11"/>
    </row>
    <row r="7448" spans="3:11">
      <c r="C7448" s="11"/>
      <c r="K7448" s="11"/>
    </row>
    <row r="7449" spans="3:11">
      <c r="C7449" s="11"/>
      <c r="K7449" s="11"/>
    </row>
    <row r="7450" spans="3:11">
      <c r="C7450" s="11"/>
      <c r="K7450" s="11"/>
    </row>
    <row r="7451" spans="3:11">
      <c r="C7451" s="11"/>
      <c r="K7451" s="11"/>
    </row>
    <row r="7452" spans="3:11">
      <c r="C7452" s="11"/>
      <c r="K7452" s="11"/>
    </row>
    <row r="7453" spans="3:11">
      <c r="C7453" s="11"/>
      <c r="K7453" s="11"/>
    </row>
    <row r="7454" spans="3:11">
      <c r="C7454" s="11"/>
      <c r="K7454" s="11"/>
    </row>
    <row r="7455" spans="3:11">
      <c r="C7455" s="11"/>
      <c r="K7455" s="11"/>
    </row>
    <row r="7456" spans="3:11">
      <c r="C7456" s="11"/>
      <c r="K7456" s="11"/>
    </row>
    <row r="7457" spans="3:11">
      <c r="C7457" s="11"/>
      <c r="K7457" s="11"/>
    </row>
    <row r="7458" spans="3:11">
      <c r="C7458" s="11"/>
      <c r="K7458" s="11"/>
    </row>
    <row r="7459" spans="3:11">
      <c r="C7459" s="11"/>
      <c r="K7459" s="11"/>
    </row>
    <row r="7460" spans="3:11">
      <c r="C7460" s="11"/>
      <c r="K7460" s="11"/>
    </row>
    <row r="7461" spans="3:11">
      <c r="C7461" s="11"/>
      <c r="K7461" s="11"/>
    </row>
    <row r="7462" spans="3:11">
      <c r="C7462" s="11"/>
      <c r="K7462" s="11"/>
    </row>
    <row r="7463" spans="3:11">
      <c r="C7463" s="11"/>
      <c r="K7463" s="11"/>
    </row>
    <row r="7464" spans="3:11">
      <c r="C7464" s="11"/>
      <c r="K7464" s="11"/>
    </row>
    <row r="7465" spans="3:11">
      <c r="C7465" s="11"/>
      <c r="K7465" s="11"/>
    </row>
    <row r="7466" spans="3:11">
      <c r="C7466" s="11"/>
      <c r="K7466" s="11"/>
    </row>
    <row r="7467" spans="3:11">
      <c r="C7467" s="11"/>
      <c r="K7467" s="11"/>
    </row>
    <row r="7468" spans="3:11">
      <c r="C7468" s="11"/>
      <c r="K7468" s="11"/>
    </row>
    <row r="7469" spans="3:11">
      <c r="C7469" s="11"/>
      <c r="K7469" s="11"/>
    </row>
    <row r="7470" spans="3:11">
      <c r="C7470" s="11"/>
      <c r="K7470" s="11"/>
    </row>
    <row r="7471" spans="3:11">
      <c r="C7471" s="11"/>
      <c r="K7471" s="11"/>
    </row>
    <row r="7472" spans="3:11">
      <c r="C7472" s="11"/>
      <c r="K7472" s="11"/>
    </row>
    <row r="7473" spans="3:11">
      <c r="C7473" s="11"/>
      <c r="K7473" s="11"/>
    </row>
    <row r="7474" spans="3:11">
      <c r="C7474" s="11"/>
      <c r="K7474" s="11"/>
    </row>
    <row r="7475" spans="3:11">
      <c r="C7475" s="11"/>
      <c r="K7475" s="11"/>
    </row>
    <row r="7476" spans="3:11">
      <c r="C7476" s="11"/>
      <c r="K7476" s="11"/>
    </row>
    <row r="7477" spans="3:11">
      <c r="C7477" s="11"/>
      <c r="K7477" s="11"/>
    </row>
    <row r="7478" spans="3:11">
      <c r="C7478" s="11"/>
      <c r="K7478" s="11"/>
    </row>
    <row r="7479" spans="3:11">
      <c r="C7479" s="11"/>
      <c r="K7479" s="11"/>
    </row>
    <row r="7480" spans="3:11">
      <c r="C7480" s="11"/>
      <c r="K7480" s="11"/>
    </row>
    <row r="7481" spans="3:11">
      <c r="C7481" s="11"/>
      <c r="K7481" s="11"/>
    </row>
    <row r="7482" spans="3:11">
      <c r="C7482" s="11"/>
      <c r="K7482" s="11"/>
    </row>
    <row r="7483" spans="3:11">
      <c r="C7483" s="11"/>
      <c r="K7483" s="11"/>
    </row>
    <row r="7484" spans="3:11">
      <c r="C7484" s="11"/>
      <c r="K7484" s="11"/>
    </row>
    <row r="7485" spans="3:11">
      <c r="C7485" s="11"/>
      <c r="K7485" s="11"/>
    </row>
    <row r="7486" spans="3:11">
      <c r="C7486" s="11"/>
      <c r="K7486" s="11"/>
    </row>
    <row r="7487" spans="3:11">
      <c r="C7487" s="11"/>
      <c r="K7487" s="11"/>
    </row>
    <row r="7488" spans="3:11">
      <c r="C7488" s="11"/>
      <c r="K7488" s="11"/>
    </row>
    <row r="7489" spans="3:11">
      <c r="C7489" s="11"/>
      <c r="K7489" s="11"/>
    </row>
    <row r="7490" spans="3:11">
      <c r="C7490" s="11"/>
      <c r="K7490" s="11"/>
    </row>
    <row r="7491" spans="3:11">
      <c r="C7491" s="11"/>
      <c r="K7491" s="11"/>
    </row>
    <row r="7492" spans="3:11">
      <c r="C7492" s="11"/>
      <c r="K7492" s="11"/>
    </row>
    <row r="7493" spans="3:11">
      <c r="C7493" s="11"/>
      <c r="K7493" s="11"/>
    </row>
    <row r="7494" spans="3:11">
      <c r="C7494" s="11"/>
      <c r="K7494" s="11"/>
    </row>
    <row r="7495" spans="3:11">
      <c r="C7495" s="11"/>
      <c r="K7495" s="11"/>
    </row>
    <row r="7496" spans="3:11">
      <c r="C7496" s="11"/>
      <c r="K7496" s="11"/>
    </row>
    <row r="7497" spans="3:11">
      <c r="C7497" s="11"/>
      <c r="K7497" s="11"/>
    </row>
    <row r="7498" spans="3:11">
      <c r="C7498" s="11"/>
      <c r="K7498" s="11"/>
    </row>
    <row r="7499" spans="3:11">
      <c r="C7499" s="11"/>
      <c r="K7499" s="11"/>
    </row>
    <row r="7500" spans="3:11">
      <c r="C7500" s="11"/>
      <c r="K7500" s="11"/>
    </row>
    <row r="7501" spans="3:11">
      <c r="C7501" s="11"/>
      <c r="K7501" s="11"/>
    </row>
    <row r="7502" spans="3:11">
      <c r="C7502" s="11"/>
      <c r="K7502" s="11"/>
    </row>
    <row r="7503" spans="3:11">
      <c r="C7503" s="11"/>
      <c r="K7503" s="11"/>
    </row>
    <row r="7504" spans="3:11">
      <c r="C7504" s="11"/>
      <c r="K7504" s="11"/>
    </row>
    <row r="7505" spans="3:11">
      <c r="C7505" s="11"/>
      <c r="K7505" s="11"/>
    </row>
    <row r="7506" spans="3:11">
      <c r="C7506" s="11"/>
      <c r="K7506" s="11"/>
    </row>
    <row r="7507" spans="3:11">
      <c r="C7507" s="11"/>
      <c r="K7507" s="11"/>
    </row>
    <row r="7508" spans="3:11">
      <c r="C7508" s="11"/>
      <c r="K7508" s="11"/>
    </row>
    <row r="7509" spans="3:11">
      <c r="C7509" s="11"/>
      <c r="K7509" s="11"/>
    </row>
    <row r="7510" spans="3:11">
      <c r="C7510" s="11"/>
      <c r="K7510" s="11"/>
    </row>
    <row r="7511" spans="3:11">
      <c r="C7511" s="11"/>
      <c r="K7511" s="11"/>
    </row>
    <row r="7512" spans="3:11">
      <c r="C7512" s="11"/>
      <c r="K7512" s="11"/>
    </row>
    <row r="7513" spans="3:11">
      <c r="C7513" s="11"/>
      <c r="K7513" s="11"/>
    </row>
    <row r="7514" spans="3:11">
      <c r="C7514" s="11"/>
      <c r="K7514" s="11"/>
    </row>
    <row r="7515" spans="3:11">
      <c r="C7515" s="11"/>
      <c r="K7515" s="11"/>
    </row>
    <row r="7516" spans="3:11">
      <c r="C7516" s="11"/>
      <c r="K7516" s="11"/>
    </row>
    <row r="7517" spans="3:11">
      <c r="C7517" s="11"/>
      <c r="K7517" s="11"/>
    </row>
    <row r="7518" spans="3:11">
      <c r="C7518" s="11"/>
      <c r="K7518" s="11"/>
    </row>
    <row r="7519" spans="3:11">
      <c r="C7519" s="11"/>
      <c r="K7519" s="11"/>
    </row>
    <row r="7520" spans="3:11">
      <c r="C7520" s="11"/>
      <c r="K7520" s="11"/>
    </row>
    <row r="7521" spans="3:11">
      <c r="C7521" s="11"/>
      <c r="K7521" s="11"/>
    </row>
    <row r="7522" spans="3:11">
      <c r="C7522" s="11"/>
      <c r="K7522" s="11"/>
    </row>
    <row r="7523" spans="3:11">
      <c r="C7523" s="11"/>
      <c r="K7523" s="11"/>
    </row>
    <row r="7524" spans="3:11">
      <c r="C7524" s="11"/>
      <c r="K7524" s="11"/>
    </row>
    <row r="7525" spans="3:11">
      <c r="C7525" s="11"/>
      <c r="K7525" s="11"/>
    </row>
    <row r="7526" spans="3:11">
      <c r="C7526" s="11"/>
      <c r="K7526" s="11"/>
    </row>
    <row r="7527" spans="3:11">
      <c r="C7527" s="11"/>
      <c r="K7527" s="11"/>
    </row>
    <row r="7528" spans="3:11">
      <c r="C7528" s="11"/>
      <c r="K7528" s="11"/>
    </row>
    <row r="7529" spans="3:11">
      <c r="C7529" s="11"/>
      <c r="K7529" s="11"/>
    </row>
    <row r="7530" spans="3:11">
      <c r="C7530" s="11"/>
      <c r="K7530" s="11"/>
    </row>
    <row r="7531" spans="3:11">
      <c r="C7531" s="11"/>
      <c r="K7531" s="11"/>
    </row>
    <row r="7532" spans="3:11">
      <c r="C7532" s="11"/>
      <c r="K7532" s="11"/>
    </row>
    <row r="7533" spans="3:11">
      <c r="C7533" s="11"/>
      <c r="K7533" s="11"/>
    </row>
    <row r="7534" spans="3:11">
      <c r="C7534" s="11"/>
      <c r="K7534" s="11"/>
    </row>
    <row r="7535" spans="3:11">
      <c r="C7535" s="11"/>
      <c r="K7535" s="11"/>
    </row>
    <row r="7536" spans="3:11">
      <c r="C7536" s="11"/>
      <c r="K7536" s="11"/>
    </row>
    <row r="7537" spans="3:11">
      <c r="C7537" s="11"/>
      <c r="K7537" s="11"/>
    </row>
    <row r="7538" spans="3:11">
      <c r="C7538" s="11"/>
      <c r="K7538" s="11"/>
    </row>
    <row r="7539" spans="3:11">
      <c r="C7539" s="11"/>
      <c r="K7539" s="11"/>
    </row>
    <row r="7540" spans="3:11">
      <c r="C7540" s="11"/>
      <c r="K7540" s="11"/>
    </row>
    <row r="7541" spans="3:11">
      <c r="C7541" s="11"/>
      <c r="K7541" s="11"/>
    </row>
    <row r="7542" spans="3:11">
      <c r="C7542" s="11"/>
      <c r="K7542" s="11"/>
    </row>
    <row r="7543" spans="3:11">
      <c r="C7543" s="11"/>
      <c r="K7543" s="11"/>
    </row>
    <row r="7544" spans="3:11">
      <c r="C7544" s="11"/>
      <c r="K7544" s="11"/>
    </row>
    <row r="7545" spans="3:11">
      <c r="C7545" s="11"/>
      <c r="K7545" s="11"/>
    </row>
    <row r="7546" spans="3:11">
      <c r="C7546" s="11"/>
      <c r="K7546" s="11"/>
    </row>
    <row r="7547" spans="3:11">
      <c r="C7547" s="11"/>
      <c r="K7547" s="11"/>
    </row>
    <row r="7548" spans="3:11">
      <c r="C7548" s="11"/>
      <c r="K7548" s="11"/>
    </row>
    <row r="7549" spans="3:11">
      <c r="C7549" s="11"/>
      <c r="K7549" s="11"/>
    </row>
    <row r="7550" spans="3:11">
      <c r="C7550" s="11"/>
      <c r="K7550" s="11"/>
    </row>
    <row r="7551" spans="3:11">
      <c r="C7551" s="11"/>
      <c r="K7551" s="11"/>
    </row>
    <row r="7552" spans="3:11">
      <c r="C7552" s="11"/>
      <c r="K7552" s="11"/>
    </row>
    <row r="7553" spans="3:11">
      <c r="C7553" s="11"/>
      <c r="K7553" s="11"/>
    </row>
    <row r="7554" spans="3:11">
      <c r="C7554" s="11"/>
      <c r="K7554" s="11"/>
    </row>
    <row r="7555" spans="3:11">
      <c r="C7555" s="11"/>
      <c r="K7555" s="11"/>
    </row>
    <row r="7556" spans="3:11">
      <c r="C7556" s="11"/>
      <c r="K7556" s="11"/>
    </row>
    <row r="7557" spans="3:11">
      <c r="C7557" s="11"/>
      <c r="K7557" s="11"/>
    </row>
    <row r="7558" spans="3:11">
      <c r="C7558" s="11"/>
      <c r="K7558" s="11"/>
    </row>
    <row r="7559" spans="3:11">
      <c r="C7559" s="11"/>
      <c r="K7559" s="11"/>
    </row>
    <row r="7560" spans="3:11">
      <c r="C7560" s="11"/>
      <c r="K7560" s="11"/>
    </row>
    <row r="7561" spans="3:11">
      <c r="C7561" s="11"/>
      <c r="K7561" s="11"/>
    </row>
    <row r="7562" spans="3:11">
      <c r="C7562" s="11"/>
      <c r="K7562" s="11"/>
    </row>
    <row r="7563" spans="3:11">
      <c r="C7563" s="11"/>
      <c r="K7563" s="11"/>
    </row>
    <row r="7564" spans="3:11">
      <c r="C7564" s="11"/>
      <c r="K7564" s="11"/>
    </row>
    <row r="7565" spans="3:11">
      <c r="C7565" s="11"/>
      <c r="K7565" s="11"/>
    </row>
    <row r="7566" spans="3:11">
      <c r="C7566" s="11"/>
      <c r="K7566" s="11"/>
    </row>
    <row r="7567" spans="3:11">
      <c r="C7567" s="11"/>
      <c r="K7567" s="11"/>
    </row>
    <row r="7568" spans="3:11">
      <c r="C7568" s="11"/>
      <c r="K7568" s="11"/>
    </row>
    <row r="7569" spans="3:11">
      <c r="C7569" s="11"/>
      <c r="K7569" s="11"/>
    </row>
    <row r="7570" spans="3:11">
      <c r="C7570" s="11"/>
      <c r="K7570" s="11"/>
    </row>
    <row r="7571" spans="3:11">
      <c r="C7571" s="11"/>
      <c r="K7571" s="11"/>
    </row>
    <row r="7572" spans="3:11">
      <c r="C7572" s="11"/>
      <c r="K7572" s="11"/>
    </row>
    <row r="7573" spans="3:11">
      <c r="C7573" s="11"/>
      <c r="K7573" s="11"/>
    </row>
    <row r="7574" spans="3:11">
      <c r="C7574" s="11"/>
      <c r="K7574" s="11"/>
    </row>
    <row r="7575" spans="3:11">
      <c r="C7575" s="11"/>
      <c r="K7575" s="11"/>
    </row>
    <row r="7576" spans="3:11">
      <c r="C7576" s="11"/>
      <c r="K7576" s="11"/>
    </row>
    <row r="7577" spans="3:11">
      <c r="C7577" s="11"/>
      <c r="K7577" s="11"/>
    </row>
    <row r="7578" spans="3:11">
      <c r="C7578" s="11"/>
      <c r="K7578" s="11"/>
    </row>
    <row r="7579" spans="3:11">
      <c r="C7579" s="11"/>
      <c r="K7579" s="11"/>
    </row>
    <row r="7580" spans="3:11">
      <c r="C7580" s="11"/>
      <c r="K7580" s="11"/>
    </row>
    <row r="7581" spans="3:11">
      <c r="C7581" s="11"/>
      <c r="K7581" s="11"/>
    </row>
    <row r="7582" spans="3:11">
      <c r="C7582" s="11"/>
      <c r="K7582" s="11"/>
    </row>
    <row r="7583" spans="3:11">
      <c r="C7583" s="11"/>
      <c r="K7583" s="11"/>
    </row>
    <row r="7584" spans="3:11">
      <c r="C7584" s="11"/>
      <c r="K7584" s="11"/>
    </row>
    <row r="7585" spans="3:11">
      <c r="C7585" s="11"/>
      <c r="K7585" s="11"/>
    </row>
    <row r="7586" spans="3:11">
      <c r="C7586" s="11"/>
      <c r="K7586" s="11"/>
    </row>
    <row r="7587" spans="3:11">
      <c r="C7587" s="11"/>
      <c r="K7587" s="11"/>
    </row>
    <row r="7588" spans="3:11">
      <c r="C7588" s="11"/>
      <c r="K7588" s="11"/>
    </row>
    <row r="7589" spans="3:11">
      <c r="C7589" s="11"/>
      <c r="K7589" s="11"/>
    </row>
    <row r="7590" spans="3:11">
      <c r="C7590" s="11"/>
      <c r="K7590" s="11"/>
    </row>
    <row r="7591" spans="3:11">
      <c r="C7591" s="11"/>
      <c r="K7591" s="11"/>
    </row>
    <row r="7592" spans="3:11">
      <c r="C7592" s="11"/>
      <c r="K7592" s="11"/>
    </row>
    <row r="7593" spans="3:11">
      <c r="C7593" s="11"/>
      <c r="K7593" s="11"/>
    </row>
    <row r="7594" spans="3:11">
      <c r="C7594" s="11"/>
      <c r="K7594" s="11"/>
    </row>
    <row r="7595" spans="3:11">
      <c r="C7595" s="11"/>
      <c r="K7595" s="11"/>
    </row>
    <row r="7596" spans="3:11">
      <c r="C7596" s="11"/>
      <c r="K7596" s="11"/>
    </row>
    <row r="7597" spans="3:11">
      <c r="C7597" s="11"/>
      <c r="K7597" s="11"/>
    </row>
    <row r="7598" spans="3:11">
      <c r="C7598" s="11"/>
      <c r="K7598" s="11"/>
    </row>
    <row r="7599" spans="3:11">
      <c r="C7599" s="11"/>
      <c r="K7599" s="11"/>
    </row>
    <row r="7600" spans="3:11">
      <c r="C7600" s="11"/>
      <c r="K7600" s="11"/>
    </row>
    <row r="7601" spans="3:11">
      <c r="C7601" s="11"/>
      <c r="K7601" s="11"/>
    </row>
    <row r="7602" spans="3:11">
      <c r="C7602" s="11"/>
      <c r="K7602" s="11"/>
    </row>
    <row r="7603" spans="3:11">
      <c r="C7603" s="11"/>
      <c r="K7603" s="11"/>
    </row>
    <row r="7604" spans="3:11">
      <c r="C7604" s="11"/>
      <c r="K7604" s="11"/>
    </row>
    <row r="7605" spans="3:11">
      <c r="C7605" s="11"/>
      <c r="K7605" s="11"/>
    </row>
    <row r="7606" spans="3:11">
      <c r="C7606" s="11"/>
      <c r="K7606" s="11"/>
    </row>
    <row r="7607" spans="3:11">
      <c r="C7607" s="11"/>
      <c r="K7607" s="11"/>
    </row>
    <row r="7608" spans="3:11">
      <c r="C7608" s="11"/>
      <c r="K7608" s="11"/>
    </row>
    <row r="7609" spans="3:11">
      <c r="C7609" s="11"/>
      <c r="K7609" s="11"/>
    </row>
    <row r="7610" spans="3:11">
      <c r="C7610" s="11"/>
      <c r="K7610" s="11"/>
    </row>
    <row r="7611" spans="3:11">
      <c r="C7611" s="11"/>
      <c r="K7611" s="11"/>
    </row>
    <row r="7612" spans="3:11">
      <c r="C7612" s="11"/>
      <c r="K7612" s="11"/>
    </row>
    <row r="7613" spans="3:11">
      <c r="C7613" s="11"/>
      <c r="K7613" s="11"/>
    </row>
    <row r="7614" spans="3:11">
      <c r="C7614" s="11"/>
      <c r="K7614" s="11"/>
    </row>
    <row r="7615" spans="3:11">
      <c r="C7615" s="11"/>
      <c r="K7615" s="11"/>
    </row>
    <row r="7616" spans="3:11">
      <c r="C7616" s="11"/>
      <c r="K7616" s="11"/>
    </row>
    <row r="7617" spans="3:11">
      <c r="C7617" s="11"/>
      <c r="K7617" s="11"/>
    </row>
    <row r="7618" spans="3:11">
      <c r="C7618" s="11"/>
      <c r="K7618" s="11"/>
    </row>
    <row r="7619" spans="3:11">
      <c r="C7619" s="11"/>
      <c r="K7619" s="11"/>
    </row>
    <row r="7620" spans="3:11">
      <c r="C7620" s="11"/>
      <c r="K7620" s="11"/>
    </row>
    <row r="7621" spans="3:11">
      <c r="C7621" s="11"/>
      <c r="K7621" s="11"/>
    </row>
    <row r="7622" spans="3:11">
      <c r="C7622" s="11"/>
      <c r="K7622" s="11"/>
    </row>
    <row r="7623" spans="3:11">
      <c r="C7623" s="11"/>
      <c r="K7623" s="11"/>
    </row>
    <row r="7624" spans="3:11">
      <c r="C7624" s="11"/>
      <c r="K7624" s="11"/>
    </row>
    <row r="7625" spans="3:11">
      <c r="C7625" s="11"/>
      <c r="K7625" s="11"/>
    </row>
    <row r="7626" spans="3:11">
      <c r="C7626" s="11"/>
      <c r="K7626" s="11"/>
    </row>
    <row r="7627" spans="3:11">
      <c r="C7627" s="11"/>
      <c r="K7627" s="11"/>
    </row>
    <row r="7628" spans="3:11">
      <c r="C7628" s="11"/>
      <c r="K7628" s="11"/>
    </row>
    <row r="7629" spans="3:11">
      <c r="C7629" s="11"/>
      <c r="K7629" s="11"/>
    </row>
    <row r="7630" spans="3:11">
      <c r="C7630" s="11"/>
      <c r="K7630" s="11"/>
    </row>
    <row r="7631" spans="3:11">
      <c r="C7631" s="11"/>
      <c r="K7631" s="11"/>
    </row>
    <row r="7632" spans="3:11">
      <c r="C7632" s="11"/>
      <c r="K7632" s="11"/>
    </row>
    <row r="7633" spans="3:11">
      <c r="C7633" s="11"/>
      <c r="K7633" s="11"/>
    </row>
    <row r="7634" spans="3:11">
      <c r="C7634" s="11"/>
      <c r="K7634" s="11"/>
    </row>
    <row r="7635" spans="3:11">
      <c r="C7635" s="11"/>
      <c r="K7635" s="11"/>
    </row>
    <row r="7636" spans="3:11">
      <c r="C7636" s="11"/>
      <c r="K7636" s="11"/>
    </row>
    <row r="7637" spans="3:11">
      <c r="C7637" s="11"/>
      <c r="K7637" s="11"/>
    </row>
    <row r="7638" spans="3:11">
      <c r="C7638" s="11"/>
      <c r="K7638" s="11"/>
    </row>
    <row r="7639" spans="3:11">
      <c r="C7639" s="11"/>
      <c r="K7639" s="11"/>
    </row>
    <row r="7640" spans="3:11">
      <c r="C7640" s="11"/>
      <c r="K7640" s="11"/>
    </row>
    <row r="7641" spans="3:11">
      <c r="C7641" s="11"/>
      <c r="K7641" s="11"/>
    </row>
    <row r="7642" spans="3:11">
      <c r="C7642" s="11"/>
      <c r="K7642" s="11"/>
    </row>
    <row r="7643" spans="3:11">
      <c r="C7643" s="11"/>
      <c r="K7643" s="11"/>
    </row>
    <row r="7644" spans="3:11">
      <c r="C7644" s="11"/>
      <c r="K7644" s="11"/>
    </row>
    <row r="7645" spans="3:11">
      <c r="C7645" s="11"/>
      <c r="K7645" s="11"/>
    </row>
    <row r="7646" spans="3:11">
      <c r="C7646" s="11"/>
      <c r="K7646" s="11"/>
    </row>
    <row r="7647" spans="3:11">
      <c r="C7647" s="11"/>
      <c r="K7647" s="11"/>
    </row>
    <row r="7648" spans="3:11">
      <c r="C7648" s="11"/>
      <c r="K7648" s="11"/>
    </row>
    <row r="7649" spans="3:11">
      <c r="C7649" s="11"/>
      <c r="K7649" s="11"/>
    </row>
    <row r="7650" spans="3:11">
      <c r="C7650" s="11"/>
      <c r="K7650" s="11"/>
    </row>
    <row r="7651" spans="3:11">
      <c r="C7651" s="11"/>
      <c r="K7651" s="11"/>
    </row>
    <row r="7652" spans="3:11">
      <c r="C7652" s="11"/>
      <c r="K7652" s="11"/>
    </row>
    <row r="7653" spans="3:11">
      <c r="C7653" s="11"/>
      <c r="K7653" s="11"/>
    </row>
    <row r="7654" spans="3:11">
      <c r="C7654" s="11"/>
      <c r="K7654" s="11"/>
    </row>
    <row r="7655" spans="3:11">
      <c r="C7655" s="11"/>
      <c r="K7655" s="11"/>
    </row>
    <row r="7656" spans="3:11">
      <c r="C7656" s="11"/>
      <c r="K7656" s="11"/>
    </row>
    <row r="7657" spans="3:11">
      <c r="C7657" s="11"/>
      <c r="K7657" s="11"/>
    </row>
    <row r="7658" spans="3:11">
      <c r="C7658" s="11"/>
      <c r="K7658" s="11"/>
    </row>
    <row r="7659" spans="3:11">
      <c r="C7659" s="11"/>
      <c r="K7659" s="11"/>
    </row>
    <row r="7660" spans="3:11">
      <c r="C7660" s="11"/>
      <c r="K7660" s="11"/>
    </row>
    <row r="7661" spans="3:11">
      <c r="C7661" s="11"/>
      <c r="K7661" s="11"/>
    </row>
    <row r="7662" spans="3:11">
      <c r="C7662" s="11"/>
      <c r="K7662" s="11"/>
    </row>
    <row r="7663" spans="3:11">
      <c r="C7663" s="11"/>
      <c r="K7663" s="11"/>
    </row>
    <row r="7664" spans="3:11">
      <c r="C7664" s="11"/>
      <c r="K7664" s="11"/>
    </row>
    <row r="7665" spans="3:11">
      <c r="C7665" s="11"/>
      <c r="K7665" s="11"/>
    </row>
    <row r="7666" spans="3:11">
      <c r="C7666" s="11"/>
      <c r="K7666" s="11"/>
    </row>
    <row r="7667" spans="3:11">
      <c r="C7667" s="11"/>
      <c r="K7667" s="11"/>
    </row>
    <row r="7668" spans="3:11">
      <c r="C7668" s="11"/>
      <c r="K7668" s="11"/>
    </row>
    <row r="7669" spans="3:11">
      <c r="C7669" s="11"/>
      <c r="K7669" s="11"/>
    </row>
    <row r="7670" spans="3:11">
      <c r="C7670" s="11"/>
      <c r="K7670" s="11"/>
    </row>
    <row r="7671" spans="3:11">
      <c r="C7671" s="11"/>
      <c r="K7671" s="11"/>
    </row>
    <row r="7672" spans="3:11">
      <c r="C7672" s="11"/>
      <c r="K7672" s="11"/>
    </row>
    <row r="7673" spans="3:11">
      <c r="C7673" s="11"/>
      <c r="K7673" s="11"/>
    </row>
    <row r="7674" spans="3:11">
      <c r="C7674" s="11"/>
      <c r="K7674" s="11"/>
    </row>
    <row r="7675" spans="3:11">
      <c r="C7675" s="11"/>
      <c r="K7675" s="11"/>
    </row>
    <row r="7676" spans="3:11">
      <c r="C7676" s="11"/>
      <c r="K7676" s="11"/>
    </row>
    <row r="7677" spans="3:11">
      <c r="C7677" s="11"/>
      <c r="K7677" s="11"/>
    </row>
    <row r="7678" spans="3:11">
      <c r="C7678" s="11"/>
      <c r="K7678" s="11"/>
    </row>
    <row r="7679" spans="3:11">
      <c r="C7679" s="11"/>
      <c r="K7679" s="11"/>
    </row>
    <row r="7680" spans="3:11">
      <c r="C7680" s="11"/>
      <c r="K7680" s="11"/>
    </row>
    <row r="7681" spans="3:11">
      <c r="C7681" s="11"/>
      <c r="K7681" s="11"/>
    </row>
    <row r="7682" spans="3:11">
      <c r="C7682" s="11"/>
      <c r="K7682" s="11"/>
    </row>
    <row r="7683" spans="3:11">
      <c r="C7683" s="11"/>
      <c r="K7683" s="11"/>
    </row>
    <row r="7684" spans="3:11">
      <c r="C7684" s="11"/>
      <c r="K7684" s="11"/>
    </row>
    <row r="7685" spans="3:11">
      <c r="C7685" s="11"/>
      <c r="K7685" s="11"/>
    </row>
    <row r="7686" spans="3:11">
      <c r="C7686" s="11"/>
      <c r="K7686" s="11"/>
    </row>
    <row r="7687" spans="3:11">
      <c r="C7687" s="11"/>
      <c r="K7687" s="11"/>
    </row>
    <row r="7688" spans="3:11">
      <c r="C7688" s="11"/>
      <c r="K7688" s="11"/>
    </row>
    <row r="7689" spans="3:11">
      <c r="C7689" s="11"/>
      <c r="K7689" s="11"/>
    </row>
    <row r="7690" spans="3:11">
      <c r="C7690" s="11"/>
      <c r="K7690" s="11"/>
    </row>
    <row r="7691" spans="3:11">
      <c r="C7691" s="11"/>
      <c r="K7691" s="11"/>
    </row>
    <row r="7692" spans="3:11">
      <c r="C7692" s="11"/>
      <c r="K7692" s="11"/>
    </row>
    <row r="7693" spans="3:11">
      <c r="C7693" s="11"/>
      <c r="K7693" s="11"/>
    </row>
    <row r="7694" spans="3:11">
      <c r="C7694" s="11"/>
      <c r="K7694" s="11"/>
    </row>
    <row r="7695" spans="3:11">
      <c r="C7695" s="11"/>
      <c r="K7695" s="11"/>
    </row>
    <row r="7696" spans="3:11">
      <c r="C7696" s="11"/>
      <c r="K7696" s="11"/>
    </row>
    <row r="7697" spans="3:11">
      <c r="C7697" s="11"/>
      <c r="K7697" s="11"/>
    </row>
    <row r="7698" spans="3:11">
      <c r="C7698" s="11"/>
      <c r="K7698" s="11"/>
    </row>
    <row r="7699" spans="3:11">
      <c r="C7699" s="11"/>
      <c r="K7699" s="11"/>
    </row>
    <row r="7700" spans="3:11">
      <c r="C7700" s="11"/>
      <c r="K7700" s="11"/>
    </row>
    <row r="7701" spans="3:11">
      <c r="C7701" s="11"/>
      <c r="K7701" s="11"/>
    </row>
    <row r="7702" spans="3:11">
      <c r="C7702" s="11"/>
      <c r="K7702" s="11"/>
    </row>
    <row r="7703" spans="3:11">
      <c r="C7703" s="11"/>
      <c r="K7703" s="11"/>
    </row>
    <row r="7704" spans="3:11">
      <c r="C7704" s="11"/>
      <c r="K7704" s="11"/>
    </row>
    <row r="7705" spans="3:11">
      <c r="C7705" s="11"/>
      <c r="K7705" s="11"/>
    </row>
    <row r="7706" spans="3:11">
      <c r="C7706" s="11"/>
      <c r="K7706" s="11"/>
    </row>
    <row r="7707" spans="3:11">
      <c r="C7707" s="11"/>
      <c r="K7707" s="11"/>
    </row>
    <row r="7708" spans="3:11">
      <c r="C7708" s="11"/>
      <c r="K7708" s="11"/>
    </row>
    <row r="7709" spans="3:11">
      <c r="C7709" s="11"/>
      <c r="K7709" s="11"/>
    </row>
    <row r="7710" spans="3:11">
      <c r="C7710" s="11"/>
      <c r="K7710" s="11"/>
    </row>
    <row r="7711" spans="3:11">
      <c r="C7711" s="11"/>
      <c r="K7711" s="11"/>
    </row>
    <row r="7712" spans="3:11">
      <c r="C7712" s="11"/>
      <c r="K7712" s="11"/>
    </row>
    <row r="7713" spans="3:11">
      <c r="C7713" s="11"/>
      <c r="K7713" s="11"/>
    </row>
    <row r="7714" spans="3:11">
      <c r="C7714" s="11"/>
      <c r="K7714" s="11"/>
    </row>
    <row r="7715" spans="3:11">
      <c r="C7715" s="11"/>
      <c r="K7715" s="11"/>
    </row>
    <row r="7716" spans="3:11">
      <c r="C7716" s="11"/>
      <c r="K7716" s="11"/>
    </row>
    <row r="7717" spans="3:11">
      <c r="C7717" s="11"/>
      <c r="K7717" s="11"/>
    </row>
    <row r="7718" spans="3:11">
      <c r="C7718" s="11"/>
      <c r="K7718" s="11"/>
    </row>
    <row r="7719" spans="3:11">
      <c r="C7719" s="11"/>
      <c r="K7719" s="11"/>
    </row>
    <row r="7720" spans="3:11">
      <c r="C7720" s="11"/>
      <c r="K7720" s="11"/>
    </row>
    <row r="7721" spans="3:11">
      <c r="C7721" s="11"/>
      <c r="K7721" s="11"/>
    </row>
    <row r="7722" spans="3:11">
      <c r="C7722" s="11"/>
      <c r="K7722" s="11"/>
    </row>
    <row r="7723" spans="3:11">
      <c r="C7723" s="11"/>
      <c r="K7723" s="11"/>
    </row>
    <row r="7724" spans="3:11">
      <c r="C7724" s="11"/>
      <c r="K7724" s="11"/>
    </row>
    <row r="7725" spans="3:11">
      <c r="C7725" s="11"/>
      <c r="K7725" s="11"/>
    </row>
    <row r="7726" spans="3:11">
      <c r="C7726" s="11"/>
      <c r="K7726" s="11"/>
    </row>
    <row r="7727" spans="3:11">
      <c r="C7727" s="11"/>
      <c r="K7727" s="11"/>
    </row>
    <row r="7728" spans="3:11">
      <c r="C7728" s="11"/>
      <c r="K7728" s="11"/>
    </row>
    <row r="7729" spans="3:11">
      <c r="C7729" s="11"/>
      <c r="K7729" s="11"/>
    </row>
    <row r="7730" spans="3:11">
      <c r="C7730" s="11"/>
      <c r="K7730" s="11"/>
    </row>
    <row r="7731" spans="3:11">
      <c r="C7731" s="11"/>
      <c r="K7731" s="11"/>
    </row>
    <row r="7732" spans="3:11">
      <c r="C7732" s="11"/>
      <c r="K7732" s="11"/>
    </row>
    <row r="7733" spans="3:11">
      <c r="C7733" s="11"/>
      <c r="K7733" s="11"/>
    </row>
    <row r="7734" spans="3:11">
      <c r="C7734" s="11"/>
      <c r="K7734" s="11"/>
    </row>
    <row r="7735" spans="3:11">
      <c r="C7735" s="11"/>
      <c r="K7735" s="11"/>
    </row>
    <row r="7736" spans="3:11">
      <c r="C7736" s="11"/>
      <c r="K7736" s="11"/>
    </row>
    <row r="7737" spans="3:11">
      <c r="C7737" s="11"/>
      <c r="K7737" s="11"/>
    </row>
    <row r="7738" spans="3:11">
      <c r="C7738" s="11"/>
      <c r="K7738" s="11"/>
    </row>
    <row r="7739" spans="3:11">
      <c r="C7739" s="11"/>
      <c r="K7739" s="11"/>
    </row>
    <row r="7740" spans="3:11">
      <c r="C7740" s="11"/>
      <c r="K7740" s="11"/>
    </row>
    <row r="7741" spans="3:11">
      <c r="C7741" s="11"/>
      <c r="K7741" s="11"/>
    </row>
    <row r="7742" spans="3:11">
      <c r="C7742" s="11"/>
      <c r="K7742" s="11"/>
    </row>
    <row r="7743" spans="3:11">
      <c r="C7743" s="11"/>
      <c r="K7743" s="11"/>
    </row>
    <row r="7744" spans="3:11">
      <c r="C7744" s="11"/>
      <c r="K7744" s="11"/>
    </row>
    <row r="7745" spans="3:11">
      <c r="C7745" s="11"/>
      <c r="K7745" s="11"/>
    </row>
    <row r="7746" spans="3:11">
      <c r="C7746" s="11"/>
      <c r="K7746" s="11"/>
    </row>
    <row r="7747" spans="3:11">
      <c r="C7747" s="11"/>
      <c r="K7747" s="11"/>
    </row>
    <row r="7748" spans="3:11">
      <c r="C7748" s="11"/>
      <c r="K7748" s="11"/>
    </row>
    <row r="7749" spans="3:11">
      <c r="C7749" s="11"/>
      <c r="K7749" s="11"/>
    </row>
    <row r="7750" spans="3:11">
      <c r="C7750" s="11"/>
      <c r="K7750" s="11"/>
    </row>
    <row r="7751" spans="3:11">
      <c r="C7751" s="11"/>
      <c r="K7751" s="11"/>
    </row>
    <row r="7752" spans="3:11">
      <c r="C7752" s="11"/>
      <c r="K7752" s="11"/>
    </row>
    <row r="7753" spans="3:11">
      <c r="C7753" s="11"/>
      <c r="K7753" s="11"/>
    </row>
    <row r="7754" spans="3:11">
      <c r="C7754" s="11"/>
      <c r="K7754" s="11"/>
    </row>
    <row r="7755" spans="3:11">
      <c r="C7755" s="11"/>
      <c r="K7755" s="11"/>
    </row>
    <row r="7756" spans="3:11">
      <c r="C7756" s="11"/>
      <c r="K7756" s="11"/>
    </row>
    <row r="7757" spans="3:11">
      <c r="C7757" s="11"/>
      <c r="K7757" s="11"/>
    </row>
    <row r="7758" spans="3:11">
      <c r="C7758" s="11"/>
      <c r="K7758" s="11"/>
    </row>
    <row r="7759" spans="3:11">
      <c r="C7759" s="11"/>
      <c r="K7759" s="11"/>
    </row>
    <row r="7760" spans="3:11">
      <c r="C7760" s="11"/>
      <c r="K7760" s="11"/>
    </row>
    <row r="7761" spans="3:11">
      <c r="C7761" s="11"/>
      <c r="K7761" s="11"/>
    </row>
    <row r="7762" spans="3:11">
      <c r="C7762" s="11"/>
      <c r="K7762" s="11"/>
    </row>
    <row r="7763" spans="3:11">
      <c r="C7763" s="11"/>
      <c r="K7763" s="11"/>
    </row>
    <row r="7764" spans="3:11">
      <c r="C7764" s="11"/>
      <c r="K7764" s="11"/>
    </row>
    <row r="7765" spans="3:11">
      <c r="C7765" s="11"/>
      <c r="K7765" s="11"/>
    </row>
    <row r="7766" spans="3:11">
      <c r="C7766" s="11"/>
      <c r="K7766" s="11"/>
    </row>
    <row r="7767" spans="3:11">
      <c r="C7767" s="11"/>
      <c r="K7767" s="11"/>
    </row>
    <row r="7768" spans="3:11">
      <c r="C7768" s="11"/>
      <c r="K7768" s="11"/>
    </row>
    <row r="7769" spans="3:11">
      <c r="C7769" s="11"/>
      <c r="K7769" s="11"/>
    </row>
    <row r="7770" spans="3:11">
      <c r="C7770" s="11"/>
      <c r="K7770" s="11"/>
    </row>
    <row r="7771" spans="3:11">
      <c r="C7771" s="11"/>
      <c r="K7771" s="11"/>
    </row>
    <row r="7772" spans="3:11">
      <c r="C7772" s="11"/>
      <c r="K7772" s="11"/>
    </row>
    <row r="7773" spans="3:11">
      <c r="C7773" s="11"/>
      <c r="K7773" s="11"/>
    </row>
    <row r="7774" spans="3:11">
      <c r="C7774" s="11"/>
      <c r="K7774" s="11"/>
    </row>
    <row r="7775" spans="3:11">
      <c r="C7775" s="11"/>
      <c r="K7775" s="11"/>
    </row>
    <row r="7776" spans="3:11">
      <c r="C7776" s="11"/>
      <c r="K7776" s="11"/>
    </row>
    <row r="7777" spans="3:11">
      <c r="C7777" s="11"/>
      <c r="K7777" s="11"/>
    </row>
    <row r="7778" spans="3:11">
      <c r="C7778" s="11"/>
      <c r="K7778" s="11"/>
    </row>
    <row r="7779" spans="3:11">
      <c r="C7779" s="11"/>
      <c r="K7779" s="11"/>
    </row>
    <row r="7780" spans="3:11">
      <c r="C7780" s="11"/>
      <c r="K7780" s="11"/>
    </row>
    <row r="7781" spans="3:11">
      <c r="C7781" s="11"/>
      <c r="K7781" s="11"/>
    </row>
    <row r="7782" spans="3:11">
      <c r="C7782" s="11"/>
      <c r="K7782" s="11"/>
    </row>
    <row r="7783" spans="3:11">
      <c r="C7783" s="11"/>
      <c r="K7783" s="11"/>
    </row>
    <row r="7784" spans="3:11">
      <c r="C7784" s="11"/>
      <c r="K7784" s="11"/>
    </row>
    <row r="7785" spans="3:11">
      <c r="C7785" s="11"/>
      <c r="K7785" s="11"/>
    </row>
    <row r="7786" spans="3:11">
      <c r="C7786" s="11"/>
      <c r="K7786" s="11"/>
    </row>
    <row r="7787" spans="3:11">
      <c r="C7787" s="11"/>
      <c r="K7787" s="11"/>
    </row>
    <row r="7788" spans="3:11">
      <c r="C7788" s="11"/>
      <c r="K7788" s="11"/>
    </row>
    <row r="7789" spans="3:11">
      <c r="C7789" s="11"/>
      <c r="K7789" s="11"/>
    </row>
    <row r="7790" spans="3:11">
      <c r="C7790" s="11"/>
      <c r="K7790" s="11"/>
    </row>
    <row r="7791" spans="3:11">
      <c r="C7791" s="11"/>
      <c r="K7791" s="11"/>
    </row>
    <row r="7792" spans="3:11">
      <c r="C7792" s="11"/>
      <c r="K7792" s="11"/>
    </row>
    <row r="7793" spans="3:11">
      <c r="C7793" s="11"/>
      <c r="K7793" s="11"/>
    </row>
    <row r="7794" spans="3:11">
      <c r="C7794" s="11"/>
      <c r="K7794" s="11"/>
    </row>
    <row r="7795" spans="3:11">
      <c r="C7795" s="11"/>
      <c r="K7795" s="11"/>
    </row>
    <row r="7796" spans="3:11">
      <c r="C7796" s="11"/>
      <c r="K7796" s="11"/>
    </row>
    <row r="7797" spans="3:11">
      <c r="C7797" s="11"/>
      <c r="K7797" s="11"/>
    </row>
    <row r="7798" spans="3:11">
      <c r="C7798" s="11"/>
      <c r="K7798" s="11"/>
    </row>
    <row r="7799" spans="3:11">
      <c r="C7799" s="11"/>
      <c r="K7799" s="11"/>
    </row>
    <row r="7800" spans="3:11">
      <c r="C7800" s="11"/>
      <c r="K7800" s="11"/>
    </row>
    <row r="7801" spans="3:11">
      <c r="C7801" s="11"/>
      <c r="K7801" s="11"/>
    </row>
    <row r="7802" spans="3:11">
      <c r="C7802" s="11"/>
      <c r="K7802" s="11"/>
    </row>
    <row r="7803" spans="3:11">
      <c r="C7803" s="11"/>
      <c r="K7803" s="11"/>
    </row>
    <row r="7804" spans="3:11">
      <c r="C7804" s="11"/>
      <c r="K7804" s="11"/>
    </row>
    <row r="7805" spans="3:11">
      <c r="C7805" s="11"/>
      <c r="K7805" s="11"/>
    </row>
    <row r="7806" spans="3:11">
      <c r="C7806" s="11"/>
      <c r="K7806" s="11"/>
    </row>
    <row r="7807" spans="3:11">
      <c r="C7807" s="11"/>
      <c r="K7807" s="11"/>
    </row>
    <row r="7808" spans="3:11">
      <c r="C7808" s="11"/>
      <c r="K7808" s="11"/>
    </row>
    <row r="7809" spans="3:11">
      <c r="C7809" s="11"/>
      <c r="K7809" s="11"/>
    </row>
    <row r="7810" spans="3:11">
      <c r="C7810" s="11"/>
      <c r="K7810" s="11"/>
    </row>
    <row r="7811" spans="3:11">
      <c r="C7811" s="11"/>
      <c r="K7811" s="11"/>
    </row>
    <row r="7812" spans="3:11">
      <c r="C7812" s="11"/>
      <c r="K7812" s="11"/>
    </row>
    <row r="7813" spans="3:11">
      <c r="C7813" s="11"/>
      <c r="K7813" s="11"/>
    </row>
    <row r="7814" spans="3:11">
      <c r="C7814" s="11"/>
      <c r="K7814" s="11"/>
    </row>
    <row r="7815" spans="3:11">
      <c r="C7815" s="11"/>
      <c r="K7815" s="11"/>
    </row>
    <row r="7816" spans="3:11">
      <c r="C7816" s="11"/>
      <c r="K7816" s="11"/>
    </row>
    <row r="7817" spans="3:11">
      <c r="C7817" s="11"/>
      <c r="K7817" s="11"/>
    </row>
    <row r="7818" spans="3:11">
      <c r="C7818" s="11"/>
      <c r="K7818" s="11"/>
    </row>
    <row r="7819" spans="3:11">
      <c r="C7819" s="11"/>
      <c r="K7819" s="11"/>
    </row>
    <row r="7820" spans="3:11">
      <c r="C7820" s="11"/>
      <c r="K7820" s="11"/>
    </row>
    <row r="7821" spans="3:11">
      <c r="C7821" s="11"/>
      <c r="K7821" s="11"/>
    </row>
    <row r="7822" spans="3:11">
      <c r="C7822" s="11"/>
      <c r="K7822" s="11"/>
    </row>
    <row r="7823" spans="3:11">
      <c r="C7823" s="11"/>
      <c r="K7823" s="11"/>
    </row>
    <row r="7824" spans="3:11">
      <c r="C7824" s="11"/>
      <c r="K7824" s="11"/>
    </row>
    <row r="7825" spans="3:11">
      <c r="C7825" s="11"/>
      <c r="K7825" s="11"/>
    </row>
    <row r="7826" spans="3:11">
      <c r="C7826" s="11"/>
      <c r="K7826" s="11"/>
    </row>
    <row r="7827" spans="3:11">
      <c r="C7827" s="11"/>
      <c r="K7827" s="11"/>
    </row>
    <row r="7828" spans="3:11">
      <c r="C7828" s="11"/>
      <c r="K7828" s="11"/>
    </row>
    <row r="7829" spans="3:11">
      <c r="C7829" s="11"/>
      <c r="K7829" s="11"/>
    </row>
    <row r="7830" spans="3:11">
      <c r="C7830" s="11"/>
      <c r="K7830" s="11"/>
    </row>
    <row r="7831" spans="3:11">
      <c r="C7831" s="11"/>
      <c r="K7831" s="11"/>
    </row>
    <row r="7832" spans="3:11">
      <c r="C7832" s="11"/>
      <c r="K7832" s="11"/>
    </row>
    <row r="7833" spans="3:11">
      <c r="C7833" s="11"/>
      <c r="K7833" s="11"/>
    </row>
    <row r="7834" spans="3:11">
      <c r="C7834" s="11"/>
      <c r="K7834" s="11"/>
    </row>
    <row r="7835" spans="3:11">
      <c r="C7835" s="11"/>
      <c r="K7835" s="11"/>
    </row>
    <row r="7836" spans="3:11">
      <c r="C7836" s="11"/>
      <c r="K7836" s="11"/>
    </row>
    <row r="7837" spans="3:11">
      <c r="C7837" s="11"/>
      <c r="K7837" s="11"/>
    </row>
    <row r="7838" spans="3:11">
      <c r="C7838" s="11"/>
      <c r="K7838" s="11"/>
    </row>
    <row r="7839" spans="3:11">
      <c r="C7839" s="11"/>
      <c r="K7839" s="11"/>
    </row>
    <row r="7840" spans="3:11">
      <c r="C7840" s="11"/>
      <c r="K7840" s="11"/>
    </row>
    <row r="7841" spans="3:11">
      <c r="C7841" s="11"/>
      <c r="K7841" s="11"/>
    </row>
    <row r="7842" spans="3:11">
      <c r="C7842" s="11"/>
      <c r="K7842" s="11"/>
    </row>
    <row r="7843" spans="3:11">
      <c r="C7843" s="11"/>
      <c r="K7843" s="11"/>
    </row>
    <row r="7844" spans="3:11">
      <c r="C7844" s="11"/>
      <c r="K7844" s="11"/>
    </row>
    <row r="7845" spans="3:11">
      <c r="C7845" s="11"/>
      <c r="K7845" s="11"/>
    </row>
    <row r="7846" spans="3:11">
      <c r="C7846" s="11"/>
      <c r="K7846" s="11"/>
    </row>
    <row r="7847" spans="3:11">
      <c r="C7847" s="11"/>
      <c r="K7847" s="11"/>
    </row>
    <row r="7848" spans="3:11">
      <c r="C7848" s="11"/>
      <c r="K7848" s="11"/>
    </row>
    <row r="7849" spans="3:11">
      <c r="C7849" s="11"/>
      <c r="K7849" s="11"/>
    </row>
    <row r="7850" spans="3:11">
      <c r="C7850" s="11"/>
      <c r="K7850" s="11"/>
    </row>
    <row r="7851" spans="3:11">
      <c r="C7851" s="11"/>
      <c r="K7851" s="11"/>
    </row>
    <row r="7852" spans="3:11">
      <c r="C7852" s="11"/>
      <c r="K7852" s="11"/>
    </row>
    <row r="7853" spans="3:11">
      <c r="C7853" s="11"/>
      <c r="K7853" s="11"/>
    </row>
    <row r="7854" spans="3:11">
      <c r="C7854" s="11"/>
      <c r="K7854" s="11"/>
    </row>
    <row r="7855" spans="3:11">
      <c r="C7855" s="11"/>
      <c r="K7855" s="11"/>
    </row>
    <row r="7856" spans="3:11">
      <c r="C7856" s="11"/>
      <c r="K7856" s="11"/>
    </row>
    <row r="7857" spans="3:11">
      <c r="C7857" s="11"/>
      <c r="K7857" s="11"/>
    </row>
    <row r="7858" spans="3:11">
      <c r="C7858" s="11"/>
      <c r="K7858" s="11"/>
    </row>
    <row r="7859" spans="3:11">
      <c r="C7859" s="11"/>
      <c r="K7859" s="11"/>
    </row>
    <row r="7860" spans="3:11">
      <c r="C7860" s="11"/>
      <c r="K7860" s="11"/>
    </row>
    <row r="7861" spans="3:11">
      <c r="C7861" s="11"/>
      <c r="K7861" s="11"/>
    </row>
    <row r="7862" spans="3:11">
      <c r="C7862" s="11"/>
      <c r="K7862" s="11"/>
    </row>
    <row r="7863" spans="3:11">
      <c r="C7863" s="11"/>
      <c r="K7863" s="11"/>
    </row>
    <row r="7864" spans="3:11">
      <c r="C7864" s="11"/>
      <c r="K7864" s="11"/>
    </row>
    <row r="7865" spans="3:11">
      <c r="C7865" s="11"/>
      <c r="K7865" s="11"/>
    </row>
    <row r="7866" spans="3:11">
      <c r="C7866" s="11"/>
      <c r="K7866" s="11"/>
    </row>
    <row r="7867" spans="3:11">
      <c r="C7867" s="11"/>
      <c r="K7867" s="11"/>
    </row>
    <row r="7868" spans="3:11">
      <c r="C7868" s="11"/>
      <c r="K7868" s="11"/>
    </row>
    <row r="7869" spans="3:11">
      <c r="C7869" s="11"/>
      <c r="K7869" s="11"/>
    </row>
    <row r="7870" spans="3:11">
      <c r="C7870" s="11"/>
      <c r="K7870" s="11"/>
    </row>
    <row r="7871" spans="3:11">
      <c r="C7871" s="11"/>
      <c r="K7871" s="11"/>
    </row>
    <row r="7872" spans="3:11">
      <c r="C7872" s="11"/>
      <c r="K7872" s="11"/>
    </row>
    <row r="7873" spans="3:11">
      <c r="C7873" s="11"/>
      <c r="K7873" s="11"/>
    </row>
    <row r="7874" spans="3:11">
      <c r="C7874" s="11"/>
      <c r="K7874" s="11"/>
    </row>
    <row r="7875" spans="3:11">
      <c r="C7875" s="11"/>
      <c r="K7875" s="11"/>
    </row>
    <row r="7876" spans="3:11">
      <c r="C7876" s="11"/>
      <c r="K7876" s="11"/>
    </row>
    <row r="7877" spans="3:11">
      <c r="C7877" s="11"/>
      <c r="K7877" s="11"/>
    </row>
    <row r="7878" spans="3:11">
      <c r="C7878" s="11"/>
      <c r="K7878" s="11"/>
    </row>
    <row r="7879" spans="3:11">
      <c r="C7879" s="11"/>
      <c r="K7879" s="11"/>
    </row>
    <row r="7880" spans="3:11">
      <c r="C7880" s="11"/>
      <c r="K7880" s="11"/>
    </row>
    <row r="7881" spans="3:11">
      <c r="C7881" s="11"/>
      <c r="K7881" s="11"/>
    </row>
    <row r="7882" spans="3:11">
      <c r="C7882" s="11"/>
      <c r="K7882" s="11"/>
    </row>
    <row r="7883" spans="3:11">
      <c r="C7883" s="11"/>
      <c r="K7883" s="11"/>
    </row>
    <row r="7884" spans="3:11">
      <c r="C7884" s="11"/>
      <c r="K7884" s="11"/>
    </row>
    <row r="7885" spans="3:11">
      <c r="C7885" s="11"/>
      <c r="K7885" s="11"/>
    </row>
    <row r="7886" spans="3:11">
      <c r="C7886" s="11"/>
      <c r="K7886" s="11"/>
    </row>
    <row r="7887" spans="3:11">
      <c r="C7887" s="11"/>
      <c r="K7887" s="11"/>
    </row>
    <row r="7888" spans="3:11">
      <c r="C7888" s="11"/>
      <c r="K7888" s="11"/>
    </row>
    <row r="7889" spans="3:11">
      <c r="C7889" s="11"/>
      <c r="K7889" s="11"/>
    </row>
    <row r="7890" spans="3:11">
      <c r="C7890" s="11"/>
      <c r="K7890" s="11"/>
    </row>
    <row r="7891" spans="3:11">
      <c r="C7891" s="11"/>
      <c r="K7891" s="11"/>
    </row>
    <row r="7892" spans="3:11">
      <c r="C7892" s="11"/>
      <c r="K7892" s="11"/>
    </row>
    <row r="7893" spans="3:11">
      <c r="C7893" s="11"/>
      <c r="K7893" s="11"/>
    </row>
    <row r="7894" spans="3:11">
      <c r="C7894" s="11"/>
      <c r="K7894" s="11"/>
    </row>
    <row r="7895" spans="3:11">
      <c r="C7895" s="11"/>
      <c r="K7895" s="11"/>
    </row>
    <row r="7896" spans="3:11">
      <c r="C7896" s="11"/>
      <c r="K7896" s="11"/>
    </row>
    <row r="7897" spans="3:11">
      <c r="C7897" s="11"/>
      <c r="K7897" s="11"/>
    </row>
    <row r="7898" spans="3:11">
      <c r="C7898" s="11"/>
      <c r="K7898" s="11"/>
    </row>
    <row r="7899" spans="3:11">
      <c r="C7899" s="11"/>
      <c r="K7899" s="11"/>
    </row>
    <row r="7900" spans="3:11">
      <c r="C7900" s="11"/>
      <c r="K7900" s="11"/>
    </row>
    <row r="7901" spans="3:11">
      <c r="C7901" s="11"/>
      <c r="K7901" s="11"/>
    </row>
    <row r="7902" spans="3:11">
      <c r="C7902" s="11"/>
      <c r="K7902" s="11"/>
    </row>
    <row r="7903" spans="3:11">
      <c r="C7903" s="11"/>
      <c r="K7903" s="11"/>
    </row>
    <row r="7904" spans="3:11">
      <c r="C7904" s="11"/>
      <c r="K7904" s="11"/>
    </row>
    <row r="7905" spans="3:11">
      <c r="C7905" s="11"/>
      <c r="K7905" s="11"/>
    </row>
    <row r="7906" spans="3:11">
      <c r="C7906" s="11"/>
      <c r="K7906" s="11"/>
    </row>
    <row r="7907" spans="3:11">
      <c r="C7907" s="11"/>
      <c r="K7907" s="11"/>
    </row>
    <row r="7908" spans="3:11">
      <c r="C7908" s="11"/>
      <c r="K7908" s="11"/>
    </row>
    <row r="7909" spans="3:11">
      <c r="C7909" s="11"/>
      <c r="K7909" s="11"/>
    </row>
    <row r="7910" spans="3:11">
      <c r="C7910" s="11"/>
      <c r="K7910" s="11"/>
    </row>
    <row r="7911" spans="3:11">
      <c r="C7911" s="11"/>
      <c r="K7911" s="11"/>
    </row>
    <row r="7912" spans="3:11">
      <c r="C7912" s="11"/>
      <c r="K7912" s="11"/>
    </row>
    <row r="7913" spans="3:11">
      <c r="C7913" s="11"/>
      <c r="K7913" s="11"/>
    </row>
    <row r="7914" spans="3:11">
      <c r="C7914" s="11"/>
      <c r="K7914" s="11"/>
    </row>
    <row r="7915" spans="3:11">
      <c r="C7915" s="11"/>
      <c r="K7915" s="11"/>
    </row>
    <row r="7916" spans="3:11">
      <c r="C7916" s="11"/>
      <c r="K7916" s="11"/>
    </row>
    <row r="7917" spans="3:11">
      <c r="C7917" s="11"/>
      <c r="K7917" s="11"/>
    </row>
    <row r="7918" spans="3:11">
      <c r="C7918" s="11"/>
      <c r="K7918" s="11"/>
    </row>
    <row r="7919" spans="3:11">
      <c r="C7919" s="11"/>
      <c r="K7919" s="11"/>
    </row>
    <row r="7920" spans="3:11">
      <c r="C7920" s="11"/>
      <c r="K7920" s="11"/>
    </row>
    <row r="7921" spans="3:11">
      <c r="C7921" s="11"/>
      <c r="K7921" s="11"/>
    </row>
    <row r="7922" spans="3:11">
      <c r="C7922" s="11"/>
      <c r="K7922" s="11"/>
    </row>
    <row r="7923" spans="3:11">
      <c r="C7923" s="11"/>
      <c r="K7923" s="11"/>
    </row>
    <row r="7924" spans="3:11">
      <c r="C7924" s="11"/>
      <c r="K7924" s="11"/>
    </row>
    <row r="7925" spans="3:11">
      <c r="C7925" s="11"/>
      <c r="K7925" s="11"/>
    </row>
    <row r="7926" spans="3:11">
      <c r="C7926" s="11"/>
      <c r="K7926" s="11"/>
    </row>
    <row r="7927" spans="3:11">
      <c r="C7927" s="11"/>
      <c r="K7927" s="11"/>
    </row>
    <row r="7928" spans="3:11">
      <c r="C7928" s="11"/>
      <c r="K7928" s="11"/>
    </row>
    <row r="7929" spans="3:11">
      <c r="C7929" s="11"/>
      <c r="K7929" s="11"/>
    </row>
    <row r="7930" spans="3:11">
      <c r="C7930" s="11"/>
      <c r="K7930" s="11"/>
    </row>
    <row r="7931" spans="3:11">
      <c r="C7931" s="11"/>
      <c r="K7931" s="11"/>
    </row>
    <row r="7932" spans="3:11">
      <c r="C7932" s="11"/>
      <c r="K7932" s="11"/>
    </row>
    <row r="7933" spans="3:11">
      <c r="C7933" s="11"/>
      <c r="K7933" s="11"/>
    </row>
    <row r="7934" spans="3:11">
      <c r="C7934" s="11"/>
      <c r="K7934" s="11"/>
    </row>
    <row r="7935" spans="3:11">
      <c r="C7935" s="11"/>
      <c r="K7935" s="11"/>
    </row>
    <row r="7936" spans="3:11">
      <c r="C7936" s="11"/>
      <c r="K7936" s="11"/>
    </row>
    <row r="7937" spans="3:11">
      <c r="C7937" s="11"/>
      <c r="K7937" s="11"/>
    </row>
    <row r="7938" spans="3:11">
      <c r="C7938" s="11"/>
      <c r="K7938" s="11"/>
    </row>
    <row r="7939" spans="3:11">
      <c r="C7939" s="11"/>
      <c r="K7939" s="11"/>
    </row>
    <row r="7940" spans="3:11">
      <c r="C7940" s="11"/>
      <c r="K7940" s="11"/>
    </row>
    <row r="7941" spans="3:11">
      <c r="C7941" s="11"/>
      <c r="K7941" s="11"/>
    </row>
    <row r="7942" spans="3:11">
      <c r="C7942" s="11"/>
      <c r="K7942" s="11"/>
    </row>
    <row r="7943" spans="3:11">
      <c r="C7943" s="11"/>
      <c r="K7943" s="11"/>
    </row>
    <row r="7944" spans="3:11">
      <c r="C7944" s="11"/>
      <c r="K7944" s="11"/>
    </row>
    <row r="7945" spans="3:11">
      <c r="C7945" s="11"/>
      <c r="K7945" s="11"/>
    </row>
    <row r="7946" spans="3:11">
      <c r="C7946" s="11"/>
      <c r="K7946" s="11"/>
    </row>
    <row r="7947" spans="3:11">
      <c r="C7947" s="11"/>
      <c r="K7947" s="11"/>
    </row>
    <row r="7948" spans="3:11">
      <c r="C7948" s="11"/>
      <c r="K7948" s="11"/>
    </row>
    <row r="7949" spans="3:11">
      <c r="C7949" s="11"/>
      <c r="K7949" s="11"/>
    </row>
    <row r="7950" spans="3:11">
      <c r="C7950" s="11"/>
      <c r="K7950" s="11"/>
    </row>
    <row r="7951" spans="3:11">
      <c r="C7951" s="11"/>
      <c r="K7951" s="11"/>
    </row>
    <row r="7952" spans="3:11">
      <c r="C7952" s="11"/>
      <c r="K7952" s="11"/>
    </row>
    <row r="7953" spans="3:11">
      <c r="C7953" s="11"/>
      <c r="K7953" s="11"/>
    </row>
    <row r="7954" spans="3:11">
      <c r="C7954" s="11"/>
      <c r="K7954" s="11"/>
    </row>
    <row r="7955" spans="3:11">
      <c r="C7955" s="11"/>
      <c r="K7955" s="11"/>
    </row>
    <row r="7956" spans="3:11">
      <c r="C7956" s="11"/>
      <c r="K7956" s="11"/>
    </row>
    <row r="7957" spans="3:11">
      <c r="C7957" s="11"/>
      <c r="K7957" s="11"/>
    </row>
    <row r="7958" spans="3:11">
      <c r="C7958" s="11"/>
      <c r="K7958" s="11"/>
    </row>
    <row r="7959" spans="3:11">
      <c r="C7959" s="11"/>
      <c r="K7959" s="11"/>
    </row>
    <row r="7960" spans="3:11">
      <c r="C7960" s="11"/>
      <c r="K7960" s="11"/>
    </row>
    <row r="7961" spans="3:11">
      <c r="C7961" s="11"/>
      <c r="K7961" s="11"/>
    </row>
    <row r="7962" spans="3:11">
      <c r="C7962" s="11"/>
      <c r="K7962" s="11"/>
    </row>
    <row r="7963" spans="3:11">
      <c r="C7963" s="11"/>
      <c r="K7963" s="11"/>
    </row>
    <row r="7964" spans="3:11">
      <c r="C7964" s="11"/>
      <c r="K7964" s="11"/>
    </row>
    <row r="7965" spans="3:11">
      <c r="C7965" s="11"/>
      <c r="K7965" s="11"/>
    </row>
    <row r="7966" spans="3:11">
      <c r="C7966" s="11"/>
      <c r="K7966" s="11"/>
    </row>
    <row r="7967" spans="3:11">
      <c r="C7967" s="11"/>
      <c r="K7967" s="11"/>
    </row>
    <row r="7968" spans="3:11">
      <c r="C7968" s="11"/>
      <c r="K7968" s="11"/>
    </row>
    <row r="7969" spans="3:11">
      <c r="C7969" s="11"/>
      <c r="K7969" s="11"/>
    </row>
    <row r="7970" spans="3:11">
      <c r="C7970" s="11"/>
      <c r="K7970" s="11"/>
    </row>
    <row r="7971" spans="3:11">
      <c r="C7971" s="11"/>
      <c r="K7971" s="11"/>
    </row>
    <row r="7972" spans="3:11">
      <c r="C7972" s="11"/>
      <c r="K7972" s="11"/>
    </row>
    <row r="7973" spans="3:11">
      <c r="C7973" s="11"/>
      <c r="K7973" s="11"/>
    </row>
    <row r="7974" spans="3:11">
      <c r="C7974" s="11"/>
      <c r="K7974" s="11"/>
    </row>
    <row r="7975" spans="3:11">
      <c r="C7975" s="11"/>
      <c r="K7975" s="11"/>
    </row>
    <row r="7976" spans="3:11">
      <c r="C7976" s="11"/>
      <c r="K7976" s="11"/>
    </row>
    <row r="7977" spans="3:11">
      <c r="C7977" s="11"/>
      <c r="K7977" s="11"/>
    </row>
    <row r="7978" spans="3:11">
      <c r="C7978" s="11"/>
      <c r="K7978" s="11"/>
    </row>
    <row r="7979" spans="3:11">
      <c r="C7979" s="11"/>
      <c r="K7979" s="11"/>
    </row>
    <row r="7980" spans="3:11">
      <c r="C7980" s="11"/>
      <c r="K7980" s="11"/>
    </row>
    <row r="7981" spans="3:11">
      <c r="C7981" s="11"/>
      <c r="K7981" s="11"/>
    </row>
    <row r="7982" spans="3:11">
      <c r="C7982" s="11"/>
      <c r="K7982" s="11"/>
    </row>
    <row r="7983" spans="3:11">
      <c r="C7983" s="11"/>
      <c r="K7983" s="11"/>
    </row>
    <row r="7984" spans="3:11">
      <c r="C7984" s="11"/>
      <c r="K7984" s="11"/>
    </row>
    <row r="7985" spans="3:11">
      <c r="C7985" s="11"/>
      <c r="K7985" s="11"/>
    </row>
    <row r="7986" spans="3:11">
      <c r="C7986" s="11"/>
      <c r="K7986" s="11"/>
    </row>
    <row r="7987" spans="3:11">
      <c r="C7987" s="11"/>
      <c r="K7987" s="11"/>
    </row>
    <row r="7988" spans="3:11">
      <c r="C7988" s="11"/>
      <c r="K7988" s="11"/>
    </row>
    <row r="7989" spans="3:11">
      <c r="C7989" s="11"/>
      <c r="K7989" s="11"/>
    </row>
    <row r="7990" spans="3:11">
      <c r="C7990" s="11"/>
      <c r="K7990" s="11"/>
    </row>
    <row r="7991" spans="3:11">
      <c r="C7991" s="11"/>
      <c r="K7991" s="11"/>
    </row>
    <row r="7992" spans="3:11">
      <c r="C7992" s="11"/>
      <c r="K7992" s="11"/>
    </row>
    <row r="7993" spans="3:11">
      <c r="C7993" s="11"/>
      <c r="K7993" s="11"/>
    </row>
    <row r="7994" spans="3:11">
      <c r="C7994" s="11"/>
      <c r="K7994" s="11"/>
    </row>
    <row r="7995" spans="3:11">
      <c r="C7995" s="11"/>
      <c r="K7995" s="11"/>
    </row>
    <row r="7996" spans="3:11">
      <c r="C7996" s="11"/>
      <c r="K7996" s="11"/>
    </row>
    <row r="7997" spans="3:11">
      <c r="C7997" s="11"/>
      <c r="K7997" s="11"/>
    </row>
    <row r="7998" spans="3:11">
      <c r="C7998" s="11"/>
      <c r="K7998" s="11"/>
    </row>
    <row r="7999" spans="3:11">
      <c r="C7999" s="11"/>
      <c r="K7999" s="11"/>
    </row>
    <row r="8000" spans="3:11">
      <c r="C8000" s="11"/>
      <c r="K8000" s="11"/>
    </row>
    <row r="8001" spans="3:11">
      <c r="C8001" s="11"/>
      <c r="K8001" s="11"/>
    </row>
    <row r="8002" spans="3:11">
      <c r="C8002" s="11"/>
      <c r="K8002" s="11"/>
    </row>
    <row r="8003" spans="3:11">
      <c r="C8003" s="11"/>
      <c r="K8003" s="11"/>
    </row>
    <row r="8004" spans="3:11">
      <c r="C8004" s="11"/>
      <c r="K8004" s="11"/>
    </row>
    <row r="8005" spans="3:11">
      <c r="C8005" s="11"/>
      <c r="K8005" s="11"/>
    </row>
    <row r="8006" spans="3:11">
      <c r="C8006" s="11"/>
      <c r="K8006" s="11"/>
    </row>
    <row r="8007" spans="3:11">
      <c r="C8007" s="11"/>
      <c r="K8007" s="11"/>
    </row>
    <row r="8008" spans="3:11">
      <c r="C8008" s="11"/>
      <c r="K8008" s="11"/>
    </row>
    <row r="8009" spans="3:11">
      <c r="C8009" s="11"/>
      <c r="K8009" s="11"/>
    </row>
    <row r="8010" spans="3:11">
      <c r="C8010" s="11"/>
      <c r="K8010" s="11"/>
    </row>
    <row r="8011" spans="3:11">
      <c r="C8011" s="11"/>
      <c r="K8011" s="11"/>
    </row>
    <row r="8012" spans="3:11">
      <c r="C8012" s="11"/>
      <c r="K8012" s="11"/>
    </row>
    <row r="8013" spans="3:11">
      <c r="C8013" s="11"/>
      <c r="K8013" s="11"/>
    </row>
    <row r="8014" spans="3:11">
      <c r="C8014" s="11"/>
      <c r="K8014" s="11"/>
    </row>
    <row r="8015" spans="3:11">
      <c r="C8015" s="11"/>
      <c r="K8015" s="11"/>
    </row>
    <row r="8016" spans="3:11">
      <c r="C8016" s="11"/>
      <c r="K8016" s="11"/>
    </row>
    <row r="8017" spans="3:11">
      <c r="C8017" s="11"/>
      <c r="K8017" s="11"/>
    </row>
    <row r="8018" spans="3:11">
      <c r="C8018" s="11"/>
      <c r="K8018" s="11"/>
    </row>
    <row r="8019" spans="3:11">
      <c r="C8019" s="11"/>
      <c r="K8019" s="11"/>
    </row>
    <row r="8020" spans="3:11">
      <c r="C8020" s="11"/>
      <c r="K8020" s="11"/>
    </row>
    <row r="8021" spans="3:11">
      <c r="C8021" s="11"/>
      <c r="K8021" s="11"/>
    </row>
    <row r="8022" spans="3:11">
      <c r="C8022" s="11"/>
      <c r="K8022" s="11"/>
    </row>
    <row r="8023" spans="3:11">
      <c r="C8023" s="11"/>
      <c r="K8023" s="11"/>
    </row>
    <row r="8024" spans="3:11">
      <c r="C8024" s="11"/>
      <c r="K8024" s="11"/>
    </row>
    <row r="8025" spans="3:11">
      <c r="C8025" s="11"/>
      <c r="K8025" s="11"/>
    </row>
    <row r="8026" spans="3:11">
      <c r="C8026" s="11"/>
      <c r="K8026" s="11"/>
    </row>
    <row r="8027" spans="3:11">
      <c r="C8027" s="11"/>
      <c r="K8027" s="11"/>
    </row>
    <row r="8028" spans="3:11">
      <c r="C8028" s="11"/>
      <c r="K8028" s="11"/>
    </row>
    <row r="8029" spans="3:11">
      <c r="C8029" s="11"/>
      <c r="K8029" s="11"/>
    </row>
    <row r="8030" spans="3:11">
      <c r="C8030" s="11"/>
      <c r="K8030" s="11"/>
    </row>
    <row r="8031" spans="3:11">
      <c r="C8031" s="11"/>
      <c r="K8031" s="11"/>
    </row>
    <row r="8032" spans="3:11">
      <c r="C8032" s="11"/>
      <c r="K8032" s="11"/>
    </row>
    <row r="8033" spans="3:11">
      <c r="C8033" s="11"/>
      <c r="K8033" s="11"/>
    </row>
    <row r="8034" spans="3:11">
      <c r="C8034" s="11"/>
      <c r="K8034" s="11"/>
    </row>
    <row r="8035" spans="3:11">
      <c r="C8035" s="11"/>
      <c r="K8035" s="11"/>
    </row>
    <row r="8036" spans="3:11">
      <c r="C8036" s="11"/>
      <c r="K8036" s="11"/>
    </row>
    <row r="8037" spans="3:11">
      <c r="C8037" s="11"/>
      <c r="K8037" s="11"/>
    </row>
    <row r="8038" spans="3:11">
      <c r="C8038" s="11"/>
      <c r="K8038" s="11"/>
    </row>
    <row r="8039" spans="3:11">
      <c r="C8039" s="11"/>
      <c r="K8039" s="11"/>
    </row>
    <row r="8040" spans="3:11">
      <c r="C8040" s="11"/>
      <c r="K8040" s="11"/>
    </row>
    <row r="8041" spans="3:11">
      <c r="C8041" s="11"/>
      <c r="K8041" s="11"/>
    </row>
    <row r="8042" spans="3:11">
      <c r="C8042" s="11"/>
      <c r="K8042" s="11"/>
    </row>
    <row r="8043" spans="3:11">
      <c r="C8043" s="11"/>
      <c r="K8043" s="11"/>
    </row>
    <row r="8044" spans="3:11">
      <c r="C8044" s="11"/>
      <c r="K8044" s="11"/>
    </row>
    <row r="8045" spans="3:11">
      <c r="C8045" s="11"/>
      <c r="K8045" s="11"/>
    </row>
    <row r="8046" spans="3:11">
      <c r="C8046" s="11"/>
      <c r="K8046" s="11"/>
    </row>
    <row r="8047" spans="3:11">
      <c r="C8047" s="11"/>
      <c r="K8047" s="11"/>
    </row>
    <row r="8048" spans="3:11">
      <c r="C8048" s="11"/>
      <c r="K8048" s="11"/>
    </row>
    <row r="8049" spans="3:11">
      <c r="C8049" s="11"/>
      <c r="K8049" s="11"/>
    </row>
    <row r="8050" spans="3:11">
      <c r="C8050" s="11"/>
      <c r="K8050" s="11"/>
    </row>
    <row r="8051" spans="3:11">
      <c r="C8051" s="11"/>
      <c r="K8051" s="11"/>
    </row>
    <row r="8052" spans="3:11">
      <c r="C8052" s="11"/>
      <c r="K8052" s="11"/>
    </row>
    <row r="8053" spans="3:11">
      <c r="C8053" s="11"/>
      <c r="K8053" s="11"/>
    </row>
    <row r="8054" spans="3:11">
      <c r="C8054" s="11"/>
      <c r="K8054" s="11"/>
    </row>
    <row r="8055" spans="3:11">
      <c r="C8055" s="11"/>
      <c r="K8055" s="11"/>
    </row>
    <row r="8056" spans="3:11">
      <c r="C8056" s="11"/>
      <c r="K8056" s="11"/>
    </row>
    <row r="8057" spans="3:11">
      <c r="C8057" s="11"/>
      <c r="K8057" s="11"/>
    </row>
    <row r="8058" spans="3:11">
      <c r="C8058" s="11"/>
      <c r="K8058" s="11"/>
    </row>
    <row r="8059" spans="3:11">
      <c r="C8059" s="11"/>
      <c r="K8059" s="11"/>
    </row>
    <row r="8060" spans="3:11">
      <c r="C8060" s="11"/>
      <c r="K8060" s="11"/>
    </row>
    <row r="8061" spans="3:11">
      <c r="C8061" s="11"/>
      <c r="K8061" s="11"/>
    </row>
    <row r="8062" spans="3:11">
      <c r="C8062" s="11"/>
      <c r="K8062" s="11"/>
    </row>
    <row r="8063" spans="3:11">
      <c r="C8063" s="11"/>
      <c r="K8063" s="11"/>
    </row>
    <row r="8064" spans="3:11">
      <c r="C8064" s="11"/>
      <c r="K8064" s="11"/>
    </row>
    <row r="8065" spans="3:11">
      <c r="C8065" s="11"/>
      <c r="K8065" s="11"/>
    </row>
    <row r="8066" spans="3:11">
      <c r="C8066" s="11"/>
      <c r="K8066" s="11"/>
    </row>
    <row r="8067" spans="3:11">
      <c r="C8067" s="11"/>
      <c r="K8067" s="11"/>
    </row>
    <row r="8068" spans="3:11">
      <c r="C8068" s="11"/>
      <c r="K8068" s="11"/>
    </row>
    <row r="8069" spans="3:11">
      <c r="C8069" s="11"/>
      <c r="K8069" s="11"/>
    </row>
    <row r="8070" spans="3:11">
      <c r="C8070" s="11"/>
      <c r="K8070" s="11"/>
    </row>
    <row r="8071" spans="3:11">
      <c r="C8071" s="11"/>
      <c r="K8071" s="11"/>
    </row>
    <row r="8072" spans="3:11">
      <c r="C8072" s="11"/>
      <c r="K8072" s="11"/>
    </row>
    <row r="8073" spans="3:11">
      <c r="C8073" s="11"/>
      <c r="K8073" s="11"/>
    </row>
    <row r="8074" spans="3:11">
      <c r="C8074" s="11"/>
      <c r="K8074" s="11"/>
    </row>
    <row r="8075" spans="3:11">
      <c r="C8075" s="11"/>
      <c r="K8075" s="11"/>
    </row>
    <row r="8076" spans="3:11">
      <c r="C8076" s="11"/>
      <c r="K8076" s="11"/>
    </row>
    <row r="8077" spans="3:11">
      <c r="C8077" s="11"/>
      <c r="K8077" s="11"/>
    </row>
    <row r="8078" spans="3:11">
      <c r="C8078" s="11"/>
      <c r="K8078" s="11"/>
    </row>
    <row r="8079" spans="3:11">
      <c r="C8079" s="11"/>
      <c r="K8079" s="11"/>
    </row>
    <row r="8080" spans="3:11">
      <c r="C8080" s="11"/>
      <c r="K8080" s="11"/>
    </row>
    <row r="8081" spans="3:11">
      <c r="C8081" s="11"/>
      <c r="K8081" s="11"/>
    </row>
    <row r="8082" spans="3:11">
      <c r="C8082" s="11"/>
      <c r="K8082" s="11"/>
    </row>
    <row r="8083" spans="3:11">
      <c r="C8083" s="11"/>
      <c r="K8083" s="11"/>
    </row>
    <row r="8084" spans="3:11">
      <c r="C8084" s="11"/>
      <c r="K8084" s="11"/>
    </row>
    <row r="8085" spans="3:11">
      <c r="C8085" s="11"/>
      <c r="K8085" s="11"/>
    </row>
    <row r="8086" spans="3:11">
      <c r="C8086" s="11"/>
      <c r="K8086" s="11"/>
    </row>
    <row r="8087" spans="3:11">
      <c r="C8087" s="11"/>
      <c r="K8087" s="11"/>
    </row>
    <row r="8088" spans="3:11">
      <c r="C8088" s="11"/>
      <c r="K8088" s="11"/>
    </row>
    <row r="8089" spans="3:11">
      <c r="C8089" s="11"/>
      <c r="K8089" s="11"/>
    </row>
    <row r="8090" spans="3:11">
      <c r="C8090" s="11"/>
      <c r="K8090" s="11"/>
    </row>
    <row r="8091" spans="3:11">
      <c r="C8091" s="11"/>
      <c r="K8091" s="11"/>
    </row>
    <row r="8092" spans="3:11">
      <c r="C8092" s="11"/>
      <c r="K8092" s="11"/>
    </row>
    <row r="8093" spans="3:11">
      <c r="C8093" s="11"/>
      <c r="K8093" s="11"/>
    </row>
    <row r="8094" spans="3:11">
      <c r="C8094" s="11"/>
      <c r="K8094" s="11"/>
    </row>
    <row r="8095" spans="3:11">
      <c r="C8095" s="11"/>
      <c r="K8095" s="11"/>
    </row>
    <row r="8096" spans="3:11">
      <c r="C8096" s="11"/>
      <c r="K8096" s="11"/>
    </row>
    <row r="8097" spans="3:11">
      <c r="C8097" s="11"/>
      <c r="K8097" s="11"/>
    </row>
    <row r="8098" spans="3:11">
      <c r="C8098" s="11"/>
      <c r="K8098" s="11"/>
    </row>
    <row r="8099" spans="3:11">
      <c r="C8099" s="11"/>
      <c r="K8099" s="11"/>
    </row>
    <row r="8100" spans="3:11">
      <c r="C8100" s="11"/>
      <c r="K8100" s="11"/>
    </row>
    <row r="8101" spans="3:11">
      <c r="C8101" s="11"/>
      <c r="K8101" s="11"/>
    </row>
    <row r="8102" spans="3:11">
      <c r="C8102" s="11"/>
      <c r="K8102" s="11"/>
    </row>
    <row r="8103" spans="3:11">
      <c r="C8103" s="11"/>
      <c r="K8103" s="11"/>
    </row>
    <row r="8104" spans="3:11">
      <c r="C8104" s="11"/>
      <c r="K8104" s="11"/>
    </row>
    <row r="8105" spans="3:11">
      <c r="C8105" s="11"/>
      <c r="K8105" s="11"/>
    </row>
    <row r="8106" spans="3:11">
      <c r="C8106" s="11"/>
      <c r="K8106" s="11"/>
    </row>
    <row r="8107" spans="3:11">
      <c r="C8107" s="11"/>
      <c r="K8107" s="11"/>
    </row>
    <row r="8108" spans="3:11">
      <c r="C8108" s="11"/>
      <c r="K8108" s="11"/>
    </row>
    <row r="8109" spans="3:11">
      <c r="C8109" s="11"/>
      <c r="K8109" s="11"/>
    </row>
    <row r="8110" spans="3:11">
      <c r="C8110" s="11"/>
      <c r="K8110" s="11"/>
    </row>
    <row r="8111" spans="3:11">
      <c r="C8111" s="11"/>
      <c r="K8111" s="11"/>
    </row>
    <row r="8112" spans="3:11">
      <c r="C8112" s="11"/>
      <c r="K8112" s="11"/>
    </row>
    <row r="8113" spans="3:11">
      <c r="C8113" s="11"/>
      <c r="K8113" s="11"/>
    </row>
    <row r="8114" spans="3:11">
      <c r="C8114" s="11"/>
      <c r="K8114" s="11"/>
    </row>
    <row r="8115" spans="3:11">
      <c r="C8115" s="11"/>
      <c r="K8115" s="11"/>
    </row>
    <row r="8116" spans="3:11">
      <c r="C8116" s="11"/>
      <c r="K8116" s="11"/>
    </row>
    <row r="8117" spans="3:11">
      <c r="C8117" s="11"/>
      <c r="K8117" s="11"/>
    </row>
    <row r="8118" spans="3:11">
      <c r="C8118" s="11"/>
      <c r="K8118" s="11"/>
    </row>
    <row r="8119" spans="3:11">
      <c r="C8119" s="11"/>
      <c r="K8119" s="11"/>
    </row>
    <row r="8120" spans="3:11">
      <c r="C8120" s="11"/>
      <c r="K8120" s="11"/>
    </row>
    <row r="8121" spans="3:11">
      <c r="C8121" s="11"/>
      <c r="K8121" s="11"/>
    </row>
    <row r="8122" spans="3:11">
      <c r="C8122" s="11"/>
      <c r="K8122" s="11"/>
    </row>
    <row r="8123" spans="3:11">
      <c r="C8123" s="11"/>
      <c r="K8123" s="11"/>
    </row>
    <row r="8124" spans="3:11">
      <c r="C8124" s="11"/>
      <c r="K8124" s="11"/>
    </row>
    <row r="8125" spans="3:11">
      <c r="C8125" s="11"/>
      <c r="K8125" s="11"/>
    </row>
    <row r="8126" spans="3:11">
      <c r="C8126" s="11"/>
      <c r="K8126" s="11"/>
    </row>
    <row r="8127" spans="3:11">
      <c r="C8127" s="11"/>
      <c r="K8127" s="11"/>
    </row>
    <row r="8128" spans="3:11">
      <c r="C8128" s="11"/>
      <c r="K8128" s="11"/>
    </row>
    <row r="8129" spans="3:11">
      <c r="C8129" s="11"/>
      <c r="K8129" s="11"/>
    </row>
    <row r="8130" spans="3:11">
      <c r="C8130" s="11"/>
      <c r="K8130" s="11"/>
    </row>
    <row r="8131" spans="3:11">
      <c r="C8131" s="11"/>
      <c r="K8131" s="11"/>
    </row>
    <row r="8132" spans="3:11">
      <c r="C8132" s="11"/>
      <c r="K8132" s="11"/>
    </row>
    <row r="8133" spans="3:11">
      <c r="C8133" s="11"/>
      <c r="K8133" s="11"/>
    </row>
    <row r="8134" spans="3:11">
      <c r="C8134" s="11"/>
      <c r="K8134" s="11"/>
    </row>
    <row r="8135" spans="3:11">
      <c r="C8135" s="11"/>
      <c r="K8135" s="11"/>
    </row>
    <row r="8136" spans="3:11">
      <c r="C8136" s="11"/>
      <c r="K8136" s="11"/>
    </row>
    <row r="8137" spans="3:11">
      <c r="C8137" s="11"/>
      <c r="K8137" s="11"/>
    </row>
    <row r="8138" spans="3:11">
      <c r="C8138" s="11"/>
      <c r="K8138" s="11"/>
    </row>
    <row r="8139" spans="3:11">
      <c r="C8139" s="11"/>
      <c r="K8139" s="11"/>
    </row>
    <row r="8140" spans="3:11">
      <c r="C8140" s="11"/>
      <c r="K8140" s="11"/>
    </row>
    <row r="8141" spans="3:11">
      <c r="C8141" s="11"/>
      <c r="K8141" s="11"/>
    </row>
    <row r="8142" spans="3:11">
      <c r="C8142" s="11"/>
      <c r="K8142" s="11"/>
    </row>
    <row r="8143" spans="3:11">
      <c r="C8143" s="11"/>
      <c r="K8143" s="11"/>
    </row>
    <row r="8144" spans="3:11">
      <c r="C8144" s="11"/>
      <c r="K8144" s="11"/>
    </row>
    <row r="8145" spans="3:11">
      <c r="C8145" s="11"/>
      <c r="K8145" s="11"/>
    </row>
    <row r="8146" spans="3:11">
      <c r="C8146" s="11"/>
      <c r="K8146" s="11"/>
    </row>
    <row r="8147" spans="3:11">
      <c r="C8147" s="11"/>
      <c r="K8147" s="11"/>
    </row>
    <row r="8148" spans="3:11">
      <c r="C8148" s="11"/>
      <c r="K8148" s="11"/>
    </row>
    <row r="8149" spans="3:11">
      <c r="C8149" s="11"/>
      <c r="K8149" s="11"/>
    </row>
    <row r="8150" spans="3:11">
      <c r="C8150" s="11"/>
      <c r="K8150" s="11"/>
    </row>
    <row r="8151" spans="3:11">
      <c r="C8151" s="11"/>
      <c r="K8151" s="11"/>
    </row>
    <row r="8152" spans="3:11">
      <c r="C8152" s="11"/>
      <c r="K8152" s="11"/>
    </row>
    <row r="8153" spans="3:11">
      <c r="C8153" s="11"/>
      <c r="K8153" s="11"/>
    </row>
    <row r="8154" spans="3:11">
      <c r="C8154" s="11"/>
      <c r="K8154" s="11"/>
    </row>
    <row r="8155" spans="3:11">
      <c r="C8155" s="11"/>
      <c r="K8155" s="11"/>
    </row>
    <row r="8156" spans="3:11">
      <c r="C8156" s="11"/>
      <c r="K8156" s="11"/>
    </row>
    <row r="8157" spans="3:11">
      <c r="C8157" s="11"/>
      <c r="K8157" s="11"/>
    </row>
    <row r="8158" spans="3:11">
      <c r="C8158" s="11"/>
      <c r="K8158" s="11"/>
    </row>
    <row r="8159" spans="3:11">
      <c r="C8159" s="11"/>
      <c r="K8159" s="11"/>
    </row>
    <row r="8160" spans="3:11">
      <c r="C8160" s="11"/>
      <c r="K8160" s="11"/>
    </row>
    <row r="8161" spans="3:11">
      <c r="C8161" s="11"/>
      <c r="K8161" s="11"/>
    </row>
    <row r="8162" spans="3:11">
      <c r="C8162" s="11"/>
      <c r="K8162" s="11"/>
    </row>
    <row r="8163" spans="3:11">
      <c r="C8163" s="11"/>
      <c r="K8163" s="11"/>
    </row>
    <row r="8164" spans="3:11">
      <c r="C8164" s="11"/>
      <c r="K8164" s="11"/>
    </row>
    <row r="8165" spans="3:11">
      <c r="C8165" s="11"/>
      <c r="K8165" s="11"/>
    </row>
    <row r="8166" spans="3:11">
      <c r="C8166" s="11"/>
      <c r="K8166" s="11"/>
    </row>
    <row r="8167" spans="3:11">
      <c r="C8167" s="11"/>
      <c r="K8167" s="11"/>
    </row>
    <row r="8168" spans="3:11">
      <c r="C8168" s="11"/>
      <c r="K8168" s="11"/>
    </row>
    <row r="8169" spans="3:11">
      <c r="C8169" s="11"/>
      <c r="K8169" s="11"/>
    </row>
    <row r="8170" spans="3:11">
      <c r="C8170" s="11"/>
      <c r="K8170" s="11"/>
    </row>
    <row r="8171" spans="3:11">
      <c r="C8171" s="11"/>
      <c r="K8171" s="11"/>
    </row>
    <row r="8172" spans="3:11">
      <c r="C8172" s="11"/>
      <c r="K8172" s="11"/>
    </row>
    <row r="8173" spans="3:11">
      <c r="C8173" s="11"/>
      <c r="K8173" s="11"/>
    </row>
    <row r="8174" spans="3:11">
      <c r="C8174" s="11"/>
      <c r="K8174" s="11"/>
    </row>
    <row r="8175" spans="3:11">
      <c r="C8175" s="11"/>
      <c r="K8175" s="11"/>
    </row>
    <row r="8176" spans="3:11">
      <c r="C8176" s="11"/>
      <c r="K8176" s="11"/>
    </row>
    <row r="8177" spans="3:11">
      <c r="C8177" s="11"/>
      <c r="K8177" s="11"/>
    </row>
    <row r="8178" spans="3:11">
      <c r="C8178" s="11"/>
      <c r="K8178" s="11"/>
    </row>
    <row r="8179" spans="3:11">
      <c r="C8179" s="11"/>
      <c r="K8179" s="11"/>
    </row>
    <row r="8180" spans="3:11">
      <c r="C8180" s="11"/>
      <c r="K8180" s="11"/>
    </row>
    <row r="8181" spans="3:11">
      <c r="C8181" s="11"/>
      <c r="K8181" s="11"/>
    </row>
    <row r="8182" spans="3:11">
      <c r="C8182" s="11"/>
      <c r="K8182" s="11"/>
    </row>
    <row r="8183" spans="3:11">
      <c r="C8183" s="11"/>
      <c r="K8183" s="11"/>
    </row>
    <row r="8184" spans="3:11">
      <c r="C8184" s="11"/>
      <c r="K8184" s="11"/>
    </row>
    <row r="8185" spans="3:11">
      <c r="C8185" s="11"/>
      <c r="K8185" s="11"/>
    </row>
    <row r="8186" spans="3:11">
      <c r="C8186" s="11"/>
      <c r="K8186" s="11"/>
    </row>
    <row r="8187" spans="3:11">
      <c r="C8187" s="11"/>
      <c r="K8187" s="11"/>
    </row>
    <row r="8188" spans="3:11">
      <c r="C8188" s="11"/>
      <c r="K8188" s="11"/>
    </row>
    <row r="8189" spans="3:11">
      <c r="C8189" s="11"/>
      <c r="K8189" s="11"/>
    </row>
    <row r="8190" spans="3:11">
      <c r="C8190" s="11"/>
      <c r="K8190" s="11"/>
    </row>
    <row r="8191" spans="3:11">
      <c r="C8191" s="11"/>
      <c r="K8191" s="11"/>
    </row>
    <row r="8192" spans="3:11">
      <c r="C8192" s="11"/>
      <c r="K8192" s="11"/>
    </row>
    <row r="8193" spans="3:11">
      <c r="C8193" s="11"/>
      <c r="K8193" s="11"/>
    </row>
    <row r="8194" spans="3:11">
      <c r="C8194" s="11"/>
      <c r="K8194" s="11"/>
    </row>
    <row r="8195" spans="3:11">
      <c r="C8195" s="11"/>
      <c r="K8195" s="11"/>
    </row>
    <row r="8196" spans="3:11">
      <c r="C8196" s="11"/>
      <c r="K8196" s="11"/>
    </row>
    <row r="8197" spans="3:11">
      <c r="C8197" s="11"/>
      <c r="K8197" s="11"/>
    </row>
    <row r="8198" spans="3:11">
      <c r="C8198" s="11"/>
      <c r="K8198" s="11"/>
    </row>
    <row r="8199" spans="3:11">
      <c r="C8199" s="11"/>
      <c r="K8199" s="11"/>
    </row>
    <row r="8200" spans="3:11">
      <c r="C8200" s="11"/>
      <c r="K8200" s="11"/>
    </row>
    <row r="8201" spans="3:11">
      <c r="C8201" s="11"/>
      <c r="K8201" s="11"/>
    </row>
    <row r="8202" spans="3:11">
      <c r="C8202" s="11"/>
      <c r="K8202" s="11"/>
    </row>
    <row r="8203" spans="3:11">
      <c r="C8203" s="11"/>
      <c r="K8203" s="11"/>
    </row>
    <row r="8204" spans="3:11">
      <c r="C8204" s="11"/>
      <c r="K8204" s="11"/>
    </row>
    <row r="8205" spans="3:11">
      <c r="C8205" s="11"/>
      <c r="K8205" s="11"/>
    </row>
    <row r="8206" spans="3:11">
      <c r="C8206" s="11"/>
      <c r="K8206" s="11"/>
    </row>
    <row r="8207" spans="3:11">
      <c r="C8207" s="11"/>
      <c r="K8207" s="11"/>
    </row>
    <row r="8208" spans="3:11">
      <c r="C8208" s="11"/>
      <c r="K8208" s="11"/>
    </row>
    <row r="8209" spans="3:11">
      <c r="C8209" s="11"/>
      <c r="K8209" s="11"/>
    </row>
    <row r="8210" spans="3:11">
      <c r="C8210" s="11"/>
      <c r="K8210" s="11"/>
    </row>
    <row r="8211" spans="3:11">
      <c r="C8211" s="11"/>
      <c r="K8211" s="11"/>
    </row>
    <row r="8212" spans="3:11">
      <c r="C8212" s="11"/>
      <c r="K8212" s="11"/>
    </row>
    <row r="8213" spans="3:11">
      <c r="C8213" s="11"/>
      <c r="K8213" s="11"/>
    </row>
    <row r="8214" spans="3:11">
      <c r="C8214" s="11"/>
      <c r="K8214" s="11"/>
    </row>
    <row r="8215" spans="3:11">
      <c r="C8215" s="11"/>
      <c r="K8215" s="11"/>
    </row>
    <row r="8216" spans="3:11">
      <c r="C8216" s="11"/>
      <c r="K8216" s="11"/>
    </row>
    <row r="8217" spans="3:11">
      <c r="C8217" s="11"/>
      <c r="K8217" s="11"/>
    </row>
    <row r="8218" spans="3:11">
      <c r="C8218" s="11"/>
      <c r="K8218" s="11"/>
    </row>
    <row r="8219" spans="3:11">
      <c r="C8219" s="11"/>
      <c r="K8219" s="11"/>
    </row>
    <row r="8220" spans="3:11">
      <c r="C8220" s="11"/>
      <c r="K8220" s="11"/>
    </row>
    <row r="8221" spans="3:11">
      <c r="C8221" s="11"/>
      <c r="K8221" s="11"/>
    </row>
    <row r="8222" spans="3:11">
      <c r="C8222" s="11"/>
      <c r="K8222" s="11"/>
    </row>
    <row r="8223" spans="3:11">
      <c r="C8223" s="11"/>
      <c r="K8223" s="11"/>
    </row>
    <row r="8224" spans="3:11">
      <c r="C8224" s="11"/>
      <c r="K8224" s="11"/>
    </row>
    <row r="8225" spans="3:11">
      <c r="C8225" s="11"/>
      <c r="K8225" s="11"/>
    </row>
    <row r="8226" spans="3:11">
      <c r="C8226" s="11"/>
      <c r="K8226" s="11"/>
    </row>
    <row r="8227" spans="3:11">
      <c r="C8227" s="11"/>
      <c r="K8227" s="11"/>
    </row>
    <row r="8228" spans="3:11">
      <c r="C8228" s="11"/>
      <c r="K8228" s="11"/>
    </row>
    <row r="8229" spans="3:11">
      <c r="C8229" s="11"/>
      <c r="K8229" s="11"/>
    </row>
    <row r="8230" spans="3:11">
      <c r="C8230" s="11"/>
      <c r="K8230" s="11"/>
    </row>
    <row r="8231" spans="3:11">
      <c r="C8231" s="11"/>
      <c r="K8231" s="11"/>
    </row>
    <row r="8232" spans="3:11">
      <c r="C8232" s="11"/>
      <c r="K8232" s="11"/>
    </row>
    <row r="8233" spans="3:11">
      <c r="C8233" s="11"/>
      <c r="K8233" s="11"/>
    </row>
    <row r="8234" spans="3:11">
      <c r="C8234" s="11"/>
      <c r="K8234" s="11"/>
    </row>
    <row r="8235" spans="3:11">
      <c r="C8235" s="11"/>
      <c r="K8235" s="11"/>
    </row>
    <row r="8236" spans="3:11">
      <c r="C8236" s="11"/>
      <c r="K8236" s="11"/>
    </row>
    <row r="8237" spans="3:11">
      <c r="C8237" s="11"/>
      <c r="K8237" s="11"/>
    </row>
    <row r="8238" spans="3:11">
      <c r="C8238" s="11"/>
      <c r="K8238" s="11"/>
    </row>
    <row r="8239" spans="3:11">
      <c r="C8239" s="11"/>
      <c r="K8239" s="11"/>
    </row>
    <row r="8240" spans="3:11">
      <c r="C8240" s="11"/>
      <c r="K8240" s="11"/>
    </row>
    <row r="8241" spans="3:11">
      <c r="C8241" s="11"/>
      <c r="K8241" s="11"/>
    </row>
    <row r="8242" spans="3:11">
      <c r="C8242" s="11"/>
      <c r="K8242" s="11"/>
    </row>
    <row r="8243" spans="3:11">
      <c r="C8243" s="11"/>
      <c r="K8243" s="11"/>
    </row>
    <row r="8244" spans="3:11">
      <c r="C8244" s="11"/>
      <c r="K8244" s="11"/>
    </row>
    <row r="8245" spans="3:11">
      <c r="C8245" s="11"/>
      <c r="K8245" s="11"/>
    </row>
    <row r="8246" spans="3:11">
      <c r="C8246" s="11"/>
      <c r="K8246" s="11"/>
    </row>
    <row r="8247" spans="3:11">
      <c r="C8247" s="11"/>
      <c r="K8247" s="11"/>
    </row>
    <row r="8248" spans="3:11">
      <c r="C8248" s="11"/>
      <c r="K8248" s="11"/>
    </row>
    <row r="8249" spans="3:11">
      <c r="C8249" s="11"/>
      <c r="K8249" s="11"/>
    </row>
    <row r="8250" spans="3:11">
      <c r="C8250" s="11"/>
      <c r="K8250" s="11"/>
    </row>
    <row r="8251" spans="3:11">
      <c r="C8251" s="11"/>
      <c r="K8251" s="11"/>
    </row>
    <row r="8252" spans="3:11">
      <c r="C8252" s="11"/>
      <c r="K8252" s="11"/>
    </row>
    <row r="8253" spans="3:11">
      <c r="C8253" s="11"/>
      <c r="K8253" s="11"/>
    </row>
    <row r="8254" spans="3:11">
      <c r="C8254" s="11"/>
      <c r="K8254" s="11"/>
    </row>
    <row r="8255" spans="3:11">
      <c r="C8255" s="11"/>
      <c r="K8255" s="11"/>
    </row>
    <row r="8256" spans="3:11">
      <c r="C8256" s="11"/>
      <c r="K8256" s="11"/>
    </row>
    <row r="8257" spans="3:11">
      <c r="C8257" s="11"/>
      <c r="K8257" s="11"/>
    </row>
    <row r="8258" spans="3:11">
      <c r="C8258" s="11"/>
      <c r="K8258" s="11"/>
    </row>
    <row r="8259" spans="3:11">
      <c r="C8259" s="11"/>
      <c r="K8259" s="11"/>
    </row>
    <row r="8260" spans="3:11">
      <c r="C8260" s="11"/>
      <c r="K8260" s="11"/>
    </row>
    <row r="8261" spans="3:11">
      <c r="C8261" s="11"/>
      <c r="K8261" s="11"/>
    </row>
    <row r="8262" spans="3:11">
      <c r="C8262" s="11"/>
      <c r="K8262" s="11"/>
    </row>
    <row r="8263" spans="3:11">
      <c r="C8263" s="11"/>
      <c r="K8263" s="11"/>
    </row>
    <row r="8264" spans="3:11">
      <c r="C8264" s="11"/>
      <c r="K8264" s="11"/>
    </row>
    <row r="8265" spans="3:11">
      <c r="C8265" s="11"/>
      <c r="K8265" s="11"/>
    </row>
    <row r="8266" spans="3:11">
      <c r="C8266" s="11"/>
      <c r="K8266" s="11"/>
    </row>
    <row r="8267" spans="3:11">
      <c r="C8267" s="11"/>
      <c r="K8267" s="11"/>
    </row>
    <row r="8268" spans="3:11">
      <c r="C8268" s="11"/>
      <c r="K8268" s="11"/>
    </row>
    <row r="8269" spans="3:11">
      <c r="C8269" s="11"/>
      <c r="K8269" s="11"/>
    </row>
    <row r="8270" spans="3:11">
      <c r="C8270" s="11"/>
      <c r="K8270" s="11"/>
    </row>
    <row r="8271" spans="3:11">
      <c r="C8271" s="11"/>
      <c r="K8271" s="11"/>
    </row>
    <row r="8272" spans="3:11">
      <c r="C8272" s="11"/>
      <c r="K8272" s="11"/>
    </row>
    <row r="8273" spans="3:11">
      <c r="C8273" s="11"/>
      <c r="K8273" s="11"/>
    </row>
    <row r="8274" spans="3:11">
      <c r="C8274" s="11"/>
      <c r="K8274" s="11"/>
    </row>
    <row r="8275" spans="3:11">
      <c r="C8275" s="11"/>
      <c r="K8275" s="11"/>
    </row>
    <row r="8276" spans="3:11">
      <c r="C8276" s="11"/>
      <c r="K8276" s="11"/>
    </row>
    <row r="8277" spans="3:11">
      <c r="C8277" s="11"/>
      <c r="K8277" s="11"/>
    </row>
    <row r="8278" spans="3:11">
      <c r="C8278" s="11"/>
      <c r="K8278" s="11"/>
    </row>
    <row r="8279" spans="3:11">
      <c r="C8279" s="11"/>
      <c r="K8279" s="11"/>
    </row>
    <row r="8280" spans="3:11">
      <c r="C8280" s="11"/>
      <c r="K8280" s="11"/>
    </row>
    <row r="8281" spans="3:11">
      <c r="C8281" s="11"/>
      <c r="K8281" s="11"/>
    </row>
    <row r="8282" spans="3:11">
      <c r="C8282" s="11"/>
      <c r="K8282" s="11"/>
    </row>
    <row r="8283" spans="3:11">
      <c r="C8283" s="11"/>
      <c r="K8283" s="11"/>
    </row>
    <row r="8284" spans="3:11">
      <c r="C8284" s="11"/>
      <c r="K8284" s="11"/>
    </row>
    <row r="8285" spans="3:11">
      <c r="C8285" s="11"/>
      <c r="K8285" s="11"/>
    </row>
    <row r="8286" spans="3:11">
      <c r="C8286" s="11"/>
      <c r="K8286" s="11"/>
    </row>
    <row r="8287" spans="3:11">
      <c r="C8287" s="11"/>
      <c r="K8287" s="11"/>
    </row>
    <row r="8288" spans="3:11">
      <c r="C8288" s="11"/>
      <c r="K8288" s="11"/>
    </row>
    <row r="8289" spans="3:11">
      <c r="C8289" s="11"/>
      <c r="K8289" s="11"/>
    </row>
    <row r="8290" spans="3:11">
      <c r="C8290" s="11"/>
      <c r="K8290" s="11"/>
    </row>
    <row r="8291" spans="3:11">
      <c r="C8291" s="11"/>
      <c r="K8291" s="11"/>
    </row>
    <row r="8292" spans="3:11">
      <c r="C8292" s="11"/>
      <c r="K8292" s="11"/>
    </row>
    <row r="8293" spans="3:11">
      <c r="C8293" s="11"/>
      <c r="K8293" s="11"/>
    </row>
    <row r="8294" spans="3:11">
      <c r="C8294" s="11"/>
      <c r="K8294" s="11"/>
    </row>
    <row r="8295" spans="3:11">
      <c r="C8295" s="11"/>
      <c r="K8295" s="11"/>
    </row>
    <row r="8296" spans="3:11">
      <c r="C8296" s="11"/>
      <c r="K8296" s="11"/>
    </row>
    <row r="8297" spans="3:11">
      <c r="C8297" s="11"/>
      <c r="K8297" s="11"/>
    </row>
    <row r="8298" spans="3:11">
      <c r="C8298" s="11"/>
      <c r="K8298" s="11"/>
    </row>
    <row r="8299" spans="3:11">
      <c r="C8299" s="11"/>
      <c r="K8299" s="11"/>
    </row>
    <row r="8300" spans="3:11">
      <c r="C8300" s="11"/>
      <c r="K8300" s="11"/>
    </row>
    <row r="8301" spans="3:11">
      <c r="C8301" s="11"/>
      <c r="K8301" s="11"/>
    </row>
    <row r="8302" spans="3:11">
      <c r="C8302" s="11"/>
      <c r="K8302" s="11"/>
    </row>
    <row r="8303" spans="3:11">
      <c r="C8303" s="11"/>
      <c r="K8303" s="11"/>
    </row>
    <row r="8304" spans="3:11">
      <c r="C8304" s="11"/>
      <c r="K8304" s="11"/>
    </row>
    <row r="8305" spans="3:11">
      <c r="C8305" s="11"/>
      <c r="K8305" s="11"/>
    </row>
    <row r="8306" spans="3:11">
      <c r="C8306" s="11"/>
      <c r="K8306" s="11"/>
    </row>
    <row r="8307" spans="3:11">
      <c r="C8307" s="11"/>
      <c r="K8307" s="11"/>
    </row>
    <row r="8308" spans="3:11">
      <c r="C8308" s="11"/>
      <c r="K8308" s="11"/>
    </row>
    <row r="8309" spans="3:11">
      <c r="C8309" s="11"/>
      <c r="K8309" s="11"/>
    </row>
    <row r="8310" spans="3:11">
      <c r="C8310" s="11"/>
      <c r="K8310" s="11"/>
    </row>
    <row r="8311" spans="3:11">
      <c r="C8311" s="11"/>
      <c r="K8311" s="11"/>
    </row>
    <row r="8312" spans="3:11">
      <c r="C8312" s="11"/>
      <c r="K8312" s="11"/>
    </row>
    <row r="8313" spans="3:11">
      <c r="C8313" s="11"/>
      <c r="K8313" s="11"/>
    </row>
    <row r="8314" spans="3:11">
      <c r="C8314" s="11"/>
      <c r="K8314" s="11"/>
    </row>
    <row r="8315" spans="3:11">
      <c r="C8315" s="11"/>
      <c r="K8315" s="11"/>
    </row>
    <row r="8316" spans="3:11">
      <c r="C8316" s="11"/>
      <c r="K8316" s="11"/>
    </row>
    <row r="8317" spans="3:11">
      <c r="C8317" s="11"/>
      <c r="K8317" s="11"/>
    </row>
    <row r="8318" spans="3:11">
      <c r="C8318" s="11"/>
      <c r="K8318" s="11"/>
    </row>
    <row r="8319" spans="3:11">
      <c r="C8319" s="11"/>
      <c r="K8319" s="11"/>
    </row>
    <row r="8320" spans="3:11">
      <c r="C8320" s="11"/>
      <c r="K8320" s="11"/>
    </row>
    <row r="8321" spans="3:11">
      <c r="C8321" s="11"/>
      <c r="K8321" s="11"/>
    </row>
    <row r="8322" spans="3:11">
      <c r="C8322" s="11"/>
      <c r="K8322" s="11"/>
    </row>
    <row r="8323" spans="3:11">
      <c r="C8323" s="11"/>
      <c r="K8323" s="11"/>
    </row>
    <row r="8324" spans="3:11">
      <c r="C8324" s="11"/>
      <c r="K8324" s="11"/>
    </row>
    <row r="8325" spans="3:11">
      <c r="C8325" s="11"/>
      <c r="K8325" s="11"/>
    </row>
    <row r="8326" spans="3:11">
      <c r="C8326" s="11"/>
      <c r="K8326" s="11"/>
    </row>
    <row r="8327" spans="3:11">
      <c r="C8327" s="11"/>
      <c r="K8327" s="11"/>
    </row>
    <row r="8328" spans="3:11">
      <c r="C8328" s="11"/>
      <c r="K8328" s="11"/>
    </row>
    <row r="8329" spans="3:11">
      <c r="C8329" s="11"/>
      <c r="K8329" s="11"/>
    </row>
    <row r="8330" spans="3:11">
      <c r="C8330" s="11"/>
      <c r="K8330" s="11"/>
    </row>
    <row r="8331" spans="3:11">
      <c r="C8331" s="11"/>
      <c r="K8331" s="11"/>
    </row>
    <row r="8332" spans="3:11">
      <c r="C8332" s="11"/>
      <c r="K8332" s="11"/>
    </row>
    <row r="8333" spans="3:11">
      <c r="C8333" s="11"/>
      <c r="K8333" s="11"/>
    </row>
    <row r="8334" spans="3:11">
      <c r="C8334" s="11"/>
      <c r="K8334" s="11"/>
    </row>
    <row r="8335" spans="3:11">
      <c r="C8335" s="11"/>
      <c r="K8335" s="11"/>
    </row>
    <row r="8336" spans="3:11">
      <c r="C8336" s="11"/>
      <c r="K8336" s="11"/>
    </row>
    <row r="8337" spans="3:11">
      <c r="C8337" s="11"/>
      <c r="K8337" s="11"/>
    </row>
    <row r="8338" spans="3:11">
      <c r="C8338" s="11"/>
      <c r="K8338" s="11"/>
    </row>
    <row r="8339" spans="3:11">
      <c r="C8339" s="11"/>
      <c r="K8339" s="11"/>
    </row>
    <row r="8340" spans="3:11">
      <c r="C8340" s="11"/>
      <c r="K8340" s="11"/>
    </row>
    <row r="8341" spans="3:11">
      <c r="C8341" s="11"/>
      <c r="K8341" s="11"/>
    </row>
    <row r="8342" spans="3:11">
      <c r="C8342" s="11"/>
      <c r="K8342" s="11"/>
    </row>
    <row r="8343" spans="3:11">
      <c r="C8343" s="11"/>
      <c r="K8343" s="11"/>
    </row>
    <row r="8344" spans="3:11">
      <c r="C8344" s="11"/>
      <c r="K8344" s="11"/>
    </row>
    <row r="8345" spans="3:11">
      <c r="C8345" s="11"/>
      <c r="K8345" s="11"/>
    </row>
    <row r="8346" spans="3:11">
      <c r="C8346" s="11"/>
      <c r="K8346" s="11"/>
    </row>
    <row r="8347" spans="3:11">
      <c r="C8347" s="11"/>
      <c r="K8347" s="11"/>
    </row>
    <row r="8348" spans="3:11">
      <c r="C8348" s="11"/>
      <c r="K8348" s="11"/>
    </row>
    <row r="8349" spans="3:11">
      <c r="C8349" s="11"/>
      <c r="K8349" s="11"/>
    </row>
    <row r="8350" spans="3:11">
      <c r="C8350" s="11"/>
      <c r="K8350" s="11"/>
    </row>
    <row r="8351" spans="3:11">
      <c r="C8351" s="11"/>
      <c r="K8351" s="11"/>
    </row>
    <row r="8352" spans="3:11">
      <c r="C8352" s="11"/>
      <c r="K8352" s="11"/>
    </row>
    <row r="8353" spans="3:11">
      <c r="C8353" s="11"/>
      <c r="K8353" s="11"/>
    </row>
    <row r="8354" spans="3:11">
      <c r="C8354" s="11"/>
      <c r="K8354" s="11"/>
    </row>
    <row r="8355" spans="3:11">
      <c r="C8355" s="11"/>
      <c r="K8355" s="11"/>
    </row>
    <row r="8356" spans="3:11">
      <c r="C8356" s="11"/>
      <c r="K8356" s="11"/>
    </row>
    <row r="8357" spans="3:11">
      <c r="C8357" s="11"/>
      <c r="K8357" s="11"/>
    </row>
    <row r="8358" spans="3:11">
      <c r="C8358" s="11"/>
      <c r="K8358" s="11"/>
    </row>
    <row r="8359" spans="3:11">
      <c r="C8359" s="11"/>
      <c r="K8359" s="11"/>
    </row>
    <row r="8360" spans="3:11">
      <c r="C8360" s="11"/>
      <c r="K8360" s="11"/>
    </row>
    <row r="8361" spans="3:11">
      <c r="C8361" s="11"/>
      <c r="K8361" s="11"/>
    </row>
    <row r="8362" spans="3:11">
      <c r="C8362" s="11"/>
      <c r="K8362" s="11"/>
    </row>
    <row r="8363" spans="3:11">
      <c r="C8363" s="11"/>
      <c r="K8363" s="11"/>
    </row>
    <row r="8364" spans="3:11">
      <c r="C8364" s="11"/>
      <c r="K8364" s="11"/>
    </row>
    <row r="8365" spans="3:11">
      <c r="C8365" s="11"/>
      <c r="K8365" s="11"/>
    </row>
    <row r="8366" spans="3:11">
      <c r="C8366" s="11"/>
      <c r="K8366" s="11"/>
    </row>
    <row r="8367" spans="3:11">
      <c r="C8367" s="11"/>
      <c r="K8367" s="11"/>
    </row>
    <row r="8368" spans="3:11">
      <c r="C8368" s="11"/>
      <c r="K8368" s="11"/>
    </row>
    <row r="8369" spans="3:11">
      <c r="C8369" s="11"/>
      <c r="K8369" s="11"/>
    </row>
    <row r="8370" spans="3:11">
      <c r="C8370" s="11"/>
      <c r="K8370" s="11"/>
    </row>
    <row r="8371" spans="3:11">
      <c r="C8371" s="11"/>
      <c r="K8371" s="11"/>
    </row>
    <row r="8372" spans="3:11">
      <c r="C8372" s="11"/>
      <c r="K8372" s="11"/>
    </row>
    <row r="8373" spans="3:11">
      <c r="C8373" s="11"/>
      <c r="K8373" s="11"/>
    </row>
    <row r="8374" spans="3:11">
      <c r="C8374" s="11"/>
      <c r="K8374" s="11"/>
    </row>
    <row r="8375" spans="3:11">
      <c r="C8375" s="11"/>
      <c r="K8375" s="11"/>
    </row>
    <row r="8376" spans="3:11">
      <c r="C8376" s="11"/>
      <c r="K8376" s="11"/>
    </row>
    <row r="8377" spans="3:11">
      <c r="C8377" s="11"/>
      <c r="K8377" s="11"/>
    </row>
    <row r="8378" spans="3:11">
      <c r="C8378" s="11"/>
      <c r="K8378" s="11"/>
    </row>
    <row r="8379" spans="3:11">
      <c r="C8379" s="11"/>
      <c r="K8379" s="11"/>
    </row>
    <row r="8380" spans="3:11">
      <c r="C8380" s="11"/>
      <c r="K8380" s="11"/>
    </row>
    <row r="8381" spans="3:11">
      <c r="C8381" s="11"/>
      <c r="K8381" s="11"/>
    </row>
    <row r="8382" spans="3:11">
      <c r="C8382" s="11"/>
      <c r="K8382" s="11"/>
    </row>
    <row r="8383" spans="3:11">
      <c r="C8383" s="11"/>
      <c r="K8383" s="11"/>
    </row>
    <row r="8384" spans="3:11">
      <c r="C8384" s="11"/>
      <c r="K8384" s="11"/>
    </row>
    <row r="8385" spans="3:11">
      <c r="C8385" s="11"/>
      <c r="K8385" s="11"/>
    </row>
    <row r="8386" spans="3:11">
      <c r="C8386" s="11"/>
      <c r="K8386" s="11"/>
    </row>
    <row r="8387" spans="3:11">
      <c r="C8387" s="11"/>
      <c r="K8387" s="11"/>
    </row>
    <row r="8388" spans="3:11">
      <c r="C8388" s="11"/>
      <c r="K8388" s="11"/>
    </row>
    <row r="8389" spans="3:11">
      <c r="C8389" s="11"/>
      <c r="K8389" s="11"/>
    </row>
    <row r="8390" spans="3:11">
      <c r="C8390" s="11"/>
      <c r="K8390" s="11"/>
    </row>
    <row r="8391" spans="3:11">
      <c r="C8391" s="11"/>
      <c r="K8391" s="11"/>
    </row>
    <row r="8392" spans="3:11">
      <c r="C8392" s="11"/>
      <c r="K8392" s="11"/>
    </row>
    <row r="8393" spans="3:11">
      <c r="C8393" s="11"/>
      <c r="K8393" s="11"/>
    </row>
    <row r="8394" spans="3:11">
      <c r="C8394" s="11"/>
      <c r="K8394" s="11"/>
    </row>
    <row r="8395" spans="3:11">
      <c r="C8395" s="11"/>
      <c r="K8395" s="11"/>
    </row>
    <row r="8396" spans="3:11">
      <c r="C8396" s="11"/>
      <c r="K8396" s="11"/>
    </row>
    <row r="8397" spans="3:11">
      <c r="C8397" s="11"/>
      <c r="K8397" s="11"/>
    </row>
    <row r="8398" spans="3:11">
      <c r="C8398" s="11"/>
      <c r="K8398" s="11"/>
    </row>
    <row r="8399" spans="3:11">
      <c r="C8399" s="11"/>
      <c r="K8399" s="11"/>
    </row>
    <row r="8400" spans="3:11">
      <c r="C8400" s="11"/>
      <c r="K8400" s="11"/>
    </row>
    <row r="8401" spans="3:11">
      <c r="C8401" s="11"/>
      <c r="K8401" s="11"/>
    </row>
    <row r="8402" spans="3:11">
      <c r="C8402" s="11"/>
      <c r="K8402" s="11"/>
    </row>
    <row r="8403" spans="3:11">
      <c r="C8403" s="11"/>
      <c r="K8403" s="11"/>
    </row>
    <row r="8404" spans="3:11">
      <c r="C8404" s="11"/>
      <c r="K8404" s="11"/>
    </row>
    <row r="8405" spans="3:11">
      <c r="C8405" s="11"/>
      <c r="K8405" s="11"/>
    </row>
    <row r="8406" spans="3:11">
      <c r="C8406" s="11"/>
      <c r="K8406" s="11"/>
    </row>
    <row r="8407" spans="3:11">
      <c r="C8407" s="11"/>
      <c r="K8407" s="11"/>
    </row>
    <row r="8408" spans="3:11">
      <c r="C8408" s="11"/>
      <c r="K8408" s="11"/>
    </row>
    <row r="8409" spans="3:11">
      <c r="C8409" s="11"/>
      <c r="K8409" s="11"/>
    </row>
    <row r="8410" spans="3:11">
      <c r="C8410" s="11"/>
      <c r="K8410" s="11"/>
    </row>
    <row r="8411" spans="3:11">
      <c r="C8411" s="11"/>
      <c r="K8411" s="11"/>
    </row>
    <row r="8412" spans="3:11">
      <c r="C8412" s="11"/>
      <c r="K8412" s="11"/>
    </row>
    <row r="8413" spans="3:11">
      <c r="C8413" s="11"/>
      <c r="K8413" s="11"/>
    </row>
    <row r="8414" spans="3:11">
      <c r="C8414" s="11"/>
      <c r="K8414" s="11"/>
    </row>
    <row r="8415" spans="3:11">
      <c r="C8415" s="11"/>
      <c r="K8415" s="11"/>
    </row>
    <row r="8416" spans="3:11">
      <c r="C8416" s="11"/>
      <c r="K8416" s="11"/>
    </row>
    <row r="8417" spans="3:11">
      <c r="C8417" s="11"/>
      <c r="K8417" s="11"/>
    </row>
    <row r="8418" spans="3:11">
      <c r="C8418" s="11"/>
      <c r="K8418" s="11"/>
    </row>
    <row r="8419" spans="3:11">
      <c r="C8419" s="11"/>
      <c r="K8419" s="11"/>
    </row>
    <row r="8420" spans="3:11">
      <c r="C8420" s="11"/>
      <c r="K8420" s="11"/>
    </row>
    <row r="8421" spans="3:11">
      <c r="C8421" s="11"/>
      <c r="K8421" s="11"/>
    </row>
    <row r="8422" spans="3:11">
      <c r="C8422" s="11"/>
      <c r="K8422" s="11"/>
    </row>
    <row r="8423" spans="3:11">
      <c r="C8423" s="11"/>
      <c r="K8423" s="11"/>
    </row>
    <row r="8424" spans="3:11">
      <c r="C8424" s="11"/>
      <c r="K8424" s="11"/>
    </row>
    <row r="8425" spans="3:11">
      <c r="C8425" s="11"/>
      <c r="K8425" s="11"/>
    </row>
    <row r="8426" spans="3:11">
      <c r="C8426" s="11"/>
      <c r="K8426" s="11"/>
    </row>
    <row r="8427" spans="3:11">
      <c r="C8427" s="11"/>
      <c r="K8427" s="11"/>
    </row>
    <row r="8428" spans="3:11">
      <c r="C8428" s="11"/>
      <c r="K8428" s="11"/>
    </row>
    <row r="8429" spans="3:11">
      <c r="C8429" s="11"/>
      <c r="K8429" s="11"/>
    </row>
    <row r="8430" spans="3:11">
      <c r="C8430" s="11"/>
      <c r="K8430" s="11"/>
    </row>
    <row r="8431" spans="3:11">
      <c r="C8431" s="11"/>
      <c r="K8431" s="11"/>
    </row>
    <row r="8432" spans="3:11">
      <c r="C8432" s="11"/>
      <c r="K8432" s="11"/>
    </row>
    <row r="8433" spans="3:11">
      <c r="C8433" s="11"/>
      <c r="K8433" s="11"/>
    </row>
    <row r="8434" spans="3:11">
      <c r="C8434" s="11"/>
      <c r="K8434" s="11"/>
    </row>
    <row r="8435" spans="3:11">
      <c r="C8435" s="11"/>
      <c r="K8435" s="11"/>
    </row>
    <row r="8436" spans="3:11">
      <c r="C8436" s="11"/>
      <c r="K8436" s="11"/>
    </row>
    <row r="8437" spans="3:11">
      <c r="C8437" s="11"/>
      <c r="K8437" s="11"/>
    </row>
    <row r="8438" spans="3:11">
      <c r="C8438" s="11"/>
      <c r="K8438" s="11"/>
    </row>
    <row r="8439" spans="3:11">
      <c r="C8439" s="11"/>
      <c r="K8439" s="11"/>
    </row>
    <row r="8440" spans="3:11">
      <c r="C8440" s="11"/>
      <c r="K8440" s="11"/>
    </row>
    <row r="8441" spans="3:11">
      <c r="C8441" s="11"/>
      <c r="K8441" s="11"/>
    </row>
    <row r="8442" spans="3:11">
      <c r="C8442" s="11"/>
      <c r="K8442" s="11"/>
    </row>
    <row r="8443" spans="3:11">
      <c r="C8443" s="11"/>
      <c r="K8443" s="11"/>
    </row>
    <row r="8444" spans="3:11">
      <c r="C8444" s="11"/>
      <c r="K8444" s="11"/>
    </row>
    <row r="8445" spans="3:11">
      <c r="C8445" s="11"/>
      <c r="K8445" s="11"/>
    </row>
    <row r="8446" spans="3:11">
      <c r="C8446" s="11"/>
      <c r="K8446" s="11"/>
    </row>
    <row r="8447" spans="3:11">
      <c r="C8447" s="11"/>
      <c r="K8447" s="11"/>
    </row>
    <row r="8448" spans="3:11">
      <c r="C8448" s="11"/>
      <c r="K8448" s="11"/>
    </row>
    <row r="8449" spans="3:11">
      <c r="C8449" s="11"/>
      <c r="K8449" s="11"/>
    </row>
    <row r="8450" spans="3:11">
      <c r="C8450" s="11"/>
      <c r="K8450" s="11"/>
    </row>
    <row r="8451" spans="3:11">
      <c r="C8451" s="11"/>
      <c r="K8451" s="11"/>
    </row>
    <row r="8452" spans="3:11">
      <c r="C8452" s="11"/>
      <c r="K8452" s="11"/>
    </row>
    <row r="8453" spans="3:11">
      <c r="C8453" s="11"/>
      <c r="K8453" s="11"/>
    </row>
    <row r="8454" spans="3:11">
      <c r="C8454" s="11"/>
      <c r="K8454" s="11"/>
    </row>
    <row r="8455" spans="3:11">
      <c r="C8455" s="11"/>
      <c r="K8455" s="11"/>
    </row>
    <row r="8456" spans="3:11">
      <c r="C8456" s="11"/>
      <c r="K8456" s="11"/>
    </row>
    <row r="8457" spans="3:11">
      <c r="C8457" s="11"/>
      <c r="K8457" s="11"/>
    </row>
    <row r="8458" spans="3:11">
      <c r="C8458" s="11"/>
      <c r="K8458" s="11"/>
    </row>
    <row r="8459" spans="3:11">
      <c r="C8459" s="11"/>
      <c r="K8459" s="11"/>
    </row>
    <row r="8460" spans="3:11">
      <c r="C8460" s="11"/>
      <c r="K8460" s="11"/>
    </row>
    <row r="8461" spans="3:11">
      <c r="C8461" s="11"/>
      <c r="K8461" s="11"/>
    </row>
    <row r="8462" spans="3:11">
      <c r="C8462" s="11"/>
      <c r="K8462" s="11"/>
    </row>
    <row r="8463" spans="3:11">
      <c r="C8463" s="11"/>
      <c r="K8463" s="11"/>
    </row>
    <row r="8464" spans="3:11">
      <c r="C8464" s="11"/>
      <c r="K8464" s="11"/>
    </row>
    <row r="8465" spans="3:11">
      <c r="C8465" s="11"/>
      <c r="K8465" s="11"/>
    </row>
    <row r="8466" spans="3:11">
      <c r="C8466" s="11"/>
      <c r="K8466" s="11"/>
    </row>
    <row r="8467" spans="3:11">
      <c r="C8467" s="11"/>
      <c r="K8467" s="11"/>
    </row>
    <row r="8468" spans="3:11">
      <c r="C8468" s="11"/>
      <c r="K8468" s="11"/>
    </row>
    <row r="8469" spans="3:11">
      <c r="C8469" s="11"/>
      <c r="K8469" s="11"/>
    </row>
    <row r="8470" spans="3:11">
      <c r="C8470" s="11"/>
      <c r="K8470" s="11"/>
    </row>
    <row r="8471" spans="3:11">
      <c r="C8471" s="11"/>
      <c r="K8471" s="11"/>
    </row>
    <row r="8472" spans="3:11">
      <c r="C8472" s="11"/>
      <c r="K8472" s="11"/>
    </row>
    <row r="8473" spans="3:11">
      <c r="C8473" s="11"/>
      <c r="K8473" s="11"/>
    </row>
    <row r="8474" spans="3:11">
      <c r="C8474" s="11"/>
      <c r="K8474" s="11"/>
    </row>
    <row r="8475" spans="3:11">
      <c r="C8475" s="11"/>
      <c r="K8475" s="11"/>
    </row>
    <row r="8476" spans="3:11">
      <c r="C8476" s="11"/>
      <c r="K8476" s="11"/>
    </row>
    <row r="8477" spans="3:11">
      <c r="C8477" s="11"/>
      <c r="K8477" s="11"/>
    </row>
    <row r="8478" spans="3:11">
      <c r="C8478" s="11"/>
      <c r="K8478" s="11"/>
    </row>
    <row r="8479" spans="3:11">
      <c r="C8479" s="11"/>
      <c r="K8479" s="11"/>
    </row>
    <row r="8480" spans="3:11">
      <c r="C8480" s="11"/>
      <c r="K8480" s="11"/>
    </row>
    <row r="8481" spans="3:11">
      <c r="C8481" s="11"/>
      <c r="K8481" s="11"/>
    </row>
    <row r="8482" spans="3:11">
      <c r="C8482" s="11"/>
      <c r="K8482" s="11"/>
    </row>
    <row r="8483" spans="3:11">
      <c r="C8483" s="11"/>
      <c r="K8483" s="11"/>
    </row>
    <row r="8484" spans="3:11">
      <c r="C8484" s="11"/>
      <c r="K8484" s="11"/>
    </row>
    <row r="8485" spans="3:11">
      <c r="C8485" s="11"/>
      <c r="K8485" s="11"/>
    </row>
    <row r="8486" spans="3:11">
      <c r="C8486" s="11"/>
      <c r="K8486" s="11"/>
    </row>
    <row r="8487" spans="3:11">
      <c r="C8487" s="11"/>
      <c r="K8487" s="11"/>
    </row>
    <row r="8488" spans="3:11">
      <c r="C8488" s="11"/>
      <c r="K8488" s="11"/>
    </row>
    <row r="8489" spans="3:11">
      <c r="C8489" s="11"/>
      <c r="K8489" s="11"/>
    </row>
    <row r="8490" spans="3:11">
      <c r="C8490" s="11"/>
      <c r="K8490" s="11"/>
    </row>
    <row r="8491" spans="3:11">
      <c r="C8491" s="11"/>
      <c r="K8491" s="11"/>
    </row>
    <row r="8492" spans="3:11">
      <c r="C8492" s="11"/>
      <c r="K8492" s="11"/>
    </row>
    <row r="8493" spans="3:11">
      <c r="C8493" s="11"/>
      <c r="K8493" s="11"/>
    </row>
    <row r="8494" spans="3:11">
      <c r="C8494" s="11"/>
      <c r="K8494" s="11"/>
    </row>
    <row r="8495" spans="3:11">
      <c r="C8495" s="11"/>
      <c r="K8495" s="11"/>
    </row>
    <row r="8496" spans="3:11">
      <c r="C8496" s="11"/>
      <c r="K8496" s="11"/>
    </row>
    <row r="8497" spans="3:11">
      <c r="C8497" s="11"/>
      <c r="K8497" s="11"/>
    </row>
    <row r="8498" spans="3:11">
      <c r="C8498" s="11"/>
      <c r="K8498" s="11"/>
    </row>
    <row r="8499" spans="3:11">
      <c r="C8499" s="11"/>
      <c r="K8499" s="11"/>
    </row>
    <row r="8500" spans="3:11">
      <c r="C8500" s="11"/>
      <c r="K8500" s="11"/>
    </row>
    <row r="8501" spans="3:11">
      <c r="C8501" s="11"/>
      <c r="K8501" s="11"/>
    </row>
    <row r="8502" spans="3:11">
      <c r="C8502" s="11"/>
      <c r="K8502" s="11"/>
    </row>
    <row r="8503" spans="3:11">
      <c r="C8503" s="11"/>
      <c r="K8503" s="11"/>
    </row>
    <row r="8504" spans="3:11">
      <c r="C8504" s="11"/>
      <c r="K8504" s="11"/>
    </row>
    <row r="8505" spans="3:11">
      <c r="C8505" s="11"/>
      <c r="K8505" s="11"/>
    </row>
    <row r="8506" spans="3:11">
      <c r="C8506" s="11"/>
      <c r="K8506" s="11"/>
    </row>
    <row r="8507" spans="3:11">
      <c r="C8507" s="11"/>
      <c r="K8507" s="11"/>
    </row>
    <row r="8508" spans="3:11">
      <c r="C8508" s="11"/>
      <c r="K8508" s="11"/>
    </row>
    <row r="8509" spans="3:11">
      <c r="C8509" s="11"/>
      <c r="K8509" s="11"/>
    </row>
    <row r="8510" spans="3:11">
      <c r="C8510" s="11"/>
      <c r="K8510" s="11"/>
    </row>
    <row r="8511" spans="3:11">
      <c r="C8511" s="11"/>
      <c r="K8511" s="11"/>
    </row>
    <row r="8512" spans="3:11">
      <c r="C8512" s="11"/>
      <c r="K8512" s="11"/>
    </row>
    <row r="8513" spans="3:11">
      <c r="C8513" s="11"/>
      <c r="K8513" s="11"/>
    </row>
    <row r="8514" spans="3:11">
      <c r="C8514" s="11"/>
      <c r="K8514" s="11"/>
    </row>
    <row r="8515" spans="3:11">
      <c r="C8515" s="11"/>
      <c r="K8515" s="11"/>
    </row>
    <row r="8516" spans="3:11">
      <c r="C8516" s="11"/>
      <c r="K8516" s="11"/>
    </row>
    <row r="8517" spans="3:11">
      <c r="C8517" s="11"/>
      <c r="K8517" s="11"/>
    </row>
    <row r="8518" spans="3:11">
      <c r="C8518" s="11"/>
      <c r="K8518" s="11"/>
    </row>
    <row r="8519" spans="3:11">
      <c r="C8519" s="11"/>
      <c r="K8519" s="11"/>
    </row>
    <row r="8520" spans="3:11">
      <c r="C8520" s="11"/>
      <c r="K8520" s="11"/>
    </row>
    <row r="8521" spans="3:11">
      <c r="C8521" s="11"/>
      <c r="K8521" s="11"/>
    </row>
    <row r="8522" spans="3:11">
      <c r="C8522" s="11"/>
      <c r="K8522" s="11"/>
    </row>
    <row r="8523" spans="3:11">
      <c r="C8523" s="11"/>
      <c r="K8523" s="11"/>
    </row>
    <row r="8524" spans="3:11">
      <c r="C8524" s="11"/>
      <c r="K8524" s="11"/>
    </row>
    <row r="8525" spans="3:11">
      <c r="C8525" s="11"/>
      <c r="K8525" s="11"/>
    </row>
    <row r="8526" spans="3:11">
      <c r="C8526" s="11"/>
      <c r="K8526" s="11"/>
    </row>
    <row r="8527" spans="3:11">
      <c r="C8527" s="11"/>
      <c r="K8527" s="11"/>
    </row>
    <row r="8528" spans="3:11">
      <c r="C8528" s="11"/>
      <c r="K8528" s="11"/>
    </row>
    <row r="8529" spans="3:11">
      <c r="C8529" s="11"/>
      <c r="K8529" s="11"/>
    </row>
    <row r="8530" spans="3:11">
      <c r="C8530" s="11"/>
      <c r="K8530" s="11"/>
    </row>
    <row r="8531" spans="3:11">
      <c r="C8531" s="11"/>
      <c r="K8531" s="11"/>
    </row>
    <row r="8532" spans="3:11">
      <c r="C8532" s="11"/>
      <c r="K8532" s="11"/>
    </row>
    <row r="8533" spans="3:11">
      <c r="C8533" s="11"/>
      <c r="K8533" s="11"/>
    </row>
    <row r="8534" spans="3:11">
      <c r="C8534" s="11"/>
      <c r="K8534" s="11"/>
    </row>
    <row r="8535" spans="3:11">
      <c r="C8535" s="11"/>
      <c r="K8535" s="11"/>
    </row>
    <row r="8536" spans="3:11">
      <c r="C8536" s="11"/>
      <c r="K8536" s="11"/>
    </row>
    <row r="8537" spans="3:11">
      <c r="C8537" s="11"/>
      <c r="K8537" s="11"/>
    </row>
    <row r="8538" spans="3:11">
      <c r="C8538" s="11"/>
      <c r="K8538" s="11"/>
    </row>
    <row r="8539" spans="3:11">
      <c r="C8539" s="11"/>
      <c r="K8539" s="11"/>
    </row>
    <row r="8540" spans="3:11">
      <c r="C8540" s="11"/>
      <c r="K8540" s="11"/>
    </row>
    <row r="8541" spans="3:11">
      <c r="C8541" s="11"/>
      <c r="K8541" s="11"/>
    </row>
    <row r="8542" spans="3:11">
      <c r="C8542" s="11"/>
      <c r="K8542" s="11"/>
    </row>
    <row r="8543" spans="3:11">
      <c r="C8543" s="11"/>
      <c r="K8543" s="11"/>
    </row>
    <row r="8544" spans="3:11">
      <c r="C8544" s="11"/>
      <c r="K8544" s="11"/>
    </row>
    <row r="8545" spans="3:11">
      <c r="C8545" s="11"/>
      <c r="K8545" s="11"/>
    </row>
    <row r="8546" spans="3:11">
      <c r="C8546" s="11"/>
      <c r="K8546" s="11"/>
    </row>
    <row r="8547" spans="3:11">
      <c r="C8547" s="11"/>
      <c r="K8547" s="11"/>
    </row>
    <row r="8548" spans="3:11">
      <c r="C8548" s="11"/>
      <c r="K8548" s="11"/>
    </row>
    <row r="8549" spans="3:11">
      <c r="C8549" s="11"/>
      <c r="K8549" s="11"/>
    </row>
    <row r="8550" spans="3:11">
      <c r="C8550" s="11"/>
      <c r="K8550" s="11"/>
    </row>
    <row r="8551" spans="3:11">
      <c r="C8551" s="11"/>
      <c r="K8551" s="11"/>
    </row>
    <row r="8552" spans="3:11">
      <c r="C8552" s="11"/>
      <c r="K8552" s="11"/>
    </row>
    <row r="8553" spans="3:11">
      <c r="C8553" s="11"/>
      <c r="K8553" s="11"/>
    </row>
    <row r="8554" spans="3:11">
      <c r="C8554" s="11"/>
      <c r="K8554" s="11"/>
    </row>
    <row r="8555" spans="3:11">
      <c r="C8555" s="11"/>
      <c r="K8555" s="11"/>
    </row>
    <row r="8556" spans="3:11">
      <c r="C8556" s="11"/>
      <c r="K8556" s="11"/>
    </row>
    <row r="8557" spans="3:11">
      <c r="C8557" s="11"/>
      <c r="K8557" s="11"/>
    </row>
    <row r="8558" spans="3:11">
      <c r="C8558" s="11"/>
      <c r="K8558" s="11"/>
    </row>
    <row r="8559" spans="3:11">
      <c r="C8559" s="11"/>
      <c r="K8559" s="11"/>
    </row>
    <row r="8560" spans="3:11">
      <c r="C8560" s="11"/>
      <c r="K8560" s="11"/>
    </row>
    <row r="8561" spans="3:11">
      <c r="C8561" s="11"/>
      <c r="K8561" s="11"/>
    </row>
    <row r="8562" spans="3:11">
      <c r="C8562" s="11"/>
      <c r="K8562" s="11"/>
    </row>
    <row r="8563" spans="3:11">
      <c r="C8563" s="11"/>
      <c r="K8563" s="11"/>
    </row>
    <row r="8564" spans="3:11">
      <c r="C8564" s="11"/>
      <c r="K8564" s="11"/>
    </row>
    <row r="8565" spans="3:11">
      <c r="C8565" s="11"/>
      <c r="K8565" s="11"/>
    </row>
    <row r="8566" spans="3:11">
      <c r="C8566" s="11"/>
      <c r="K8566" s="11"/>
    </row>
    <row r="8567" spans="3:11">
      <c r="C8567" s="11"/>
      <c r="K8567" s="11"/>
    </row>
    <row r="8568" spans="3:11">
      <c r="C8568" s="11"/>
      <c r="K8568" s="11"/>
    </row>
    <row r="8569" spans="3:11">
      <c r="C8569" s="11"/>
      <c r="K8569" s="11"/>
    </row>
    <row r="8570" spans="3:11">
      <c r="C8570" s="11"/>
      <c r="K8570" s="11"/>
    </row>
    <row r="8571" spans="3:11">
      <c r="C8571" s="11"/>
      <c r="K8571" s="11"/>
    </row>
    <row r="8572" spans="3:11">
      <c r="C8572" s="11"/>
      <c r="K8572" s="11"/>
    </row>
    <row r="8573" spans="3:11">
      <c r="C8573" s="11"/>
      <c r="K8573" s="11"/>
    </row>
    <row r="8574" spans="3:11">
      <c r="C8574" s="11"/>
      <c r="K8574" s="11"/>
    </row>
    <row r="8575" spans="3:11">
      <c r="C8575" s="11"/>
      <c r="K8575" s="11"/>
    </row>
    <row r="8576" spans="3:11">
      <c r="C8576" s="11"/>
      <c r="K8576" s="11"/>
    </row>
    <row r="8577" spans="3:11">
      <c r="C8577" s="11"/>
      <c r="K8577" s="11"/>
    </row>
    <row r="8578" spans="3:11">
      <c r="C8578" s="11"/>
      <c r="K8578" s="11"/>
    </row>
    <row r="8579" spans="3:11">
      <c r="C8579" s="11"/>
      <c r="K8579" s="11"/>
    </row>
    <row r="8580" spans="3:11">
      <c r="C8580" s="11"/>
      <c r="K8580" s="11"/>
    </row>
    <row r="8581" spans="3:11">
      <c r="C8581" s="11"/>
      <c r="K8581" s="11"/>
    </row>
    <row r="8582" spans="3:11">
      <c r="C8582" s="11"/>
      <c r="K8582" s="11"/>
    </row>
    <row r="8583" spans="3:11">
      <c r="C8583" s="11"/>
      <c r="K8583" s="11"/>
    </row>
    <row r="8584" spans="3:11">
      <c r="C8584" s="11"/>
      <c r="K8584" s="11"/>
    </row>
    <row r="8585" spans="3:11">
      <c r="C8585" s="11"/>
      <c r="K8585" s="11"/>
    </row>
    <row r="8586" spans="3:11">
      <c r="C8586" s="11"/>
      <c r="K8586" s="11"/>
    </row>
    <row r="8587" spans="3:11">
      <c r="C8587" s="11"/>
      <c r="K8587" s="11"/>
    </row>
    <row r="8588" spans="3:11">
      <c r="C8588" s="11"/>
      <c r="K8588" s="11"/>
    </row>
    <row r="8589" spans="3:11">
      <c r="C8589" s="11"/>
      <c r="K8589" s="11"/>
    </row>
    <row r="8590" spans="3:11">
      <c r="C8590" s="11"/>
      <c r="K8590" s="11"/>
    </row>
    <row r="8591" spans="3:11">
      <c r="C8591" s="11"/>
      <c r="K8591" s="11"/>
    </row>
    <row r="8592" spans="3:11">
      <c r="C8592" s="11"/>
      <c r="K8592" s="11"/>
    </row>
    <row r="8593" spans="3:11">
      <c r="C8593" s="11"/>
      <c r="K8593" s="11"/>
    </row>
    <row r="8594" spans="3:11">
      <c r="C8594" s="11"/>
      <c r="K8594" s="11"/>
    </row>
    <row r="8595" spans="3:11">
      <c r="C8595" s="11"/>
      <c r="K8595" s="11"/>
    </row>
    <row r="8596" spans="3:11">
      <c r="C8596" s="11"/>
      <c r="K8596" s="11"/>
    </row>
    <row r="8597" spans="3:11">
      <c r="C8597" s="11"/>
      <c r="K8597" s="11"/>
    </row>
    <row r="8598" spans="3:11">
      <c r="C8598" s="11"/>
      <c r="K8598" s="11"/>
    </row>
    <row r="8599" spans="3:11">
      <c r="C8599" s="11"/>
      <c r="K8599" s="11"/>
    </row>
    <row r="8600" spans="3:11">
      <c r="C8600" s="11"/>
      <c r="K8600" s="11"/>
    </row>
    <row r="8601" spans="3:11">
      <c r="C8601" s="11"/>
      <c r="K8601" s="11"/>
    </row>
    <row r="8602" spans="3:11">
      <c r="C8602" s="11"/>
      <c r="K8602" s="11"/>
    </row>
    <row r="8603" spans="3:11">
      <c r="C8603" s="11"/>
      <c r="K8603" s="11"/>
    </row>
    <row r="8604" spans="3:11">
      <c r="C8604" s="11"/>
      <c r="K8604" s="11"/>
    </row>
    <row r="8605" spans="3:11">
      <c r="C8605" s="11"/>
      <c r="K8605" s="11"/>
    </row>
    <row r="8606" spans="3:11">
      <c r="C8606" s="11"/>
      <c r="K8606" s="11"/>
    </row>
    <row r="8607" spans="3:11">
      <c r="C8607" s="11"/>
      <c r="K8607" s="11"/>
    </row>
    <row r="8608" spans="3:11">
      <c r="C8608" s="11"/>
      <c r="K8608" s="11"/>
    </row>
    <row r="8609" spans="3:11">
      <c r="C8609" s="11"/>
      <c r="K8609" s="11"/>
    </row>
    <row r="8610" spans="3:11">
      <c r="C8610" s="11"/>
      <c r="K8610" s="11"/>
    </row>
    <row r="8611" spans="3:11">
      <c r="C8611" s="11"/>
      <c r="K8611" s="11"/>
    </row>
    <row r="8612" spans="3:11">
      <c r="C8612" s="11"/>
      <c r="K8612" s="11"/>
    </row>
    <row r="8613" spans="3:11">
      <c r="C8613" s="11"/>
      <c r="K8613" s="11"/>
    </row>
    <row r="8614" spans="3:11">
      <c r="C8614" s="11"/>
      <c r="K8614" s="11"/>
    </row>
    <row r="8615" spans="3:11">
      <c r="C8615" s="11"/>
      <c r="K8615" s="11"/>
    </row>
    <row r="8616" spans="3:11">
      <c r="C8616" s="11"/>
      <c r="K8616" s="11"/>
    </row>
    <row r="8617" spans="3:11">
      <c r="C8617" s="11"/>
      <c r="K8617" s="11"/>
    </row>
    <row r="8618" spans="3:11">
      <c r="C8618" s="11"/>
      <c r="K8618" s="11"/>
    </row>
    <row r="8619" spans="3:11">
      <c r="C8619" s="11"/>
      <c r="K8619" s="11"/>
    </row>
    <row r="8620" spans="3:11">
      <c r="C8620" s="11"/>
      <c r="K8620" s="11"/>
    </row>
    <row r="8621" spans="3:11">
      <c r="C8621" s="11"/>
      <c r="K8621" s="11"/>
    </row>
    <row r="8622" spans="3:11">
      <c r="C8622" s="11"/>
      <c r="K8622" s="11"/>
    </row>
    <row r="8623" spans="3:11">
      <c r="C8623" s="11"/>
      <c r="K8623" s="11"/>
    </row>
    <row r="8624" spans="3:11">
      <c r="C8624" s="11"/>
      <c r="K8624" s="11"/>
    </row>
    <row r="8625" spans="3:11">
      <c r="C8625" s="11"/>
      <c r="K8625" s="11"/>
    </row>
    <row r="8626" spans="3:11">
      <c r="C8626" s="11"/>
      <c r="K8626" s="11"/>
    </row>
    <row r="8627" spans="3:11">
      <c r="C8627" s="11"/>
      <c r="K8627" s="11"/>
    </row>
    <row r="8628" spans="3:11">
      <c r="C8628" s="11"/>
      <c r="K8628" s="11"/>
    </row>
    <row r="8629" spans="3:11">
      <c r="C8629" s="11"/>
      <c r="K8629" s="11"/>
    </row>
    <row r="8630" spans="3:11">
      <c r="C8630" s="11"/>
      <c r="K8630" s="11"/>
    </row>
    <row r="8631" spans="3:11">
      <c r="C8631" s="11"/>
      <c r="K8631" s="11"/>
    </row>
    <row r="8632" spans="3:11">
      <c r="C8632" s="11"/>
      <c r="K8632" s="11"/>
    </row>
    <row r="8633" spans="3:11">
      <c r="C8633" s="11"/>
      <c r="K8633" s="11"/>
    </row>
    <row r="8634" spans="3:11">
      <c r="C8634" s="11"/>
      <c r="K8634" s="11"/>
    </row>
    <row r="8635" spans="3:11">
      <c r="C8635" s="11"/>
      <c r="K8635" s="11"/>
    </row>
    <row r="8636" spans="3:11">
      <c r="C8636" s="11"/>
      <c r="K8636" s="11"/>
    </row>
    <row r="8637" spans="3:11">
      <c r="C8637" s="11"/>
      <c r="K8637" s="11"/>
    </row>
    <row r="8638" spans="3:11">
      <c r="C8638" s="11"/>
      <c r="K8638" s="11"/>
    </row>
    <row r="8639" spans="3:11">
      <c r="C8639" s="11"/>
      <c r="K8639" s="11"/>
    </row>
    <row r="8640" spans="3:11">
      <c r="C8640" s="11"/>
      <c r="K8640" s="11"/>
    </row>
    <row r="8641" spans="3:11">
      <c r="C8641" s="11"/>
      <c r="K8641" s="11"/>
    </row>
    <row r="8642" spans="3:11">
      <c r="C8642" s="11"/>
      <c r="K8642" s="11"/>
    </row>
    <row r="8643" spans="3:11">
      <c r="C8643" s="11"/>
      <c r="K8643" s="11"/>
    </row>
    <row r="8644" spans="3:11">
      <c r="C8644" s="11"/>
      <c r="K8644" s="11"/>
    </row>
    <row r="8645" spans="3:11">
      <c r="C8645" s="11"/>
      <c r="K8645" s="11"/>
    </row>
    <row r="8646" spans="3:11">
      <c r="C8646" s="11"/>
      <c r="K8646" s="11"/>
    </row>
    <row r="8647" spans="3:11">
      <c r="C8647" s="11"/>
      <c r="K8647" s="11"/>
    </row>
    <row r="8648" spans="3:11">
      <c r="C8648" s="11"/>
      <c r="K8648" s="11"/>
    </row>
    <row r="8649" spans="3:11">
      <c r="C8649" s="11"/>
      <c r="K8649" s="11"/>
    </row>
    <row r="8650" spans="3:11">
      <c r="C8650" s="11"/>
      <c r="K8650" s="11"/>
    </row>
    <row r="8651" spans="3:11">
      <c r="C8651" s="11"/>
      <c r="K8651" s="11"/>
    </row>
    <row r="8652" spans="3:11">
      <c r="C8652" s="11"/>
      <c r="K8652" s="11"/>
    </row>
    <row r="8653" spans="3:11">
      <c r="C8653" s="11"/>
      <c r="K8653" s="11"/>
    </row>
    <row r="8654" spans="3:11">
      <c r="C8654" s="11"/>
      <c r="K8654" s="11"/>
    </row>
    <row r="8655" spans="3:11">
      <c r="C8655" s="11"/>
      <c r="K8655" s="11"/>
    </row>
    <row r="8656" spans="3:11">
      <c r="C8656" s="11"/>
      <c r="K8656" s="11"/>
    </row>
    <row r="8657" spans="3:11">
      <c r="C8657" s="11"/>
      <c r="K8657" s="11"/>
    </row>
    <row r="8658" spans="3:11">
      <c r="C8658" s="11"/>
      <c r="K8658" s="11"/>
    </row>
    <row r="8659" spans="3:11">
      <c r="C8659" s="11"/>
      <c r="K8659" s="11"/>
    </row>
    <row r="8660" spans="3:11">
      <c r="C8660" s="11"/>
      <c r="K8660" s="11"/>
    </row>
    <row r="8661" spans="3:11">
      <c r="C8661" s="11"/>
      <c r="K8661" s="11"/>
    </row>
    <row r="8662" spans="3:11">
      <c r="C8662" s="11"/>
      <c r="K8662" s="11"/>
    </row>
    <row r="8663" spans="3:11">
      <c r="C8663" s="11"/>
      <c r="K8663" s="11"/>
    </row>
    <row r="8664" spans="3:11">
      <c r="C8664" s="11"/>
      <c r="K8664" s="11"/>
    </row>
    <row r="8665" spans="3:11">
      <c r="C8665" s="11"/>
      <c r="K8665" s="11"/>
    </row>
    <row r="8666" spans="3:11">
      <c r="C8666" s="11"/>
      <c r="K8666" s="11"/>
    </row>
    <row r="8667" spans="3:11">
      <c r="C8667" s="11"/>
      <c r="K8667" s="11"/>
    </row>
    <row r="8668" spans="3:11">
      <c r="C8668" s="11"/>
      <c r="K8668" s="11"/>
    </row>
    <row r="8669" spans="3:11">
      <c r="C8669" s="11"/>
      <c r="K8669" s="11"/>
    </row>
    <row r="8670" spans="3:11">
      <c r="C8670" s="11"/>
      <c r="K8670" s="11"/>
    </row>
    <row r="8671" spans="3:11">
      <c r="C8671" s="11"/>
      <c r="K8671" s="11"/>
    </row>
    <row r="8672" spans="3:11">
      <c r="C8672" s="11"/>
      <c r="K8672" s="11"/>
    </row>
    <row r="8673" spans="3:11">
      <c r="C8673" s="11"/>
      <c r="K8673" s="11"/>
    </row>
    <row r="8674" spans="3:11">
      <c r="C8674" s="11"/>
      <c r="K8674" s="11"/>
    </row>
    <row r="8675" spans="3:11">
      <c r="C8675" s="11"/>
      <c r="K8675" s="11"/>
    </row>
    <row r="8676" spans="3:11">
      <c r="C8676" s="11"/>
      <c r="K8676" s="11"/>
    </row>
    <row r="8677" spans="3:11">
      <c r="C8677" s="11"/>
      <c r="K8677" s="11"/>
    </row>
    <row r="8678" spans="3:11">
      <c r="C8678" s="11"/>
      <c r="K8678" s="11"/>
    </row>
    <row r="8679" spans="3:11">
      <c r="C8679" s="11"/>
      <c r="K8679" s="11"/>
    </row>
    <row r="8680" spans="3:11">
      <c r="C8680" s="11"/>
      <c r="K8680" s="11"/>
    </row>
    <row r="8681" spans="3:11">
      <c r="C8681" s="11"/>
      <c r="K8681" s="11"/>
    </row>
    <row r="8682" spans="3:11">
      <c r="C8682" s="11"/>
      <c r="K8682" s="11"/>
    </row>
    <row r="8683" spans="3:11">
      <c r="C8683" s="11"/>
      <c r="K8683" s="11"/>
    </row>
    <row r="8684" spans="3:11">
      <c r="C8684" s="11"/>
      <c r="K8684" s="11"/>
    </row>
    <row r="8685" spans="3:11">
      <c r="C8685" s="11"/>
      <c r="K8685" s="11"/>
    </row>
    <row r="8686" spans="3:11">
      <c r="C8686" s="11"/>
      <c r="K8686" s="11"/>
    </row>
    <row r="8687" spans="3:11">
      <c r="C8687" s="11"/>
      <c r="K8687" s="11"/>
    </row>
    <row r="8688" spans="3:11">
      <c r="C8688" s="11"/>
      <c r="K8688" s="11"/>
    </row>
    <row r="8689" spans="3:11">
      <c r="C8689" s="11"/>
      <c r="K8689" s="11"/>
    </row>
    <row r="8690" spans="3:11">
      <c r="C8690" s="11"/>
      <c r="K8690" s="11"/>
    </row>
    <row r="8691" spans="3:11">
      <c r="C8691" s="11"/>
      <c r="K8691" s="11"/>
    </row>
    <row r="8692" spans="3:11">
      <c r="C8692" s="11"/>
      <c r="K8692" s="11"/>
    </row>
    <row r="8693" spans="3:11">
      <c r="C8693" s="11"/>
      <c r="K8693" s="11"/>
    </row>
    <row r="8694" spans="3:11">
      <c r="C8694" s="11"/>
      <c r="K8694" s="11"/>
    </row>
    <row r="8695" spans="3:11">
      <c r="C8695" s="11"/>
      <c r="K8695" s="11"/>
    </row>
    <row r="8696" spans="3:11">
      <c r="C8696" s="11"/>
      <c r="K8696" s="11"/>
    </row>
    <row r="8697" spans="3:11">
      <c r="C8697" s="11"/>
      <c r="K8697" s="11"/>
    </row>
    <row r="8698" spans="3:11">
      <c r="C8698" s="11"/>
      <c r="K8698" s="11"/>
    </row>
    <row r="8699" spans="3:11">
      <c r="C8699" s="11"/>
      <c r="K8699" s="11"/>
    </row>
    <row r="8700" spans="3:11">
      <c r="C8700" s="11"/>
      <c r="K8700" s="11"/>
    </row>
    <row r="8701" spans="3:11">
      <c r="C8701" s="11"/>
      <c r="K8701" s="11"/>
    </row>
    <row r="8702" spans="3:11">
      <c r="C8702" s="11"/>
      <c r="K8702" s="11"/>
    </row>
    <row r="8703" spans="3:11">
      <c r="C8703" s="11"/>
      <c r="K8703" s="11"/>
    </row>
    <row r="8704" spans="3:11">
      <c r="C8704" s="11"/>
      <c r="K8704" s="11"/>
    </row>
    <row r="8705" spans="3:11">
      <c r="C8705" s="11"/>
      <c r="K8705" s="11"/>
    </row>
    <row r="8706" spans="3:11">
      <c r="C8706" s="11"/>
      <c r="K8706" s="11"/>
    </row>
    <row r="8707" spans="3:11">
      <c r="C8707" s="11"/>
      <c r="K8707" s="11"/>
    </row>
    <row r="8708" spans="3:11">
      <c r="C8708" s="11"/>
      <c r="K8708" s="11"/>
    </row>
    <row r="8709" spans="3:11">
      <c r="C8709" s="11"/>
      <c r="K8709" s="11"/>
    </row>
    <row r="8710" spans="3:11">
      <c r="C8710" s="11"/>
      <c r="K8710" s="11"/>
    </row>
    <row r="8711" spans="3:11">
      <c r="C8711" s="11"/>
      <c r="K8711" s="11"/>
    </row>
    <row r="8712" spans="3:11">
      <c r="C8712" s="11"/>
      <c r="K8712" s="11"/>
    </row>
    <row r="8713" spans="3:11">
      <c r="C8713" s="11"/>
      <c r="K8713" s="11"/>
    </row>
    <row r="8714" spans="3:11">
      <c r="C8714" s="11"/>
      <c r="K8714" s="11"/>
    </row>
    <row r="8715" spans="3:11">
      <c r="C8715" s="11"/>
      <c r="K8715" s="11"/>
    </row>
    <row r="8716" spans="3:11">
      <c r="C8716" s="11"/>
      <c r="K8716" s="11"/>
    </row>
    <row r="8717" spans="3:11">
      <c r="C8717" s="11"/>
      <c r="K8717" s="11"/>
    </row>
    <row r="8718" spans="3:11">
      <c r="C8718" s="11"/>
      <c r="K8718" s="11"/>
    </row>
    <row r="8719" spans="3:11">
      <c r="C8719" s="11"/>
      <c r="K8719" s="11"/>
    </row>
    <row r="8720" spans="3:11">
      <c r="C8720" s="11"/>
      <c r="K8720" s="11"/>
    </row>
    <row r="8721" spans="3:11">
      <c r="C8721" s="11"/>
      <c r="K8721" s="11"/>
    </row>
    <row r="8722" spans="3:11">
      <c r="C8722" s="11"/>
      <c r="K8722" s="11"/>
    </row>
    <row r="8723" spans="3:11">
      <c r="C8723" s="11"/>
      <c r="K8723" s="11"/>
    </row>
    <row r="8724" spans="3:11">
      <c r="C8724" s="11"/>
      <c r="K8724" s="11"/>
    </row>
    <row r="8725" spans="3:11">
      <c r="C8725" s="11"/>
      <c r="K8725" s="11"/>
    </row>
    <row r="8726" spans="3:11">
      <c r="C8726" s="11"/>
      <c r="K8726" s="11"/>
    </row>
    <row r="8727" spans="3:11">
      <c r="C8727" s="11"/>
      <c r="K8727" s="11"/>
    </row>
    <row r="8728" spans="3:11">
      <c r="C8728" s="11"/>
      <c r="K8728" s="11"/>
    </row>
    <row r="8729" spans="3:11">
      <c r="C8729" s="11"/>
      <c r="K8729" s="11"/>
    </row>
    <row r="8730" spans="3:11">
      <c r="C8730" s="11"/>
      <c r="K8730" s="11"/>
    </row>
    <row r="8731" spans="3:11">
      <c r="C8731" s="11"/>
      <c r="K8731" s="11"/>
    </row>
    <row r="8732" spans="3:11">
      <c r="C8732" s="11"/>
      <c r="K8732" s="11"/>
    </row>
    <row r="8733" spans="3:11">
      <c r="C8733" s="11"/>
      <c r="K8733" s="11"/>
    </row>
    <row r="8734" spans="3:11">
      <c r="C8734" s="11"/>
      <c r="K8734" s="11"/>
    </row>
    <row r="8735" spans="3:11">
      <c r="C8735" s="11"/>
      <c r="K8735" s="11"/>
    </row>
    <row r="8736" spans="3:11">
      <c r="C8736" s="11"/>
      <c r="K8736" s="11"/>
    </row>
    <row r="8737" spans="3:11">
      <c r="C8737" s="11"/>
      <c r="K8737" s="11"/>
    </row>
    <row r="8738" spans="3:11">
      <c r="C8738" s="11"/>
      <c r="K8738" s="11"/>
    </row>
    <row r="8739" spans="3:11">
      <c r="C8739" s="11"/>
      <c r="K8739" s="11"/>
    </row>
    <row r="8740" spans="3:11">
      <c r="C8740" s="11"/>
      <c r="K8740" s="11"/>
    </row>
    <row r="8741" spans="3:11">
      <c r="C8741" s="11"/>
      <c r="K8741" s="11"/>
    </row>
    <row r="8742" spans="3:11">
      <c r="C8742" s="11"/>
      <c r="K8742" s="11"/>
    </row>
    <row r="8743" spans="3:11">
      <c r="C8743" s="11"/>
      <c r="K8743" s="11"/>
    </row>
    <row r="8744" spans="3:11">
      <c r="C8744" s="11"/>
      <c r="K8744" s="11"/>
    </row>
    <row r="8745" spans="3:11">
      <c r="C8745" s="11"/>
      <c r="K8745" s="11"/>
    </row>
    <row r="8746" spans="3:11">
      <c r="C8746" s="11"/>
      <c r="K8746" s="11"/>
    </row>
    <row r="8747" spans="3:11">
      <c r="C8747" s="11"/>
      <c r="K8747" s="11"/>
    </row>
    <row r="8748" spans="3:11">
      <c r="C8748" s="11"/>
      <c r="K8748" s="11"/>
    </row>
    <row r="8749" spans="3:11">
      <c r="C8749" s="11"/>
      <c r="K8749" s="11"/>
    </row>
    <row r="8750" spans="3:11">
      <c r="C8750" s="11"/>
      <c r="K8750" s="11"/>
    </row>
    <row r="8751" spans="3:11">
      <c r="C8751" s="11"/>
      <c r="K8751" s="11"/>
    </row>
    <row r="8752" spans="3:11">
      <c r="C8752" s="11"/>
      <c r="K8752" s="11"/>
    </row>
    <row r="8753" spans="3:11">
      <c r="C8753" s="11"/>
      <c r="K8753" s="11"/>
    </row>
    <row r="8754" spans="3:11">
      <c r="C8754" s="11"/>
      <c r="K8754" s="11"/>
    </row>
    <row r="8755" spans="3:11">
      <c r="C8755" s="11"/>
      <c r="K8755" s="11"/>
    </row>
    <row r="8756" spans="3:11">
      <c r="C8756" s="11"/>
      <c r="K8756" s="11"/>
    </row>
    <row r="8757" spans="3:11">
      <c r="C8757" s="11"/>
      <c r="K8757" s="11"/>
    </row>
    <row r="8758" spans="3:11">
      <c r="C8758" s="11"/>
      <c r="K8758" s="11"/>
    </row>
    <row r="8759" spans="3:11">
      <c r="C8759" s="11"/>
      <c r="K8759" s="11"/>
    </row>
    <row r="8760" spans="3:11">
      <c r="C8760" s="11"/>
      <c r="K8760" s="11"/>
    </row>
    <row r="8761" spans="3:11">
      <c r="C8761" s="11"/>
      <c r="K8761" s="11"/>
    </row>
    <row r="8762" spans="3:11">
      <c r="C8762" s="11"/>
      <c r="K8762" s="11"/>
    </row>
    <row r="8763" spans="3:11">
      <c r="C8763" s="11"/>
      <c r="K8763" s="11"/>
    </row>
    <row r="8764" spans="3:11">
      <c r="C8764" s="11"/>
      <c r="K8764" s="11"/>
    </row>
    <row r="8765" spans="3:11">
      <c r="C8765" s="11"/>
      <c r="K8765" s="11"/>
    </row>
    <row r="8766" spans="3:11">
      <c r="C8766" s="11"/>
      <c r="K8766" s="11"/>
    </row>
    <row r="8767" spans="3:11">
      <c r="C8767" s="11"/>
      <c r="K8767" s="11"/>
    </row>
    <row r="8768" spans="3:11">
      <c r="C8768" s="11"/>
      <c r="K8768" s="11"/>
    </row>
    <row r="8769" spans="3:11">
      <c r="C8769" s="11"/>
      <c r="K8769" s="11"/>
    </row>
    <row r="8770" spans="3:11">
      <c r="C8770" s="11"/>
      <c r="K8770" s="11"/>
    </row>
    <row r="8771" spans="3:11">
      <c r="C8771" s="11"/>
      <c r="K8771" s="11"/>
    </row>
    <row r="8772" spans="3:11">
      <c r="C8772" s="11"/>
      <c r="K8772" s="11"/>
    </row>
    <row r="8773" spans="3:11">
      <c r="C8773" s="11"/>
      <c r="K8773" s="11"/>
    </row>
    <row r="8774" spans="3:11">
      <c r="C8774" s="11"/>
      <c r="K8774" s="11"/>
    </row>
    <row r="8775" spans="3:11">
      <c r="C8775" s="11"/>
      <c r="K8775" s="11"/>
    </row>
    <row r="8776" spans="3:11">
      <c r="C8776" s="11"/>
      <c r="K8776" s="11"/>
    </row>
    <row r="8777" spans="3:11">
      <c r="C8777" s="11"/>
      <c r="K8777" s="11"/>
    </row>
    <row r="8778" spans="3:11">
      <c r="C8778" s="11"/>
      <c r="K8778" s="11"/>
    </row>
    <row r="8779" spans="3:11">
      <c r="C8779" s="11"/>
      <c r="K8779" s="11"/>
    </row>
    <row r="8780" spans="3:11">
      <c r="C8780" s="11"/>
      <c r="K8780" s="11"/>
    </row>
    <row r="8781" spans="3:11">
      <c r="C8781" s="11"/>
      <c r="K8781" s="11"/>
    </row>
    <row r="8782" spans="3:11">
      <c r="C8782" s="11"/>
      <c r="K8782" s="11"/>
    </row>
    <row r="8783" spans="3:11">
      <c r="C8783" s="11"/>
      <c r="K8783" s="11"/>
    </row>
    <row r="8784" spans="3:11">
      <c r="C8784" s="11"/>
      <c r="K8784" s="11"/>
    </row>
    <row r="8785" spans="3:11">
      <c r="C8785" s="11"/>
      <c r="K8785" s="11"/>
    </row>
    <row r="8786" spans="3:11">
      <c r="C8786" s="11"/>
      <c r="K8786" s="11"/>
    </row>
    <row r="8787" spans="3:11">
      <c r="C8787" s="11"/>
      <c r="K8787" s="11"/>
    </row>
    <row r="8788" spans="3:11">
      <c r="C8788" s="11"/>
      <c r="K8788" s="11"/>
    </row>
    <row r="8789" spans="3:11">
      <c r="C8789" s="11"/>
      <c r="K8789" s="11"/>
    </row>
    <row r="8790" spans="3:11">
      <c r="C8790" s="11"/>
      <c r="K8790" s="11"/>
    </row>
    <row r="8791" spans="3:11">
      <c r="C8791" s="11"/>
      <c r="K8791" s="11"/>
    </row>
    <row r="8792" spans="3:11">
      <c r="C8792" s="11"/>
      <c r="K8792" s="11"/>
    </row>
    <row r="8793" spans="3:11">
      <c r="C8793" s="11"/>
      <c r="K8793" s="11"/>
    </row>
    <row r="8794" spans="3:11">
      <c r="C8794" s="11"/>
      <c r="K8794" s="11"/>
    </row>
    <row r="8795" spans="3:11">
      <c r="C8795" s="11"/>
      <c r="K8795" s="11"/>
    </row>
    <row r="8796" spans="3:11">
      <c r="C8796" s="11"/>
      <c r="K8796" s="11"/>
    </row>
    <row r="8797" spans="3:11">
      <c r="C8797" s="11"/>
      <c r="K8797" s="11"/>
    </row>
    <row r="8798" spans="3:11">
      <c r="C8798" s="11"/>
      <c r="K8798" s="11"/>
    </row>
    <row r="8799" spans="3:11">
      <c r="C8799" s="11"/>
      <c r="K8799" s="11"/>
    </row>
    <row r="8800" spans="3:11">
      <c r="C8800" s="11"/>
      <c r="K8800" s="11"/>
    </row>
    <row r="8801" spans="3:11">
      <c r="C8801" s="11"/>
      <c r="K8801" s="11"/>
    </row>
    <row r="8802" spans="3:11">
      <c r="C8802" s="11"/>
      <c r="K8802" s="11"/>
    </row>
    <row r="8803" spans="3:11">
      <c r="C8803" s="11"/>
      <c r="K8803" s="11"/>
    </row>
    <row r="8804" spans="3:11">
      <c r="C8804" s="11"/>
      <c r="K8804" s="11"/>
    </row>
    <row r="8805" spans="3:11">
      <c r="C8805" s="11"/>
      <c r="K8805" s="11"/>
    </row>
    <row r="8806" spans="3:11">
      <c r="C8806" s="11"/>
      <c r="K8806" s="11"/>
    </row>
    <row r="8807" spans="3:11">
      <c r="C8807" s="11"/>
      <c r="K8807" s="11"/>
    </row>
    <row r="8808" spans="3:11">
      <c r="C8808" s="11"/>
      <c r="K8808" s="11"/>
    </row>
    <row r="8809" spans="3:11">
      <c r="C8809" s="11"/>
      <c r="K8809" s="11"/>
    </row>
    <row r="8810" spans="3:11">
      <c r="C8810" s="11"/>
      <c r="K8810" s="11"/>
    </row>
    <row r="8811" spans="3:11">
      <c r="C8811" s="11"/>
      <c r="K8811" s="11"/>
    </row>
    <row r="8812" spans="3:11">
      <c r="C8812" s="11"/>
      <c r="K8812" s="11"/>
    </row>
    <row r="8813" spans="3:11">
      <c r="C8813" s="11"/>
      <c r="K8813" s="11"/>
    </row>
    <row r="8814" spans="3:11">
      <c r="C8814" s="11"/>
      <c r="K8814" s="11"/>
    </row>
    <row r="8815" spans="3:11">
      <c r="C8815" s="11"/>
      <c r="K8815" s="11"/>
    </row>
    <row r="8816" spans="3:11">
      <c r="C8816" s="11"/>
      <c r="K8816" s="11"/>
    </row>
    <row r="8817" spans="3:11">
      <c r="C8817" s="11"/>
      <c r="K8817" s="11"/>
    </row>
    <row r="8818" spans="3:11">
      <c r="C8818" s="11"/>
      <c r="K8818" s="11"/>
    </row>
    <row r="8819" spans="3:11">
      <c r="C8819" s="11"/>
      <c r="K8819" s="11"/>
    </row>
    <row r="8820" spans="3:11">
      <c r="C8820" s="11"/>
      <c r="K8820" s="11"/>
    </row>
    <row r="8821" spans="3:11">
      <c r="C8821" s="11"/>
      <c r="K8821" s="11"/>
    </row>
    <row r="8822" spans="3:11">
      <c r="C8822" s="11"/>
      <c r="K8822" s="11"/>
    </row>
    <row r="8823" spans="3:11">
      <c r="C8823" s="11"/>
      <c r="K8823" s="11"/>
    </row>
    <row r="8824" spans="3:11">
      <c r="C8824" s="11"/>
      <c r="K8824" s="11"/>
    </row>
    <row r="8825" spans="3:11">
      <c r="C8825" s="11"/>
      <c r="K8825" s="11"/>
    </row>
    <row r="8826" spans="3:11">
      <c r="C8826" s="11"/>
      <c r="K8826" s="11"/>
    </row>
    <row r="8827" spans="3:11">
      <c r="C8827" s="11"/>
      <c r="K8827" s="11"/>
    </row>
    <row r="8828" spans="3:11">
      <c r="C8828" s="11"/>
      <c r="K8828" s="11"/>
    </row>
    <row r="8829" spans="3:11">
      <c r="C8829" s="11"/>
      <c r="K8829" s="11"/>
    </row>
    <row r="8830" spans="3:11">
      <c r="C8830" s="11"/>
      <c r="K8830" s="11"/>
    </row>
    <row r="8831" spans="3:11">
      <c r="C8831" s="11"/>
      <c r="K8831" s="11"/>
    </row>
    <row r="8832" spans="3:11">
      <c r="C8832" s="11"/>
      <c r="K8832" s="11"/>
    </row>
    <row r="8833" spans="3:11">
      <c r="C8833" s="11"/>
      <c r="K8833" s="11"/>
    </row>
    <row r="8834" spans="3:11">
      <c r="C8834" s="11"/>
      <c r="K8834" s="11"/>
    </row>
    <row r="8835" spans="3:11">
      <c r="C8835" s="11"/>
      <c r="K8835" s="11"/>
    </row>
    <row r="8836" spans="3:11">
      <c r="C8836" s="11"/>
      <c r="K8836" s="11"/>
    </row>
    <row r="8837" spans="3:11">
      <c r="C8837" s="11"/>
      <c r="K8837" s="11"/>
    </row>
    <row r="8838" spans="3:11">
      <c r="C8838" s="11"/>
      <c r="K8838" s="11"/>
    </row>
    <row r="8839" spans="3:11">
      <c r="C8839" s="11"/>
      <c r="K8839" s="11"/>
    </row>
    <row r="8840" spans="3:11">
      <c r="C8840" s="11"/>
      <c r="K8840" s="11"/>
    </row>
    <row r="8841" spans="3:11">
      <c r="C8841" s="11"/>
      <c r="K8841" s="11"/>
    </row>
    <row r="8842" spans="3:11">
      <c r="C8842" s="11"/>
      <c r="K8842" s="11"/>
    </row>
    <row r="8843" spans="3:11">
      <c r="C8843" s="11"/>
      <c r="K8843" s="11"/>
    </row>
    <row r="8844" spans="3:11">
      <c r="C8844" s="11"/>
      <c r="K8844" s="11"/>
    </row>
    <row r="8845" spans="3:11">
      <c r="C8845" s="11"/>
      <c r="K8845" s="11"/>
    </row>
    <row r="8846" spans="3:11">
      <c r="C8846" s="11"/>
      <c r="K8846" s="11"/>
    </row>
    <row r="8847" spans="3:11">
      <c r="C8847" s="11"/>
      <c r="K8847" s="11"/>
    </row>
    <row r="8848" spans="3:11">
      <c r="C8848" s="11"/>
      <c r="K8848" s="11"/>
    </row>
    <row r="8849" spans="3:11">
      <c r="C8849" s="11"/>
      <c r="K8849" s="11"/>
    </row>
    <row r="8850" spans="3:11">
      <c r="C8850" s="11"/>
      <c r="K8850" s="11"/>
    </row>
    <row r="8851" spans="3:11">
      <c r="C8851" s="11"/>
      <c r="K8851" s="11"/>
    </row>
    <row r="8852" spans="3:11">
      <c r="C8852" s="11"/>
      <c r="K8852" s="11"/>
    </row>
    <row r="8853" spans="3:11">
      <c r="C8853" s="11"/>
      <c r="K8853" s="11"/>
    </row>
    <row r="8854" spans="3:11">
      <c r="C8854" s="11"/>
      <c r="K8854" s="11"/>
    </row>
    <row r="8855" spans="3:11">
      <c r="C8855" s="11"/>
      <c r="K8855" s="11"/>
    </row>
    <row r="8856" spans="3:11">
      <c r="C8856" s="11"/>
      <c r="K8856" s="11"/>
    </row>
    <row r="8857" spans="3:11">
      <c r="C8857" s="11"/>
      <c r="K8857" s="11"/>
    </row>
    <row r="8858" spans="3:11">
      <c r="C8858" s="11"/>
      <c r="K8858" s="11"/>
    </row>
    <row r="8859" spans="3:11">
      <c r="C8859" s="11"/>
      <c r="K8859" s="11"/>
    </row>
    <row r="8860" spans="3:11">
      <c r="C8860" s="11"/>
      <c r="K8860" s="11"/>
    </row>
    <row r="8861" spans="3:11">
      <c r="C8861" s="11"/>
      <c r="K8861" s="11"/>
    </row>
    <row r="8862" spans="3:11">
      <c r="C8862" s="11"/>
      <c r="K8862" s="11"/>
    </row>
    <row r="8863" spans="3:11">
      <c r="C8863" s="11"/>
      <c r="K8863" s="11"/>
    </row>
    <row r="8864" spans="3:11">
      <c r="C8864" s="11"/>
      <c r="K8864" s="11"/>
    </row>
    <row r="8865" spans="3:11">
      <c r="C8865" s="11"/>
      <c r="K8865" s="11"/>
    </row>
    <row r="8866" spans="3:11">
      <c r="C8866" s="11"/>
      <c r="K8866" s="11"/>
    </row>
    <row r="8867" spans="3:11">
      <c r="C8867" s="11"/>
      <c r="K8867" s="11"/>
    </row>
    <row r="8868" spans="3:11">
      <c r="C8868" s="11"/>
      <c r="K8868" s="11"/>
    </row>
    <row r="8869" spans="3:11">
      <c r="C8869" s="11"/>
      <c r="K8869" s="11"/>
    </row>
    <row r="8870" spans="3:11">
      <c r="C8870" s="11"/>
      <c r="K8870" s="11"/>
    </row>
    <row r="8871" spans="3:11">
      <c r="C8871" s="11"/>
      <c r="K8871" s="11"/>
    </row>
    <row r="8872" spans="3:11">
      <c r="C8872" s="11"/>
      <c r="K8872" s="11"/>
    </row>
    <row r="8873" spans="3:11">
      <c r="C8873" s="11"/>
      <c r="K8873" s="11"/>
    </row>
    <row r="8874" spans="3:11">
      <c r="C8874" s="11"/>
      <c r="K8874" s="11"/>
    </row>
    <row r="8875" spans="3:11">
      <c r="C8875" s="11"/>
      <c r="K8875" s="11"/>
    </row>
    <row r="8876" spans="3:11">
      <c r="C8876" s="11"/>
      <c r="K8876" s="11"/>
    </row>
    <row r="8877" spans="3:11">
      <c r="C8877" s="11"/>
      <c r="K8877" s="11"/>
    </row>
    <row r="8878" spans="3:11">
      <c r="C8878" s="11"/>
      <c r="K8878" s="11"/>
    </row>
    <row r="8879" spans="3:11">
      <c r="C8879" s="11"/>
      <c r="K8879" s="11"/>
    </row>
    <row r="8880" spans="3:11">
      <c r="C8880" s="11"/>
      <c r="K8880" s="11"/>
    </row>
    <row r="8881" spans="3:11">
      <c r="C8881" s="11"/>
      <c r="K8881" s="11"/>
    </row>
    <row r="8882" spans="3:11">
      <c r="C8882" s="11"/>
      <c r="K8882" s="11"/>
    </row>
    <row r="8883" spans="3:11">
      <c r="C8883" s="11"/>
      <c r="K8883" s="11"/>
    </row>
    <row r="8884" spans="3:11">
      <c r="C8884" s="11"/>
      <c r="K8884" s="11"/>
    </row>
    <row r="8885" spans="3:11">
      <c r="C8885" s="11"/>
      <c r="K8885" s="11"/>
    </row>
    <row r="8886" spans="3:11">
      <c r="C8886" s="11"/>
      <c r="K8886" s="11"/>
    </row>
    <row r="8887" spans="3:11">
      <c r="C8887" s="11"/>
      <c r="K8887" s="11"/>
    </row>
    <row r="8888" spans="3:11">
      <c r="C8888" s="11"/>
      <c r="K8888" s="11"/>
    </row>
    <row r="8889" spans="3:11">
      <c r="C8889" s="11"/>
      <c r="K8889" s="11"/>
    </row>
    <row r="8890" spans="3:11">
      <c r="C8890" s="11"/>
      <c r="K8890" s="11"/>
    </row>
    <row r="8891" spans="3:11">
      <c r="C8891" s="11"/>
      <c r="K8891" s="11"/>
    </row>
    <row r="8892" spans="3:11">
      <c r="C8892" s="11"/>
      <c r="K8892" s="11"/>
    </row>
    <row r="8893" spans="3:11">
      <c r="C8893" s="11"/>
      <c r="K8893" s="11"/>
    </row>
    <row r="8894" spans="3:11">
      <c r="C8894" s="11"/>
      <c r="K8894" s="11"/>
    </row>
    <row r="8895" spans="3:11">
      <c r="C8895" s="11"/>
      <c r="K8895" s="11"/>
    </row>
    <row r="8896" spans="3:11">
      <c r="C8896" s="11"/>
      <c r="K8896" s="11"/>
    </row>
    <row r="8897" spans="3:11">
      <c r="C8897" s="11"/>
      <c r="K8897" s="11"/>
    </row>
    <row r="8898" spans="3:11">
      <c r="C8898" s="11"/>
      <c r="K8898" s="11"/>
    </row>
    <row r="8899" spans="3:11">
      <c r="C8899" s="11"/>
      <c r="K8899" s="11"/>
    </row>
    <row r="8900" spans="3:11">
      <c r="C8900" s="11"/>
      <c r="K8900" s="11"/>
    </row>
    <row r="8901" spans="3:11">
      <c r="C8901" s="11"/>
      <c r="K8901" s="11"/>
    </row>
    <row r="8902" spans="3:11">
      <c r="C8902" s="11"/>
      <c r="K8902" s="11"/>
    </row>
    <row r="8903" spans="3:11">
      <c r="C8903" s="11"/>
      <c r="K8903" s="11"/>
    </row>
    <row r="8904" spans="3:11">
      <c r="C8904" s="11"/>
      <c r="K8904" s="11"/>
    </row>
    <row r="8905" spans="3:11">
      <c r="C8905" s="11"/>
      <c r="K8905" s="11"/>
    </row>
    <row r="8906" spans="3:11">
      <c r="C8906" s="11"/>
      <c r="K8906" s="11"/>
    </row>
    <row r="8907" spans="3:11">
      <c r="C8907" s="11"/>
      <c r="K8907" s="11"/>
    </row>
    <row r="8908" spans="3:11">
      <c r="C8908" s="11"/>
      <c r="K8908" s="11"/>
    </row>
    <row r="8909" spans="3:11">
      <c r="C8909" s="11"/>
      <c r="K8909" s="11"/>
    </row>
    <row r="8910" spans="3:11">
      <c r="C8910" s="11"/>
      <c r="K8910" s="11"/>
    </row>
    <row r="8911" spans="3:11">
      <c r="C8911" s="11"/>
      <c r="K8911" s="11"/>
    </row>
    <row r="8912" spans="3:11">
      <c r="C8912" s="11"/>
      <c r="K8912" s="11"/>
    </row>
    <row r="8913" spans="3:11">
      <c r="C8913" s="11"/>
      <c r="K8913" s="11"/>
    </row>
    <row r="8914" spans="3:11">
      <c r="C8914" s="11"/>
      <c r="K8914" s="11"/>
    </row>
    <row r="8915" spans="3:11">
      <c r="C8915" s="11"/>
      <c r="K8915" s="11"/>
    </row>
    <row r="8916" spans="3:11">
      <c r="C8916" s="11"/>
      <c r="K8916" s="11"/>
    </row>
    <row r="8917" spans="3:11">
      <c r="C8917" s="11"/>
      <c r="K8917" s="11"/>
    </row>
    <row r="8918" spans="3:11">
      <c r="C8918" s="11"/>
      <c r="K8918" s="11"/>
    </row>
    <row r="8919" spans="3:11">
      <c r="C8919" s="11"/>
      <c r="K8919" s="11"/>
    </row>
    <row r="8920" spans="3:11">
      <c r="C8920" s="11"/>
      <c r="K8920" s="11"/>
    </row>
    <row r="8921" spans="3:11">
      <c r="C8921" s="11"/>
      <c r="K8921" s="11"/>
    </row>
    <row r="8922" spans="3:11">
      <c r="C8922" s="11"/>
      <c r="K8922" s="11"/>
    </row>
    <row r="8923" spans="3:11">
      <c r="C8923" s="11"/>
      <c r="K8923" s="11"/>
    </row>
    <row r="8924" spans="3:11">
      <c r="C8924" s="11"/>
      <c r="K8924" s="11"/>
    </row>
    <row r="8925" spans="3:11">
      <c r="C8925" s="11"/>
      <c r="K8925" s="11"/>
    </row>
    <row r="8926" spans="3:11">
      <c r="C8926" s="11"/>
      <c r="K8926" s="11"/>
    </row>
    <row r="8927" spans="3:11">
      <c r="C8927" s="11"/>
      <c r="K8927" s="11"/>
    </row>
    <row r="8928" spans="3:11">
      <c r="C8928" s="11"/>
      <c r="K8928" s="11"/>
    </row>
    <row r="8929" spans="3:11">
      <c r="C8929" s="11"/>
      <c r="K8929" s="11"/>
    </row>
    <row r="8930" spans="3:11">
      <c r="C8930" s="11"/>
      <c r="K8930" s="11"/>
    </row>
    <row r="8931" spans="3:11">
      <c r="C8931" s="11"/>
      <c r="K8931" s="11"/>
    </row>
    <row r="8932" spans="3:11">
      <c r="C8932" s="11"/>
      <c r="K8932" s="11"/>
    </row>
    <row r="8933" spans="3:11">
      <c r="C8933" s="11"/>
      <c r="K8933" s="11"/>
    </row>
    <row r="8934" spans="3:11">
      <c r="C8934" s="11"/>
      <c r="K8934" s="11"/>
    </row>
    <row r="8935" spans="3:11">
      <c r="C8935" s="11"/>
      <c r="K8935" s="11"/>
    </row>
    <row r="8936" spans="3:11">
      <c r="C8936" s="11"/>
      <c r="K8936" s="11"/>
    </row>
    <row r="8937" spans="3:11">
      <c r="C8937" s="11"/>
      <c r="K8937" s="11"/>
    </row>
    <row r="8938" spans="3:11">
      <c r="C8938" s="11"/>
      <c r="K8938" s="11"/>
    </row>
    <row r="8939" spans="3:11">
      <c r="C8939" s="11"/>
      <c r="K8939" s="11"/>
    </row>
    <row r="8940" spans="3:11">
      <c r="C8940" s="11"/>
      <c r="K8940" s="11"/>
    </row>
    <row r="8941" spans="3:11">
      <c r="C8941" s="11"/>
      <c r="K8941" s="11"/>
    </row>
    <row r="8942" spans="3:11">
      <c r="C8942" s="11"/>
      <c r="K8942" s="11"/>
    </row>
    <row r="8943" spans="3:11">
      <c r="C8943" s="11"/>
      <c r="K8943" s="11"/>
    </row>
    <row r="8944" spans="3:11">
      <c r="C8944" s="11"/>
      <c r="K8944" s="11"/>
    </row>
    <row r="8945" spans="3:11">
      <c r="C8945" s="11"/>
      <c r="K8945" s="11"/>
    </row>
    <row r="8946" spans="3:11">
      <c r="C8946" s="11"/>
      <c r="K8946" s="11"/>
    </row>
    <row r="8947" spans="3:11">
      <c r="C8947" s="11"/>
      <c r="K8947" s="11"/>
    </row>
    <row r="8948" spans="3:11">
      <c r="C8948" s="11"/>
      <c r="K8948" s="11"/>
    </row>
    <row r="8949" spans="3:11">
      <c r="C8949" s="11"/>
      <c r="K8949" s="11"/>
    </row>
    <row r="8950" spans="3:11">
      <c r="C8950" s="11"/>
      <c r="K8950" s="11"/>
    </row>
    <row r="8951" spans="3:11">
      <c r="C8951" s="11"/>
      <c r="K8951" s="11"/>
    </row>
    <row r="8952" spans="3:11">
      <c r="C8952" s="11"/>
      <c r="K8952" s="11"/>
    </row>
    <row r="8953" spans="3:11">
      <c r="C8953" s="11"/>
      <c r="K8953" s="11"/>
    </row>
    <row r="8954" spans="3:11">
      <c r="C8954" s="11"/>
      <c r="K8954" s="11"/>
    </row>
    <row r="8955" spans="3:11">
      <c r="C8955" s="11"/>
      <c r="K8955" s="11"/>
    </row>
    <row r="8956" spans="3:11">
      <c r="C8956" s="11"/>
      <c r="K8956" s="11"/>
    </row>
    <row r="8957" spans="3:11">
      <c r="C8957" s="11"/>
      <c r="K8957" s="11"/>
    </row>
    <row r="8958" spans="3:11">
      <c r="C8958" s="11"/>
      <c r="K8958" s="11"/>
    </row>
    <row r="8959" spans="3:11">
      <c r="C8959" s="11"/>
      <c r="K8959" s="11"/>
    </row>
    <row r="8960" spans="3:11">
      <c r="C8960" s="11"/>
      <c r="K8960" s="11"/>
    </row>
    <row r="8961" spans="3:11">
      <c r="C8961" s="11"/>
      <c r="K8961" s="11"/>
    </row>
    <row r="8962" spans="3:11">
      <c r="C8962" s="11"/>
      <c r="K8962" s="11"/>
    </row>
    <row r="8963" spans="3:11">
      <c r="C8963" s="11"/>
      <c r="K8963" s="11"/>
    </row>
    <row r="8964" spans="3:11">
      <c r="C8964" s="11"/>
      <c r="K8964" s="11"/>
    </row>
    <row r="8965" spans="3:11">
      <c r="C8965" s="11"/>
      <c r="K8965" s="11"/>
    </row>
    <row r="8966" spans="3:11">
      <c r="C8966" s="11"/>
      <c r="K8966" s="11"/>
    </row>
    <row r="8967" spans="3:11">
      <c r="C8967" s="11"/>
      <c r="K8967" s="11"/>
    </row>
    <row r="8968" spans="3:11">
      <c r="C8968" s="11"/>
      <c r="K8968" s="11"/>
    </row>
    <row r="8969" spans="3:11">
      <c r="C8969" s="11"/>
      <c r="K8969" s="11"/>
    </row>
    <row r="8970" spans="3:11">
      <c r="C8970" s="11"/>
      <c r="K8970" s="11"/>
    </row>
    <row r="8971" spans="3:11">
      <c r="C8971" s="11"/>
      <c r="K8971" s="11"/>
    </row>
    <row r="8972" spans="3:11">
      <c r="C8972" s="11"/>
      <c r="K8972" s="11"/>
    </row>
    <row r="8973" spans="3:11">
      <c r="C8973" s="11"/>
      <c r="K8973" s="11"/>
    </row>
    <row r="8974" spans="3:11">
      <c r="C8974" s="11"/>
      <c r="K8974" s="11"/>
    </row>
    <row r="8975" spans="3:11">
      <c r="C8975" s="11"/>
      <c r="K8975" s="11"/>
    </row>
    <row r="8976" spans="3:11">
      <c r="C8976" s="11"/>
      <c r="K8976" s="11"/>
    </row>
    <row r="8977" spans="3:11">
      <c r="C8977" s="11"/>
      <c r="K8977" s="11"/>
    </row>
    <row r="8978" spans="3:11">
      <c r="C8978" s="11"/>
      <c r="K8978" s="11"/>
    </row>
    <row r="8979" spans="3:11">
      <c r="C8979" s="11"/>
      <c r="K8979" s="11"/>
    </row>
    <row r="8980" spans="3:11">
      <c r="C8980" s="11"/>
      <c r="K8980" s="11"/>
    </row>
    <row r="8981" spans="3:11">
      <c r="C8981" s="11"/>
      <c r="K8981" s="11"/>
    </row>
    <row r="8982" spans="3:11">
      <c r="C8982" s="11"/>
      <c r="K8982" s="11"/>
    </row>
    <row r="8983" spans="3:11">
      <c r="C8983" s="11"/>
      <c r="K8983" s="11"/>
    </row>
    <row r="8984" spans="3:11">
      <c r="C8984" s="11"/>
      <c r="K8984" s="11"/>
    </row>
    <row r="8985" spans="3:11">
      <c r="C8985" s="11"/>
      <c r="K8985" s="11"/>
    </row>
    <row r="8986" spans="3:11">
      <c r="C8986" s="11"/>
      <c r="K8986" s="11"/>
    </row>
    <row r="8987" spans="3:11">
      <c r="C8987" s="11"/>
      <c r="K8987" s="11"/>
    </row>
    <row r="8988" spans="3:11">
      <c r="C8988" s="11"/>
      <c r="K8988" s="11"/>
    </row>
    <row r="8989" spans="3:11">
      <c r="C8989" s="11"/>
      <c r="K8989" s="11"/>
    </row>
    <row r="8990" spans="3:11">
      <c r="C8990" s="11"/>
      <c r="K8990" s="11"/>
    </row>
    <row r="8991" spans="3:11">
      <c r="C8991" s="11"/>
      <c r="K8991" s="11"/>
    </row>
    <row r="8992" spans="3:11">
      <c r="C8992" s="11"/>
      <c r="K8992" s="11"/>
    </row>
    <row r="8993" spans="3:11">
      <c r="C8993" s="11"/>
      <c r="K8993" s="11"/>
    </row>
    <row r="8994" spans="3:11">
      <c r="C8994" s="11"/>
      <c r="K8994" s="11"/>
    </row>
    <row r="8995" spans="3:11">
      <c r="C8995" s="11"/>
      <c r="K8995" s="11"/>
    </row>
    <row r="8996" spans="3:11">
      <c r="C8996" s="11"/>
      <c r="K8996" s="11"/>
    </row>
    <row r="8997" spans="3:11">
      <c r="C8997" s="11"/>
      <c r="K8997" s="11"/>
    </row>
    <row r="8998" spans="3:11">
      <c r="C8998" s="11"/>
      <c r="K8998" s="11"/>
    </row>
    <row r="8999" spans="3:11">
      <c r="C8999" s="11"/>
      <c r="K8999" s="11"/>
    </row>
    <row r="9000" spans="3:11">
      <c r="C9000" s="11"/>
      <c r="K9000" s="11"/>
    </row>
    <row r="9001" spans="3:11">
      <c r="C9001" s="11"/>
      <c r="K9001" s="11"/>
    </row>
    <row r="9002" spans="3:11">
      <c r="C9002" s="11"/>
      <c r="K9002" s="11"/>
    </row>
    <row r="9003" spans="3:11">
      <c r="C9003" s="11"/>
      <c r="K9003" s="11"/>
    </row>
    <row r="9004" spans="3:11">
      <c r="C9004" s="11"/>
      <c r="K9004" s="11"/>
    </row>
    <row r="9005" spans="3:11">
      <c r="C9005" s="11"/>
      <c r="K9005" s="11"/>
    </row>
    <row r="9006" spans="3:11">
      <c r="C9006" s="11"/>
      <c r="K9006" s="11"/>
    </row>
    <row r="9007" spans="3:11">
      <c r="C9007" s="11"/>
      <c r="K9007" s="11"/>
    </row>
    <row r="9008" spans="3:11">
      <c r="C9008" s="11"/>
      <c r="K9008" s="11"/>
    </row>
    <row r="9009" spans="3:11">
      <c r="C9009" s="11"/>
      <c r="K9009" s="11"/>
    </row>
    <row r="9010" spans="3:11">
      <c r="C9010" s="11"/>
      <c r="K9010" s="11"/>
    </row>
    <row r="9011" spans="3:11">
      <c r="C9011" s="11"/>
      <c r="K9011" s="11"/>
    </row>
    <row r="9012" spans="3:11">
      <c r="C9012" s="11"/>
      <c r="K9012" s="11"/>
    </row>
    <row r="9013" spans="3:11">
      <c r="C9013" s="11"/>
      <c r="K9013" s="11"/>
    </row>
    <row r="9014" spans="3:11">
      <c r="C9014" s="11"/>
      <c r="K9014" s="11"/>
    </row>
    <row r="9015" spans="3:11">
      <c r="C9015" s="11"/>
      <c r="K9015" s="11"/>
    </row>
    <row r="9016" spans="3:11">
      <c r="C9016" s="11"/>
      <c r="K9016" s="11"/>
    </row>
    <row r="9017" spans="3:11">
      <c r="C9017" s="11"/>
      <c r="K9017" s="11"/>
    </row>
    <row r="9018" spans="3:11">
      <c r="C9018" s="11"/>
      <c r="K9018" s="11"/>
    </row>
    <row r="9019" spans="3:11">
      <c r="C9019" s="11"/>
      <c r="K9019" s="11"/>
    </row>
    <row r="9020" spans="3:11">
      <c r="C9020" s="11"/>
      <c r="K9020" s="11"/>
    </row>
    <row r="9021" spans="3:11">
      <c r="C9021" s="11"/>
      <c r="K9021" s="11"/>
    </row>
    <row r="9022" spans="3:11">
      <c r="C9022" s="11"/>
      <c r="K9022" s="11"/>
    </row>
    <row r="9023" spans="3:11">
      <c r="C9023" s="11"/>
      <c r="K9023" s="11"/>
    </row>
    <row r="9024" spans="3:11">
      <c r="C9024" s="11"/>
      <c r="K9024" s="11"/>
    </row>
    <row r="9025" spans="3:11">
      <c r="C9025" s="11"/>
      <c r="K9025" s="11"/>
    </row>
    <row r="9026" spans="3:11">
      <c r="C9026" s="11"/>
      <c r="K9026" s="11"/>
    </row>
    <row r="9027" spans="3:11">
      <c r="C9027" s="11"/>
      <c r="K9027" s="11"/>
    </row>
    <row r="9028" spans="3:11">
      <c r="C9028" s="11"/>
      <c r="K9028" s="11"/>
    </row>
    <row r="9029" spans="3:11">
      <c r="C9029" s="11"/>
      <c r="K9029" s="11"/>
    </row>
    <row r="9030" spans="3:11">
      <c r="C9030" s="11"/>
      <c r="K9030" s="11"/>
    </row>
    <row r="9031" spans="3:11">
      <c r="C9031" s="11"/>
      <c r="K9031" s="11"/>
    </row>
    <row r="9032" spans="3:11">
      <c r="C9032" s="11"/>
      <c r="K9032" s="11"/>
    </row>
    <row r="9033" spans="3:11">
      <c r="C9033" s="11"/>
      <c r="K9033" s="11"/>
    </row>
    <row r="9034" spans="3:11">
      <c r="C9034" s="11"/>
      <c r="K9034" s="11"/>
    </row>
    <row r="9035" spans="3:11">
      <c r="C9035" s="11"/>
      <c r="K9035" s="11"/>
    </row>
    <row r="9036" spans="3:11">
      <c r="C9036" s="11"/>
      <c r="K9036" s="11"/>
    </row>
    <row r="9037" spans="3:11">
      <c r="C9037" s="11"/>
      <c r="K9037" s="11"/>
    </row>
    <row r="9038" spans="3:11">
      <c r="C9038" s="11"/>
      <c r="K9038" s="11"/>
    </row>
    <row r="9039" spans="3:11">
      <c r="C9039" s="11"/>
      <c r="K9039" s="11"/>
    </row>
    <row r="9040" spans="3:11">
      <c r="C9040" s="11"/>
      <c r="K9040" s="11"/>
    </row>
    <row r="9041" spans="3:11">
      <c r="C9041" s="11"/>
      <c r="K9041" s="11"/>
    </row>
    <row r="9042" spans="3:11">
      <c r="C9042" s="11"/>
      <c r="K9042" s="11"/>
    </row>
    <row r="9043" spans="3:11">
      <c r="C9043" s="11"/>
      <c r="K9043" s="11"/>
    </row>
    <row r="9044" spans="3:11">
      <c r="C9044" s="11"/>
      <c r="K9044" s="11"/>
    </row>
    <row r="9045" spans="3:11">
      <c r="C9045" s="11"/>
      <c r="K9045" s="11"/>
    </row>
    <row r="9046" spans="3:11">
      <c r="C9046" s="11"/>
      <c r="K9046" s="11"/>
    </row>
    <row r="9047" spans="3:11">
      <c r="C9047" s="11"/>
      <c r="K9047" s="11"/>
    </row>
    <row r="9048" spans="3:11">
      <c r="C9048" s="11"/>
      <c r="K9048" s="11"/>
    </row>
    <row r="9049" spans="3:11">
      <c r="C9049" s="11"/>
      <c r="K9049" s="11"/>
    </row>
    <row r="9050" spans="3:11">
      <c r="C9050" s="11"/>
      <c r="K9050" s="11"/>
    </row>
    <row r="9051" spans="3:11">
      <c r="C9051" s="11"/>
      <c r="K9051" s="11"/>
    </row>
    <row r="9052" spans="3:11">
      <c r="C9052" s="11"/>
      <c r="K9052" s="11"/>
    </row>
    <row r="9053" spans="3:11">
      <c r="C9053" s="11"/>
      <c r="K9053" s="11"/>
    </row>
    <row r="9054" spans="3:11">
      <c r="C9054" s="11"/>
      <c r="K9054" s="11"/>
    </row>
    <row r="9055" spans="3:11">
      <c r="C9055" s="11"/>
      <c r="K9055" s="11"/>
    </row>
    <row r="9056" spans="3:11">
      <c r="C9056" s="11"/>
      <c r="K9056" s="11"/>
    </row>
    <row r="9057" spans="3:11">
      <c r="C9057" s="11"/>
      <c r="K9057" s="11"/>
    </row>
    <row r="9058" spans="3:11">
      <c r="C9058" s="11"/>
      <c r="K9058" s="11"/>
    </row>
    <row r="9059" spans="3:11">
      <c r="C9059" s="11"/>
      <c r="K9059" s="11"/>
    </row>
    <row r="9060" spans="3:11">
      <c r="C9060" s="11"/>
      <c r="K9060" s="11"/>
    </row>
    <row r="9061" spans="3:11">
      <c r="C9061" s="11"/>
      <c r="K9061" s="11"/>
    </row>
    <row r="9062" spans="3:11">
      <c r="C9062" s="11"/>
      <c r="K9062" s="11"/>
    </row>
    <row r="9063" spans="3:11">
      <c r="C9063" s="11"/>
      <c r="K9063" s="11"/>
    </row>
    <row r="9064" spans="3:11">
      <c r="C9064" s="11"/>
      <c r="K9064" s="11"/>
    </row>
    <row r="9065" spans="3:11">
      <c r="C9065" s="11"/>
      <c r="K9065" s="11"/>
    </row>
    <row r="9066" spans="3:11">
      <c r="C9066" s="11"/>
      <c r="K9066" s="11"/>
    </row>
    <row r="9067" spans="3:11">
      <c r="C9067" s="11"/>
      <c r="K9067" s="11"/>
    </row>
    <row r="9068" spans="3:11">
      <c r="C9068" s="11"/>
      <c r="K9068" s="11"/>
    </row>
    <row r="9069" spans="3:11">
      <c r="C9069" s="11"/>
      <c r="K9069" s="11"/>
    </row>
    <row r="9070" spans="3:11">
      <c r="C9070" s="11"/>
      <c r="K9070" s="11"/>
    </row>
    <row r="9071" spans="3:11">
      <c r="C9071" s="11"/>
      <c r="K9071" s="11"/>
    </row>
    <row r="9072" spans="3:11">
      <c r="C9072" s="11"/>
      <c r="K9072" s="11"/>
    </row>
    <row r="9073" spans="3:11">
      <c r="C9073" s="11"/>
      <c r="K9073" s="11"/>
    </row>
    <row r="9074" spans="3:11">
      <c r="C9074" s="11"/>
      <c r="K9074" s="11"/>
    </row>
    <row r="9075" spans="3:11">
      <c r="C9075" s="11"/>
      <c r="K9075" s="11"/>
    </row>
    <row r="9076" spans="3:11">
      <c r="C9076" s="11"/>
      <c r="K9076" s="11"/>
    </row>
    <row r="9077" spans="3:11">
      <c r="C9077" s="11"/>
      <c r="K9077" s="11"/>
    </row>
    <row r="9078" spans="3:11">
      <c r="C9078" s="11"/>
      <c r="K9078" s="11"/>
    </row>
    <row r="9079" spans="3:11">
      <c r="C9079" s="11"/>
      <c r="K9079" s="11"/>
    </row>
    <row r="9080" spans="3:11">
      <c r="C9080" s="11"/>
      <c r="K9080" s="11"/>
    </row>
    <row r="9081" spans="3:11">
      <c r="C9081" s="11"/>
      <c r="K9081" s="11"/>
    </row>
    <row r="9082" spans="3:11">
      <c r="C9082" s="11"/>
      <c r="K9082" s="11"/>
    </row>
    <row r="9083" spans="3:11">
      <c r="C9083" s="11"/>
      <c r="K9083" s="11"/>
    </row>
    <row r="9084" spans="3:11">
      <c r="C9084" s="11"/>
      <c r="K9084" s="11"/>
    </row>
    <row r="9085" spans="3:11">
      <c r="C9085" s="11"/>
      <c r="K9085" s="11"/>
    </row>
    <row r="9086" spans="3:11">
      <c r="C9086" s="11"/>
      <c r="K9086" s="11"/>
    </row>
    <row r="9087" spans="3:11">
      <c r="C9087" s="11"/>
      <c r="K9087" s="11"/>
    </row>
    <row r="9088" spans="3:11">
      <c r="C9088" s="11"/>
      <c r="K9088" s="11"/>
    </row>
    <row r="9089" spans="3:11">
      <c r="C9089" s="11"/>
      <c r="K9089" s="11"/>
    </row>
    <row r="9090" spans="3:11">
      <c r="C9090" s="11"/>
      <c r="K9090" s="11"/>
    </row>
    <row r="9091" spans="3:11">
      <c r="C9091" s="11"/>
      <c r="K9091" s="11"/>
    </row>
    <row r="9092" spans="3:11">
      <c r="C9092" s="11"/>
      <c r="K9092" s="11"/>
    </row>
    <row r="9093" spans="3:11">
      <c r="C9093" s="11"/>
      <c r="K9093" s="11"/>
    </row>
    <row r="9094" spans="3:11">
      <c r="C9094" s="11"/>
      <c r="K9094" s="11"/>
    </row>
    <row r="9095" spans="3:11">
      <c r="C9095" s="11"/>
      <c r="K9095" s="11"/>
    </row>
    <row r="9096" spans="3:11">
      <c r="C9096" s="11"/>
      <c r="K9096" s="11"/>
    </row>
    <row r="9097" spans="3:11">
      <c r="C9097" s="11"/>
      <c r="K9097" s="11"/>
    </row>
    <row r="9098" spans="3:11">
      <c r="C9098" s="11"/>
      <c r="K9098" s="11"/>
    </row>
    <row r="9099" spans="3:11">
      <c r="C9099" s="11"/>
      <c r="K9099" s="11"/>
    </row>
    <row r="9100" spans="3:11">
      <c r="C9100" s="11"/>
      <c r="K9100" s="11"/>
    </row>
    <row r="9101" spans="3:11">
      <c r="C9101" s="11"/>
      <c r="K9101" s="11"/>
    </row>
    <row r="9102" spans="3:11">
      <c r="C9102" s="11"/>
      <c r="K9102" s="11"/>
    </row>
    <row r="9103" spans="3:11">
      <c r="C9103" s="11"/>
      <c r="K9103" s="11"/>
    </row>
    <row r="9104" spans="3:11">
      <c r="C9104" s="11"/>
      <c r="K9104" s="11"/>
    </row>
    <row r="9105" spans="3:11">
      <c r="C9105" s="11"/>
      <c r="K9105" s="11"/>
    </row>
    <row r="9106" spans="3:11">
      <c r="C9106" s="11"/>
      <c r="K9106" s="11"/>
    </row>
    <row r="9107" spans="3:11">
      <c r="C9107" s="11"/>
      <c r="K9107" s="11"/>
    </row>
    <row r="9108" spans="3:11">
      <c r="C9108" s="11"/>
      <c r="K9108" s="11"/>
    </row>
    <row r="9109" spans="3:11">
      <c r="C9109" s="11"/>
      <c r="K9109" s="11"/>
    </row>
    <row r="9110" spans="3:11">
      <c r="C9110" s="11"/>
      <c r="K9110" s="11"/>
    </row>
    <row r="9111" spans="3:11">
      <c r="C9111" s="11"/>
      <c r="K9111" s="11"/>
    </row>
    <row r="9112" spans="3:11">
      <c r="C9112" s="11"/>
      <c r="K9112" s="11"/>
    </row>
    <row r="9113" spans="3:11">
      <c r="C9113" s="11"/>
      <c r="K9113" s="11"/>
    </row>
    <row r="9114" spans="3:11">
      <c r="C9114" s="11"/>
      <c r="K9114" s="11"/>
    </row>
    <row r="9115" spans="3:11">
      <c r="C9115" s="11"/>
      <c r="K9115" s="11"/>
    </row>
    <row r="9116" spans="3:11">
      <c r="C9116" s="11"/>
      <c r="K9116" s="11"/>
    </row>
    <row r="9117" spans="3:11">
      <c r="C9117" s="11"/>
      <c r="K9117" s="11"/>
    </row>
    <row r="9118" spans="3:11">
      <c r="C9118" s="11"/>
      <c r="K9118" s="11"/>
    </row>
    <row r="9119" spans="3:11">
      <c r="C9119" s="11"/>
      <c r="K9119" s="11"/>
    </row>
    <row r="9120" spans="3:11">
      <c r="C9120" s="11"/>
      <c r="K9120" s="11"/>
    </row>
    <row r="9121" spans="3:11">
      <c r="C9121" s="11"/>
      <c r="K9121" s="11"/>
    </row>
    <row r="9122" spans="3:11">
      <c r="C9122" s="11"/>
      <c r="K9122" s="11"/>
    </row>
    <row r="9123" spans="3:11">
      <c r="C9123" s="11"/>
      <c r="K9123" s="11"/>
    </row>
    <row r="9124" spans="3:11">
      <c r="C9124" s="11"/>
      <c r="K9124" s="11"/>
    </row>
    <row r="9125" spans="3:11">
      <c r="C9125" s="11"/>
      <c r="K9125" s="11"/>
    </row>
    <row r="9126" spans="3:11">
      <c r="C9126" s="11"/>
      <c r="K9126" s="11"/>
    </row>
    <row r="9127" spans="3:11">
      <c r="C9127" s="11"/>
      <c r="K9127" s="11"/>
    </row>
    <row r="9128" spans="3:11">
      <c r="C9128" s="11"/>
      <c r="K9128" s="11"/>
    </row>
    <row r="9129" spans="3:11">
      <c r="C9129" s="11"/>
      <c r="K9129" s="11"/>
    </row>
    <row r="9130" spans="3:11">
      <c r="C9130" s="11"/>
      <c r="K9130" s="11"/>
    </row>
    <row r="9131" spans="3:11">
      <c r="C9131" s="11"/>
      <c r="K9131" s="11"/>
    </row>
    <row r="9132" spans="3:11">
      <c r="C9132" s="11"/>
      <c r="K9132" s="11"/>
    </row>
    <row r="9133" spans="3:11">
      <c r="C9133" s="11"/>
      <c r="K9133" s="11"/>
    </row>
    <row r="9134" spans="3:11">
      <c r="C9134" s="11"/>
      <c r="K9134" s="11"/>
    </row>
    <row r="9135" spans="3:11">
      <c r="C9135" s="11"/>
      <c r="K9135" s="11"/>
    </row>
    <row r="9136" spans="3:11">
      <c r="C9136" s="11"/>
      <c r="K9136" s="11"/>
    </row>
    <row r="9137" spans="3:11">
      <c r="C9137" s="11"/>
      <c r="K9137" s="11"/>
    </row>
    <row r="9138" spans="3:11">
      <c r="C9138" s="11"/>
      <c r="K9138" s="11"/>
    </row>
    <row r="9139" spans="3:11">
      <c r="C9139" s="11"/>
      <c r="K9139" s="11"/>
    </row>
    <row r="9140" spans="3:11">
      <c r="C9140" s="11"/>
      <c r="K9140" s="11"/>
    </row>
    <row r="9141" spans="3:11">
      <c r="C9141" s="11"/>
      <c r="K9141" s="11"/>
    </row>
    <row r="9142" spans="3:11">
      <c r="C9142" s="11"/>
      <c r="K9142" s="11"/>
    </row>
    <row r="9143" spans="3:11">
      <c r="C9143" s="11"/>
      <c r="K9143" s="11"/>
    </row>
    <row r="9144" spans="3:11">
      <c r="C9144" s="11"/>
      <c r="K9144" s="11"/>
    </row>
    <row r="9145" spans="3:11">
      <c r="C9145" s="11"/>
      <c r="K9145" s="11"/>
    </row>
    <row r="9146" spans="3:11">
      <c r="C9146" s="11"/>
      <c r="K9146" s="11"/>
    </row>
    <row r="9147" spans="3:11">
      <c r="C9147" s="11"/>
      <c r="K9147" s="11"/>
    </row>
    <row r="9148" spans="3:11">
      <c r="C9148" s="11"/>
      <c r="K9148" s="11"/>
    </row>
    <row r="9149" spans="3:11">
      <c r="C9149" s="11"/>
      <c r="K9149" s="11"/>
    </row>
    <row r="9150" spans="3:11">
      <c r="C9150" s="11"/>
      <c r="K9150" s="11"/>
    </row>
    <row r="9151" spans="3:11">
      <c r="C9151" s="11"/>
      <c r="K9151" s="11"/>
    </row>
    <row r="9152" spans="3:11">
      <c r="C9152" s="11"/>
      <c r="K9152" s="11"/>
    </row>
    <row r="9153" spans="3:11">
      <c r="C9153" s="11"/>
      <c r="K9153" s="11"/>
    </row>
    <row r="9154" spans="3:11">
      <c r="C9154" s="11"/>
      <c r="K9154" s="11"/>
    </row>
    <row r="9155" spans="3:11">
      <c r="C9155" s="11"/>
      <c r="K9155" s="11"/>
    </row>
    <row r="9156" spans="3:11">
      <c r="C9156" s="11"/>
      <c r="K9156" s="11"/>
    </row>
    <row r="9157" spans="3:11">
      <c r="C9157" s="11"/>
      <c r="K9157" s="11"/>
    </row>
    <row r="9158" spans="3:11">
      <c r="C9158" s="11"/>
      <c r="K9158" s="11"/>
    </row>
    <row r="9159" spans="3:11">
      <c r="C9159" s="11"/>
      <c r="K9159" s="11"/>
    </row>
    <row r="9160" spans="3:11">
      <c r="C9160" s="11"/>
      <c r="K9160" s="11"/>
    </row>
    <row r="9161" spans="3:11">
      <c r="C9161" s="11"/>
      <c r="K9161" s="11"/>
    </row>
    <row r="9162" spans="3:11">
      <c r="C9162" s="11"/>
      <c r="K9162" s="11"/>
    </row>
    <row r="9163" spans="3:11">
      <c r="C9163" s="11"/>
      <c r="K9163" s="11"/>
    </row>
    <row r="9164" spans="3:11">
      <c r="C9164" s="11"/>
      <c r="K9164" s="11"/>
    </row>
    <row r="9165" spans="3:11">
      <c r="C9165" s="11"/>
      <c r="K9165" s="11"/>
    </row>
    <row r="9166" spans="3:11">
      <c r="C9166" s="11"/>
      <c r="K9166" s="11"/>
    </row>
    <row r="9167" spans="3:11">
      <c r="C9167" s="11"/>
      <c r="K9167" s="11"/>
    </row>
    <row r="9168" spans="3:11">
      <c r="C9168" s="11"/>
      <c r="K9168" s="11"/>
    </row>
    <row r="9169" spans="3:11">
      <c r="C9169" s="11"/>
      <c r="K9169" s="11"/>
    </row>
    <row r="9170" spans="3:11">
      <c r="C9170" s="11"/>
      <c r="K9170" s="11"/>
    </row>
    <row r="9171" spans="3:11">
      <c r="C9171" s="11"/>
      <c r="K9171" s="11"/>
    </row>
    <row r="9172" spans="3:11">
      <c r="C9172" s="11"/>
      <c r="K9172" s="11"/>
    </row>
    <row r="9173" spans="3:11">
      <c r="C9173" s="11"/>
      <c r="K9173" s="11"/>
    </row>
    <row r="9174" spans="3:11">
      <c r="C9174" s="11"/>
      <c r="K9174" s="11"/>
    </row>
    <row r="9175" spans="3:11">
      <c r="C9175" s="11"/>
      <c r="K9175" s="11"/>
    </row>
    <row r="9176" spans="3:11">
      <c r="C9176" s="11"/>
      <c r="K9176" s="11"/>
    </row>
    <row r="9177" spans="3:11">
      <c r="C9177" s="11"/>
      <c r="K9177" s="11"/>
    </row>
    <row r="9178" spans="3:11">
      <c r="C9178" s="11"/>
      <c r="K9178" s="11"/>
    </row>
    <row r="9179" spans="3:11">
      <c r="C9179" s="11"/>
      <c r="K9179" s="11"/>
    </row>
    <row r="9180" spans="3:11">
      <c r="C9180" s="11"/>
      <c r="K9180" s="11"/>
    </row>
    <row r="9181" spans="3:11">
      <c r="C9181" s="11"/>
      <c r="K9181" s="11"/>
    </row>
    <row r="9182" spans="3:11">
      <c r="C9182" s="11"/>
      <c r="K9182" s="11"/>
    </row>
    <row r="9183" spans="3:11">
      <c r="C9183" s="11"/>
      <c r="K9183" s="11"/>
    </row>
    <row r="9184" spans="3:11">
      <c r="C9184" s="11"/>
      <c r="K9184" s="11"/>
    </row>
    <row r="9185" spans="3:11">
      <c r="C9185" s="11"/>
      <c r="K9185" s="11"/>
    </row>
    <row r="9186" spans="3:11">
      <c r="C9186" s="11"/>
      <c r="K9186" s="11"/>
    </row>
    <row r="9187" spans="3:11">
      <c r="C9187" s="11"/>
      <c r="K9187" s="11"/>
    </row>
    <row r="9188" spans="3:11">
      <c r="C9188" s="11"/>
      <c r="K9188" s="11"/>
    </row>
    <row r="9189" spans="3:11">
      <c r="C9189" s="11"/>
      <c r="K9189" s="11"/>
    </row>
    <row r="9190" spans="3:11">
      <c r="C9190" s="11"/>
      <c r="K9190" s="11"/>
    </row>
    <row r="9191" spans="3:11">
      <c r="C9191" s="11"/>
      <c r="K9191" s="11"/>
    </row>
    <row r="9192" spans="3:11">
      <c r="C9192" s="11"/>
      <c r="K9192" s="11"/>
    </row>
    <row r="9193" spans="3:11">
      <c r="C9193" s="11"/>
      <c r="K9193" s="11"/>
    </row>
    <row r="9194" spans="3:11">
      <c r="C9194" s="11"/>
      <c r="K9194" s="11"/>
    </row>
    <row r="9195" spans="3:11">
      <c r="C9195" s="11"/>
      <c r="K9195" s="11"/>
    </row>
    <row r="9196" spans="3:11">
      <c r="C9196" s="11"/>
      <c r="K9196" s="11"/>
    </row>
    <row r="9197" spans="3:11">
      <c r="C9197" s="11"/>
      <c r="K9197" s="11"/>
    </row>
    <row r="9198" spans="3:11">
      <c r="C9198" s="11"/>
      <c r="K9198" s="11"/>
    </row>
    <row r="9199" spans="3:11">
      <c r="C9199" s="11"/>
      <c r="K9199" s="11"/>
    </row>
    <row r="9200" spans="3:11">
      <c r="C9200" s="11"/>
      <c r="K9200" s="11"/>
    </row>
    <row r="9201" spans="3:11">
      <c r="C9201" s="11"/>
      <c r="K9201" s="11"/>
    </row>
    <row r="9202" spans="3:11">
      <c r="C9202" s="11"/>
      <c r="K9202" s="11"/>
    </row>
    <row r="9203" spans="3:11">
      <c r="C9203" s="11"/>
      <c r="K9203" s="11"/>
    </row>
    <row r="9204" spans="3:11">
      <c r="C9204" s="11"/>
      <c r="K9204" s="11"/>
    </row>
    <row r="9205" spans="3:11">
      <c r="C9205" s="11"/>
      <c r="K9205" s="11"/>
    </row>
    <row r="9206" spans="3:11">
      <c r="C9206" s="11"/>
      <c r="K9206" s="11"/>
    </row>
    <row r="9207" spans="3:11">
      <c r="C9207" s="11"/>
      <c r="K9207" s="11"/>
    </row>
    <row r="9208" spans="3:11">
      <c r="C9208" s="11"/>
      <c r="K9208" s="11"/>
    </row>
    <row r="9209" spans="3:11">
      <c r="C9209" s="11"/>
      <c r="K9209" s="11"/>
    </row>
    <row r="9210" spans="3:11">
      <c r="C9210" s="11"/>
      <c r="K9210" s="11"/>
    </row>
    <row r="9211" spans="3:11">
      <c r="C9211" s="11"/>
      <c r="K9211" s="11"/>
    </row>
    <row r="9212" spans="3:11">
      <c r="C9212" s="11"/>
      <c r="K9212" s="11"/>
    </row>
    <row r="9213" spans="3:11">
      <c r="C9213" s="11"/>
      <c r="K9213" s="11"/>
    </row>
    <row r="9214" spans="3:11">
      <c r="C9214" s="11"/>
      <c r="K9214" s="11"/>
    </row>
    <row r="9215" spans="3:11">
      <c r="C9215" s="11"/>
      <c r="K9215" s="11"/>
    </row>
    <row r="9216" spans="3:11">
      <c r="C9216" s="11"/>
      <c r="K9216" s="11"/>
    </row>
    <row r="9217" spans="3:11">
      <c r="C9217" s="11"/>
      <c r="K9217" s="11"/>
    </row>
    <row r="9218" spans="3:11">
      <c r="C9218" s="11"/>
      <c r="K9218" s="11"/>
    </row>
    <row r="9219" spans="3:11">
      <c r="C9219" s="11"/>
      <c r="K9219" s="11"/>
    </row>
    <row r="9220" spans="3:11">
      <c r="C9220" s="11"/>
      <c r="K9220" s="11"/>
    </row>
    <row r="9221" spans="3:11">
      <c r="C9221" s="11"/>
      <c r="K9221" s="11"/>
    </row>
    <row r="9222" spans="3:11">
      <c r="C9222" s="11"/>
      <c r="K9222" s="11"/>
    </row>
    <row r="9223" spans="3:11">
      <c r="C9223" s="11"/>
      <c r="K9223" s="11"/>
    </row>
    <row r="9224" spans="3:11">
      <c r="C9224" s="11"/>
      <c r="K9224" s="11"/>
    </row>
    <row r="9225" spans="3:11">
      <c r="C9225" s="11"/>
      <c r="K9225" s="11"/>
    </row>
    <row r="9226" spans="3:11">
      <c r="C9226" s="11"/>
      <c r="K9226" s="11"/>
    </row>
    <row r="9227" spans="3:11">
      <c r="C9227" s="11"/>
      <c r="K9227" s="11"/>
    </row>
    <row r="9228" spans="3:11">
      <c r="C9228" s="11"/>
      <c r="K9228" s="11"/>
    </row>
    <row r="9229" spans="3:11">
      <c r="C9229" s="11"/>
      <c r="K9229" s="11"/>
    </row>
    <row r="9230" spans="3:11">
      <c r="C9230" s="11"/>
      <c r="K9230" s="11"/>
    </row>
    <row r="9231" spans="3:11">
      <c r="C9231" s="11"/>
      <c r="K9231" s="11"/>
    </row>
    <row r="9232" spans="3:11">
      <c r="C9232" s="11"/>
      <c r="K9232" s="11"/>
    </row>
    <row r="9233" spans="3:11">
      <c r="C9233" s="11"/>
      <c r="K9233" s="11"/>
    </row>
    <row r="9234" spans="3:11">
      <c r="C9234" s="11"/>
      <c r="K9234" s="11"/>
    </row>
    <row r="9235" spans="3:11">
      <c r="C9235" s="11"/>
      <c r="K9235" s="11"/>
    </row>
    <row r="9236" spans="3:11">
      <c r="C9236" s="11"/>
      <c r="K9236" s="11"/>
    </row>
    <row r="9237" spans="3:11">
      <c r="C9237" s="11"/>
      <c r="K9237" s="11"/>
    </row>
    <row r="9238" spans="3:11">
      <c r="C9238" s="11"/>
      <c r="K9238" s="11"/>
    </row>
    <row r="9239" spans="3:11">
      <c r="C9239" s="11"/>
      <c r="K9239" s="11"/>
    </row>
    <row r="9240" spans="3:11">
      <c r="C9240" s="11"/>
      <c r="K9240" s="11"/>
    </row>
    <row r="9241" spans="3:11">
      <c r="C9241" s="11"/>
      <c r="K9241" s="11"/>
    </row>
    <row r="9242" spans="3:11">
      <c r="C9242" s="11"/>
      <c r="K9242" s="11"/>
    </row>
    <row r="9243" spans="3:11">
      <c r="C9243" s="11"/>
      <c r="K9243" s="11"/>
    </row>
    <row r="9244" spans="3:11">
      <c r="C9244" s="11"/>
      <c r="K9244" s="11"/>
    </row>
    <row r="9245" spans="3:11">
      <c r="C9245" s="11"/>
      <c r="K9245" s="11"/>
    </row>
    <row r="9246" spans="3:11">
      <c r="C9246" s="11"/>
      <c r="K9246" s="11"/>
    </row>
    <row r="9247" spans="3:11">
      <c r="C9247" s="11"/>
      <c r="K9247" s="11"/>
    </row>
    <row r="9248" spans="3:11">
      <c r="C9248" s="11"/>
      <c r="K9248" s="11"/>
    </row>
    <row r="9249" spans="3:11">
      <c r="C9249" s="11"/>
      <c r="K9249" s="11"/>
    </row>
    <row r="9250" spans="3:11">
      <c r="C9250" s="11"/>
      <c r="K9250" s="11"/>
    </row>
    <row r="9251" spans="3:11">
      <c r="C9251" s="11"/>
      <c r="K9251" s="11"/>
    </row>
    <row r="9252" spans="3:11">
      <c r="C9252" s="11"/>
      <c r="K9252" s="11"/>
    </row>
    <row r="9253" spans="3:11">
      <c r="C9253" s="11"/>
      <c r="K9253" s="11"/>
    </row>
    <row r="9254" spans="3:11">
      <c r="C9254" s="11"/>
      <c r="K9254" s="11"/>
    </row>
    <row r="9255" spans="3:11">
      <c r="C9255" s="11"/>
      <c r="K9255" s="11"/>
    </row>
    <row r="9256" spans="3:11">
      <c r="C9256" s="11"/>
      <c r="K9256" s="11"/>
    </row>
    <row r="9257" spans="3:11">
      <c r="C9257" s="11"/>
      <c r="K9257" s="11"/>
    </row>
    <row r="9258" spans="3:11">
      <c r="C9258" s="11"/>
      <c r="K9258" s="11"/>
    </row>
    <row r="9259" spans="3:11">
      <c r="C9259" s="11"/>
      <c r="K9259" s="11"/>
    </row>
    <row r="9260" spans="3:11">
      <c r="C9260" s="11"/>
      <c r="K9260" s="11"/>
    </row>
    <row r="9261" spans="3:11">
      <c r="C9261" s="11"/>
      <c r="K9261" s="11"/>
    </row>
    <row r="9262" spans="3:11">
      <c r="C9262" s="11"/>
      <c r="K9262" s="11"/>
    </row>
    <row r="9263" spans="3:11">
      <c r="C9263" s="11"/>
      <c r="K9263" s="11"/>
    </row>
    <row r="9264" spans="3:11">
      <c r="C9264" s="11"/>
      <c r="K9264" s="11"/>
    </row>
    <row r="9265" spans="3:11">
      <c r="C9265" s="11"/>
      <c r="K9265" s="11"/>
    </row>
    <row r="9266" spans="3:11">
      <c r="C9266" s="11"/>
      <c r="K9266" s="11"/>
    </row>
    <row r="9267" spans="3:11">
      <c r="C9267" s="11"/>
      <c r="K9267" s="11"/>
    </row>
    <row r="9268" spans="3:11">
      <c r="C9268" s="11"/>
      <c r="K9268" s="11"/>
    </row>
    <row r="9269" spans="3:11">
      <c r="C9269" s="11"/>
      <c r="K9269" s="11"/>
    </row>
    <row r="9270" spans="3:11">
      <c r="C9270" s="11"/>
      <c r="K9270" s="11"/>
    </row>
    <row r="9271" spans="3:11">
      <c r="C9271" s="11"/>
      <c r="K9271" s="11"/>
    </row>
    <row r="9272" spans="3:11">
      <c r="C9272" s="11"/>
      <c r="K9272" s="11"/>
    </row>
    <row r="9273" spans="3:11">
      <c r="C9273" s="11"/>
      <c r="K9273" s="11"/>
    </row>
    <row r="9274" spans="3:11">
      <c r="C9274" s="11"/>
      <c r="K9274" s="11"/>
    </row>
    <row r="9275" spans="3:11">
      <c r="C9275" s="11"/>
      <c r="K9275" s="11"/>
    </row>
    <row r="9276" spans="3:11">
      <c r="C9276" s="11"/>
      <c r="K9276" s="11"/>
    </row>
    <row r="9277" spans="3:11">
      <c r="C9277" s="11"/>
      <c r="K9277" s="11"/>
    </row>
    <row r="9278" spans="3:11">
      <c r="C9278" s="11"/>
      <c r="K9278" s="11"/>
    </row>
    <row r="9279" spans="3:11">
      <c r="C9279" s="11"/>
      <c r="K9279" s="11"/>
    </row>
    <row r="9280" spans="3:11">
      <c r="C9280" s="11"/>
      <c r="K9280" s="11"/>
    </row>
    <row r="9281" spans="3:11">
      <c r="C9281" s="11"/>
      <c r="K9281" s="11"/>
    </row>
    <row r="9282" spans="3:11">
      <c r="C9282" s="11"/>
      <c r="K9282" s="11"/>
    </row>
    <row r="9283" spans="3:11">
      <c r="C9283" s="11"/>
      <c r="K9283" s="11"/>
    </row>
    <row r="9284" spans="3:11">
      <c r="C9284" s="11"/>
      <c r="K9284" s="11"/>
    </row>
    <row r="9285" spans="3:11">
      <c r="C9285" s="11"/>
      <c r="K9285" s="11"/>
    </row>
    <row r="9286" spans="3:11">
      <c r="C9286" s="11"/>
      <c r="K9286" s="11"/>
    </row>
    <row r="9287" spans="3:11">
      <c r="C9287" s="11"/>
      <c r="K9287" s="11"/>
    </row>
    <row r="9288" spans="3:11">
      <c r="C9288" s="11"/>
      <c r="K9288" s="11"/>
    </row>
    <row r="9289" spans="3:11">
      <c r="C9289" s="11"/>
      <c r="K9289" s="11"/>
    </row>
    <row r="9290" spans="3:11">
      <c r="C9290" s="11"/>
      <c r="K9290" s="11"/>
    </row>
    <row r="9291" spans="3:11">
      <c r="C9291" s="11"/>
      <c r="K9291" s="11"/>
    </row>
    <row r="9292" spans="3:11">
      <c r="C9292" s="11"/>
      <c r="K9292" s="11"/>
    </row>
    <row r="9293" spans="3:11">
      <c r="C9293" s="11"/>
      <c r="K9293" s="11"/>
    </row>
    <row r="9294" spans="3:11">
      <c r="C9294" s="11"/>
      <c r="K9294" s="11"/>
    </row>
    <row r="9295" spans="3:11">
      <c r="C9295" s="11"/>
      <c r="K9295" s="11"/>
    </row>
    <row r="9296" spans="3:11">
      <c r="C9296" s="11"/>
      <c r="K9296" s="11"/>
    </row>
    <row r="9297" spans="3:11">
      <c r="C9297" s="11"/>
      <c r="K9297" s="11"/>
    </row>
    <row r="9298" spans="3:11">
      <c r="C9298" s="11"/>
      <c r="K9298" s="11"/>
    </row>
    <row r="9299" spans="3:11">
      <c r="C9299" s="11"/>
      <c r="K9299" s="11"/>
    </row>
    <row r="9300" spans="3:11">
      <c r="C9300" s="11"/>
      <c r="K9300" s="11"/>
    </row>
    <row r="9301" spans="3:11">
      <c r="C9301" s="11"/>
      <c r="K9301" s="11"/>
    </row>
    <row r="9302" spans="3:11">
      <c r="C9302" s="11"/>
      <c r="K9302" s="11"/>
    </row>
    <row r="9303" spans="3:11">
      <c r="C9303" s="11"/>
      <c r="K9303" s="11"/>
    </row>
    <row r="9304" spans="3:11">
      <c r="C9304" s="11"/>
      <c r="K9304" s="11"/>
    </row>
    <row r="9305" spans="3:11">
      <c r="C9305" s="11"/>
      <c r="K9305" s="11"/>
    </row>
    <row r="9306" spans="3:11">
      <c r="C9306" s="11"/>
      <c r="K9306" s="11"/>
    </row>
    <row r="9307" spans="3:11">
      <c r="C9307" s="11"/>
      <c r="K9307" s="11"/>
    </row>
    <row r="9308" spans="3:11">
      <c r="C9308" s="11"/>
      <c r="K9308" s="11"/>
    </row>
    <row r="9309" spans="3:11">
      <c r="C9309" s="11"/>
      <c r="K9309" s="11"/>
    </row>
    <row r="9310" spans="3:11">
      <c r="C9310" s="11"/>
      <c r="K9310" s="11"/>
    </row>
    <row r="9311" spans="3:11">
      <c r="C9311" s="11"/>
      <c r="K9311" s="11"/>
    </row>
    <row r="9312" spans="3:11">
      <c r="C9312" s="11"/>
      <c r="K9312" s="11"/>
    </row>
    <row r="9313" spans="3:11">
      <c r="C9313" s="11"/>
      <c r="K9313" s="11"/>
    </row>
    <row r="9314" spans="3:11">
      <c r="C9314" s="11"/>
      <c r="K9314" s="11"/>
    </row>
    <row r="9315" spans="3:11">
      <c r="C9315" s="11"/>
      <c r="K9315" s="11"/>
    </row>
    <row r="9316" spans="3:11">
      <c r="C9316" s="11"/>
      <c r="K9316" s="11"/>
    </row>
    <row r="9317" spans="3:11">
      <c r="C9317" s="11"/>
      <c r="K9317" s="11"/>
    </row>
    <row r="9318" spans="3:11">
      <c r="C9318" s="11"/>
      <c r="K9318" s="11"/>
    </row>
    <row r="9319" spans="3:11">
      <c r="C9319" s="11"/>
      <c r="K9319" s="11"/>
    </row>
    <row r="9320" spans="3:11">
      <c r="C9320" s="11"/>
      <c r="K9320" s="11"/>
    </row>
    <row r="9321" spans="3:11">
      <c r="C9321" s="11"/>
      <c r="K9321" s="11"/>
    </row>
    <row r="9322" spans="3:11">
      <c r="C9322" s="11"/>
      <c r="K9322" s="11"/>
    </row>
    <row r="9323" spans="3:11">
      <c r="C9323" s="11"/>
      <c r="K9323" s="11"/>
    </row>
    <row r="9324" spans="3:11">
      <c r="C9324" s="11"/>
      <c r="K9324" s="11"/>
    </row>
    <row r="9325" spans="3:11">
      <c r="C9325" s="11"/>
      <c r="K9325" s="11"/>
    </row>
    <row r="9326" spans="3:11">
      <c r="C9326" s="11"/>
      <c r="K9326" s="11"/>
    </row>
    <row r="9327" spans="3:11">
      <c r="C9327" s="11"/>
      <c r="K9327" s="11"/>
    </row>
    <row r="9328" spans="3:11">
      <c r="C9328" s="11"/>
      <c r="K9328" s="11"/>
    </row>
    <row r="9329" spans="3:11">
      <c r="C9329" s="11"/>
      <c r="K9329" s="11"/>
    </row>
    <row r="9330" spans="3:11">
      <c r="C9330" s="11"/>
      <c r="K9330" s="11"/>
    </row>
    <row r="9331" spans="3:11">
      <c r="C9331" s="11"/>
      <c r="K9331" s="11"/>
    </row>
    <row r="9332" spans="3:11">
      <c r="C9332" s="11"/>
      <c r="K9332" s="11"/>
    </row>
    <row r="9333" spans="3:11">
      <c r="C9333" s="11"/>
      <c r="K9333" s="11"/>
    </row>
    <row r="9334" spans="3:11">
      <c r="C9334" s="11"/>
      <c r="K9334" s="11"/>
    </row>
    <row r="9335" spans="3:11">
      <c r="C9335" s="11"/>
      <c r="K9335" s="11"/>
    </row>
    <row r="9336" spans="3:11">
      <c r="C9336" s="11"/>
      <c r="K9336" s="11"/>
    </row>
    <row r="9337" spans="3:11">
      <c r="C9337" s="11"/>
      <c r="K9337" s="11"/>
    </row>
    <row r="9338" spans="3:11">
      <c r="C9338" s="11"/>
      <c r="K9338" s="11"/>
    </row>
    <row r="9339" spans="3:11">
      <c r="C9339" s="11"/>
      <c r="K9339" s="11"/>
    </row>
    <row r="9340" spans="3:11">
      <c r="C9340" s="11"/>
      <c r="K9340" s="11"/>
    </row>
    <row r="9341" spans="3:11">
      <c r="C9341" s="11"/>
      <c r="K9341" s="11"/>
    </row>
    <row r="9342" spans="3:11">
      <c r="C9342" s="11"/>
      <c r="K9342" s="11"/>
    </row>
    <row r="9343" spans="3:11">
      <c r="C9343" s="11"/>
      <c r="K9343" s="11"/>
    </row>
    <row r="9344" spans="3:11">
      <c r="C9344" s="11"/>
      <c r="K9344" s="11"/>
    </row>
    <row r="9345" spans="3:11">
      <c r="C9345" s="11"/>
      <c r="K9345" s="11"/>
    </row>
    <row r="9346" spans="3:11">
      <c r="C9346" s="11"/>
      <c r="K9346" s="11"/>
    </row>
    <row r="9347" spans="3:11">
      <c r="C9347" s="11"/>
      <c r="K9347" s="11"/>
    </row>
    <row r="9348" spans="3:11">
      <c r="C9348" s="11"/>
      <c r="K9348" s="11"/>
    </row>
    <row r="9349" spans="3:11">
      <c r="C9349" s="11"/>
      <c r="K9349" s="11"/>
    </row>
    <row r="9350" spans="3:11">
      <c r="C9350" s="11"/>
      <c r="K9350" s="11"/>
    </row>
    <row r="9351" spans="3:11">
      <c r="C9351" s="11"/>
      <c r="K9351" s="11"/>
    </row>
    <row r="9352" spans="3:11">
      <c r="C9352" s="11"/>
      <c r="K9352" s="11"/>
    </row>
    <row r="9353" spans="3:11">
      <c r="C9353" s="11"/>
      <c r="K9353" s="11"/>
    </row>
    <row r="9354" spans="3:11">
      <c r="C9354" s="11"/>
      <c r="K9354" s="11"/>
    </row>
    <row r="9355" spans="3:11">
      <c r="C9355" s="11"/>
      <c r="K9355" s="11"/>
    </row>
    <row r="9356" spans="3:11">
      <c r="C9356" s="11"/>
      <c r="K9356" s="11"/>
    </row>
    <row r="9357" spans="3:11">
      <c r="C9357" s="11"/>
      <c r="K9357" s="11"/>
    </row>
    <row r="9358" spans="3:11">
      <c r="C9358" s="11"/>
      <c r="K9358" s="11"/>
    </row>
    <row r="9359" spans="3:11">
      <c r="C9359" s="11"/>
      <c r="K9359" s="11"/>
    </row>
    <row r="9360" spans="3:11">
      <c r="C9360" s="11"/>
      <c r="K9360" s="11"/>
    </row>
    <row r="9361" spans="3:11">
      <c r="C9361" s="11"/>
      <c r="K9361" s="11"/>
    </row>
    <row r="9362" spans="3:11">
      <c r="C9362" s="11"/>
      <c r="K9362" s="11"/>
    </row>
    <row r="9363" spans="3:11">
      <c r="C9363" s="11"/>
      <c r="K9363" s="11"/>
    </row>
    <row r="9364" spans="3:11">
      <c r="C9364" s="11"/>
      <c r="K9364" s="11"/>
    </row>
    <row r="9365" spans="3:11">
      <c r="C9365" s="11"/>
      <c r="K9365" s="11"/>
    </row>
    <row r="9366" spans="3:11">
      <c r="C9366" s="11"/>
      <c r="K9366" s="11"/>
    </row>
    <row r="9367" spans="3:11">
      <c r="C9367" s="11"/>
      <c r="K9367" s="11"/>
    </row>
    <row r="9368" spans="3:11">
      <c r="C9368" s="11"/>
      <c r="K9368" s="11"/>
    </row>
    <row r="9369" spans="3:11">
      <c r="C9369" s="11"/>
      <c r="K9369" s="11"/>
    </row>
    <row r="9370" spans="3:11">
      <c r="C9370" s="11"/>
      <c r="K9370" s="11"/>
    </row>
    <row r="9371" spans="3:11">
      <c r="C9371" s="11"/>
      <c r="K9371" s="11"/>
    </row>
    <row r="9372" spans="3:11">
      <c r="C9372" s="11"/>
      <c r="K9372" s="11"/>
    </row>
    <row r="9373" spans="3:11">
      <c r="C9373" s="11"/>
      <c r="K9373" s="11"/>
    </row>
    <row r="9374" spans="3:11">
      <c r="C9374" s="11"/>
      <c r="K9374" s="11"/>
    </row>
    <row r="9375" spans="3:11">
      <c r="C9375" s="11"/>
      <c r="K9375" s="11"/>
    </row>
    <row r="9376" spans="3:11">
      <c r="C9376" s="11"/>
      <c r="K9376" s="11"/>
    </row>
    <row r="9377" spans="3:11">
      <c r="C9377" s="11"/>
      <c r="K9377" s="11"/>
    </row>
    <row r="9378" spans="3:11">
      <c r="C9378" s="11"/>
      <c r="K9378" s="11"/>
    </row>
    <row r="9379" spans="3:11">
      <c r="C9379" s="11"/>
      <c r="K9379" s="11"/>
    </row>
    <row r="9380" spans="3:11">
      <c r="C9380" s="11"/>
      <c r="K9380" s="11"/>
    </row>
    <row r="9381" spans="3:11">
      <c r="C9381" s="11"/>
      <c r="K9381" s="11"/>
    </row>
    <row r="9382" spans="3:11">
      <c r="C9382" s="11"/>
      <c r="K9382" s="11"/>
    </row>
    <row r="9383" spans="3:11">
      <c r="C9383" s="11"/>
      <c r="K9383" s="11"/>
    </row>
    <row r="9384" spans="3:11">
      <c r="C9384" s="11"/>
      <c r="K9384" s="11"/>
    </row>
    <row r="9385" spans="3:11">
      <c r="C9385" s="11"/>
      <c r="K9385" s="11"/>
    </row>
    <row r="9386" spans="3:11">
      <c r="C9386" s="11"/>
      <c r="K9386" s="11"/>
    </row>
    <row r="9387" spans="3:11">
      <c r="C9387" s="11"/>
      <c r="K9387" s="11"/>
    </row>
    <row r="9388" spans="3:11">
      <c r="C9388" s="11"/>
      <c r="K9388" s="11"/>
    </row>
    <row r="9389" spans="3:11">
      <c r="C9389" s="11"/>
      <c r="K9389" s="11"/>
    </row>
    <row r="9390" spans="3:11">
      <c r="C9390" s="11"/>
      <c r="K9390" s="11"/>
    </row>
    <row r="9391" spans="3:11">
      <c r="C9391" s="11"/>
      <c r="K9391" s="11"/>
    </row>
    <row r="9392" spans="3:11">
      <c r="C9392" s="11"/>
      <c r="K9392" s="11"/>
    </row>
    <row r="9393" spans="3:11">
      <c r="C9393" s="11"/>
      <c r="K9393" s="11"/>
    </row>
    <row r="9394" spans="3:11">
      <c r="C9394" s="11"/>
      <c r="K9394" s="11"/>
    </row>
    <row r="9395" spans="3:11">
      <c r="C9395" s="11"/>
      <c r="K9395" s="11"/>
    </row>
    <row r="9396" spans="3:11">
      <c r="C9396" s="11"/>
      <c r="K9396" s="11"/>
    </row>
    <row r="9397" spans="3:11">
      <c r="C9397" s="11"/>
      <c r="K9397" s="11"/>
    </row>
    <row r="9398" spans="3:11">
      <c r="C9398" s="11"/>
      <c r="K9398" s="11"/>
    </row>
    <row r="9399" spans="3:11">
      <c r="C9399" s="11"/>
      <c r="K9399" s="11"/>
    </row>
    <row r="9400" spans="3:11">
      <c r="C9400" s="11"/>
      <c r="K9400" s="11"/>
    </row>
    <row r="9401" spans="3:11">
      <c r="C9401" s="11"/>
      <c r="K9401" s="11"/>
    </row>
    <row r="9402" spans="3:11">
      <c r="C9402" s="11"/>
      <c r="K9402" s="11"/>
    </row>
    <row r="9403" spans="3:11">
      <c r="C9403" s="11"/>
      <c r="K9403" s="11"/>
    </row>
    <row r="9404" spans="3:11">
      <c r="C9404" s="11"/>
      <c r="K9404" s="11"/>
    </row>
    <row r="9405" spans="3:11">
      <c r="C9405" s="11"/>
      <c r="K9405" s="11"/>
    </row>
    <row r="9406" spans="3:11">
      <c r="C9406" s="11"/>
      <c r="K9406" s="11"/>
    </row>
    <row r="9407" spans="3:11">
      <c r="C9407" s="11"/>
      <c r="K9407" s="11"/>
    </row>
    <row r="9408" spans="3:11">
      <c r="C9408" s="11"/>
      <c r="K9408" s="11"/>
    </row>
    <row r="9409" spans="3:11">
      <c r="C9409" s="11"/>
      <c r="K9409" s="11"/>
    </row>
    <row r="9410" spans="3:11">
      <c r="C9410" s="11"/>
      <c r="K9410" s="11"/>
    </row>
    <row r="9411" spans="3:11">
      <c r="C9411" s="11"/>
      <c r="K9411" s="11"/>
    </row>
    <row r="9412" spans="3:11">
      <c r="C9412" s="11"/>
      <c r="K9412" s="11"/>
    </row>
    <row r="9413" spans="3:11">
      <c r="C9413" s="11"/>
      <c r="K9413" s="11"/>
    </row>
    <row r="9414" spans="3:11">
      <c r="C9414" s="11"/>
      <c r="K9414" s="11"/>
    </row>
    <row r="9415" spans="3:11">
      <c r="C9415" s="11"/>
      <c r="K9415" s="11"/>
    </row>
    <row r="9416" spans="3:11">
      <c r="C9416" s="11"/>
      <c r="K9416" s="11"/>
    </row>
    <row r="9417" spans="3:11">
      <c r="C9417" s="11"/>
      <c r="K9417" s="11"/>
    </row>
    <row r="9418" spans="3:11">
      <c r="C9418" s="11"/>
      <c r="K9418" s="11"/>
    </row>
    <row r="9419" spans="3:11">
      <c r="C9419" s="11"/>
      <c r="K9419" s="11"/>
    </row>
    <row r="9420" spans="3:11">
      <c r="C9420" s="11"/>
      <c r="K9420" s="11"/>
    </row>
    <row r="9421" spans="3:11">
      <c r="C9421" s="11"/>
      <c r="K9421" s="11"/>
    </row>
    <row r="9422" spans="3:11">
      <c r="C9422" s="11"/>
      <c r="K9422" s="11"/>
    </row>
    <row r="9423" spans="3:11">
      <c r="C9423" s="11"/>
      <c r="K9423" s="11"/>
    </row>
    <row r="9424" spans="3:11">
      <c r="C9424" s="11"/>
      <c r="K9424" s="11"/>
    </row>
    <row r="9425" spans="3:11">
      <c r="C9425" s="11"/>
      <c r="K9425" s="11"/>
    </row>
    <row r="9426" spans="3:11">
      <c r="C9426" s="11"/>
      <c r="K9426" s="11"/>
    </row>
    <row r="9427" spans="3:11">
      <c r="C9427" s="11"/>
      <c r="K9427" s="11"/>
    </row>
    <row r="9428" spans="3:11">
      <c r="C9428" s="11"/>
      <c r="K9428" s="11"/>
    </row>
    <row r="9429" spans="3:11">
      <c r="C9429" s="11"/>
      <c r="K9429" s="11"/>
    </row>
    <row r="9430" spans="3:11">
      <c r="C9430" s="11"/>
      <c r="K9430" s="11"/>
    </row>
    <row r="9431" spans="3:11">
      <c r="C9431" s="11"/>
      <c r="K9431" s="11"/>
    </row>
    <row r="9432" spans="3:11">
      <c r="C9432" s="11"/>
      <c r="K9432" s="11"/>
    </row>
    <row r="9433" spans="3:11">
      <c r="C9433" s="11"/>
      <c r="K9433" s="11"/>
    </row>
    <row r="9434" spans="3:11">
      <c r="C9434" s="11"/>
      <c r="K9434" s="11"/>
    </row>
    <row r="9435" spans="3:11">
      <c r="C9435" s="11"/>
      <c r="K9435" s="11"/>
    </row>
    <row r="9436" spans="3:11">
      <c r="C9436" s="11"/>
      <c r="K9436" s="11"/>
    </row>
    <row r="9437" spans="3:11">
      <c r="C9437" s="11"/>
      <c r="K9437" s="11"/>
    </row>
    <row r="9438" spans="3:11">
      <c r="C9438" s="11"/>
      <c r="K9438" s="11"/>
    </row>
    <row r="9439" spans="3:11">
      <c r="C9439" s="11"/>
      <c r="K9439" s="11"/>
    </row>
    <row r="9440" spans="3:11">
      <c r="C9440" s="11"/>
      <c r="K9440" s="11"/>
    </row>
    <row r="9441" spans="3:11">
      <c r="C9441" s="11"/>
      <c r="K9441" s="11"/>
    </row>
    <row r="9442" spans="3:11">
      <c r="C9442" s="11"/>
      <c r="K9442" s="11"/>
    </row>
    <row r="9443" spans="3:11">
      <c r="C9443" s="11"/>
      <c r="K9443" s="11"/>
    </row>
    <row r="9444" spans="3:11">
      <c r="C9444" s="11"/>
      <c r="K9444" s="11"/>
    </row>
    <row r="9445" spans="3:11">
      <c r="C9445" s="11"/>
      <c r="K9445" s="11"/>
    </row>
    <row r="9446" spans="3:11">
      <c r="C9446" s="11"/>
      <c r="K9446" s="11"/>
    </row>
    <row r="9447" spans="3:11">
      <c r="C9447" s="11"/>
      <c r="K9447" s="11"/>
    </row>
    <row r="9448" spans="3:11">
      <c r="C9448" s="11"/>
      <c r="K9448" s="11"/>
    </row>
    <row r="9449" spans="3:11">
      <c r="C9449" s="11"/>
      <c r="K9449" s="11"/>
    </row>
    <row r="9450" spans="3:11">
      <c r="C9450" s="11"/>
      <c r="K9450" s="11"/>
    </row>
    <row r="9451" spans="3:11">
      <c r="C9451" s="11"/>
      <c r="K9451" s="11"/>
    </row>
    <row r="9452" spans="3:11">
      <c r="C9452" s="11"/>
      <c r="K9452" s="11"/>
    </row>
    <row r="9453" spans="3:11">
      <c r="C9453" s="11"/>
      <c r="K9453" s="11"/>
    </row>
    <row r="9454" spans="3:11">
      <c r="C9454" s="11"/>
      <c r="K9454" s="11"/>
    </row>
    <row r="9455" spans="3:11">
      <c r="C9455" s="11"/>
      <c r="K9455" s="11"/>
    </row>
    <row r="9456" spans="3:11">
      <c r="C9456" s="11"/>
      <c r="K9456" s="11"/>
    </row>
    <row r="9457" spans="3:11">
      <c r="C9457" s="11"/>
      <c r="K9457" s="11"/>
    </row>
    <row r="9458" spans="3:11">
      <c r="C9458" s="11"/>
      <c r="K9458" s="11"/>
    </row>
    <row r="9459" spans="3:11">
      <c r="C9459" s="11"/>
      <c r="K9459" s="11"/>
    </row>
    <row r="9460" spans="3:11">
      <c r="C9460" s="11"/>
      <c r="K9460" s="11"/>
    </row>
    <row r="9461" spans="3:11">
      <c r="C9461" s="11"/>
      <c r="K9461" s="11"/>
    </row>
    <row r="9462" spans="3:11">
      <c r="C9462" s="11"/>
      <c r="K9462" s="11"/>
    </row>
    <row r="9463" spans="3:11">
      <c r="C9463" s="11"/>
      <c r="K9463" s="11"/>
    </row>
    <row r="9464" spans="3:11">
      <c r="C9464" s="11"/>
      <c r="K9464" s="11"/>
    </row>
    <row r="9465" spans="3:11">
      <c r="C9465" s="11"/>
      <c r="K9465" s="11"/>
    </row>
    <row r="9466" spans="3:11">
      <c r="C9466" s="11"/>
      <c r="K9466" s="11"/>
    </row>
    <row r="9467" spans="3:11">
      <c r="C9467" s="11"/>
      <c r="K9467" s="11"/>
    </row>
    <row r="9468" spans="3:11">
      <c r="C9468" s="11"/>
      <c r="K9468" s="11"/>
    </row>
    <row r="9469" spans="3:11">
      <c r="C9469" s="11"/>
      <c r="K9469" s="11"/>
    </row>
    <row r="9470" spans="3:11">
      <c r="C9470" s="11"/>
      <c r="K9470" s="11"/>
    </row>
    <row r="9471" spans="3:11">
      <c r="C9471" s="11"/>
      <c r="K9471" s="11"/>
    </row>
    <row r="9472" spans="3:11">
      <c r="C9472" s="11"/>
      <c r="K9472" s="11"/>
    </row>
    <row r="9473" spans="3:11">
      <c r="C9473" s="11"/>
      <c r="K9473" s="11"/>
    </row>
    <row r="9474" spans="3:11">
      <c r="C9474" s="11"/>
      <c r="K9474" s="11"/>
    </row>
    <row r="9475" spans="3:11">
      <c r="C9475" s="11"/>
      <c r="K9475" s="11"/>
    </row>
    <row r="9476" spans="3:11">
      <c r="C9476" s="11"/>
      <c r="K9476" s="11"/>
    </row>
    <row r="9477" spans="3:11">
      <c r="C9477" s="11"/>
      <c r="K9477" s="11"/>
    </row>
    <row r="9478" spans="3:11">
      <c r="C9478" s="11"/>
      <c r="K9478" s="11"/>
    </row>
    <row r="9479" spans="3:11">
      <c r="C9479" s="11"/>
      <c r="K9479" s="11"/>
    </row>
    <row r="9480" spans="3:11">
      <c r="C9480" s="11"/>
      <c r="K9480" s="11"/>
    </row>
    <row r="9481" spans="3:11">
      <c r="C9481" s="11"/>
      <c r="K9481" s="11"/>
    </row>
    <row r="9482" spans="3:11">
      <c r="C9482" s="11"/>
      <c r="K9482" s="11"/>
    </row>
    <row r="9483" spans="3:11">
      <c r="C9483" s="11"/>
      <c r="K9483" s="11"/>
    </row>
    <row r="9484" spans="3:11">
      <c r="C9484" s="11"/>
      <c r="K9484" s="11"/>
    </row>
    <row r="9485" spans="3:11">
      <c r="C9485" s="11"/>
      <c r="K9485" s="11"/>
    </row>
    <row r="9486" spans="3:11">
      <c r="C9486" s="11"/>
      <c r="K9486" s="11"/>
    </row>
    <row r="9487" spans="3:11">
      <c r="C9487" s="11"/>
      <c r="K9487" s="11"/>
    </row>
    <row r="9488" spans="3:11">
      <c r="C9488" s="11"/>
      <c r="K9488" s="11"/>
    </row>
    <row r="9489" spans="3:11">
      <c r="C9489" s="11"/>
      <c r="K9489" s="11"/>
    </row>
    <row r="9490" spans="3:11">
      <c r="C9490" s="11"/>
      <c r="K9490" s="11"/>
    </row>
    <row r="9491" spans="3:11">
      <c r="C9491" s="11"/>
      <c r="K9491" s="11"/>
    </row>
    <row r="9492" spans="3:11">
      <c r="C9492" s="11"/>
      <c r="K9492" s="11"/>
    </row>
    <row r="9493" spans="3:11">
      <c r="C9493" s="11"/>
      <c r="K9493" s="11"/>
    </row>
    <row r="9494" spans="3:11">
      <c r="C9494" s="11"/>
      <c r="K9494" s="11"/>
    </row>
    <row r="9495" spans="3:11">
      <c r="C9495" s="11"/>
      <c r="K9495" s="11"/>
    </row>
    <row r="9496" spans="3:11">
      <c r="C9496" s="11"/>
      <c r="K9496" s="11"/>
    </row>
    <row r="9497" spans="3:11">
      <c r="C9497" s="11"/>
      <c r="K9497" s="11"/>
    </row>
    <row r="9498" spans="3:11">
      <c r="C9498" s="11"/>
      <c r="K9498" s="11"/>
    </row>
    <row r="9499" spans="3:11">
      <c r="C9499" s="11"/>
      <c r="K9499" s="11"/>
    </row>
    <row r="9500" spans="3:11">
      <c r="C9500" s="11"/>
      <c r="K9500" s="11"/>
    </row>
    <row r="9501" spans="3:11">
      <c r="C9501" s="11"/>
      <c r="K9501" s="11"/>
    </row>
    <row r="9502" spans="3:11">
      <c r="C9502" s="11"/>
      <c r="K9502" s="11"/>
    </row>
    <row r="9503" spans="3:11">
      <c r="C9503" s="11"/>
      <c r="K9503" s="11"/>
    </row>
    <row r="9504" spans="3:11">
      <c r="C9504" s="11"/>
      <c r="K9504" s="11"/>
    </row>
    <row r="9505" spans="3:11">
      <c r="C9505" s="11"/>
      <c r="K9505" s="11"/>
    </row>
    <row r="9506" spans="3:11">
      <c r="C9506" s="11"/>
      <c r="K9506" s="11"/>
    </row>
    <row r="9507" spans="3:11">
      <c r="C9507" s="11"/>
      <c r="K9507" s="11"/>
    </row>
    <row r="9508" spans="3:11">
      <c r="C9508" s="11"/>
      <c r="K9508" s="11"/>
    </row>
    <row r="9509" spans="3:11">
      <c r="C9509" s="11"/>
      <c r="K9509" s="11"/>
    </row>
    <row r="9510" spans="3:11">
      <c r="C9510" s="11"/>
      <c r="K9510" s="11"/>
    </row>
    <row r="9511" spans="3:11">
      <c r="C9511" s="11"/>
      <c r="K9511" s="11"/>
    </row>
    <row r="9512" spans="3:11">
      <c r="C9512" s="11"/>
      <c r="K9512" s="11"/>
    </row>
    <row r="9513" spans="3:11">
      <c r="C9513" s="11"/>
      <c r="K9513" s="11"/>
    </row>
    <row r="9514" spans="3:11">
      <c r="C9514" s="11"/>
      <c r="K9514" s="11"/>
    </row>
    <row r="9515" spans="3:11">
      <c r="C9515" s="11"/>
      <c r="K9515" s="11"/>
    </row>
    <row r="9516" spans="3:11">
      <c r="C9516" s="11"/>
      <c r="K9516" s="11"/>
    </row>
    <row r="9517" spans="3:11">
      <c r="C9517" s="11"/>
      <c r="K9517" s="11"/>
    </row>
    <row r="9518" spans="3:11">
      <c r="C9518" s="11"/>
      <c r="K9518" s="11"/>
    </row>
    <row r="9519" spans="3:11">
      <c r="C9519" s="11"/>
      <c r="K9519" s="11"/>
    </row>
    <row r="9520" spans="3:11">
      <c r="C9520" s="11"/>
      <c r="K9520" s="11"/>
    </row>
    <row r="9521" spans="3:11">
      <c r="C9521" s="11"/>
      <c r="K9521" s="11"/>
    </row>
    <row r="9522" spans="3:11">
      <c r="C9522" s="11"/>
      <c r="K9522" s="11"/>
    </row>
    <row r="9523" spans="3:11">
      <c r="C9523" s="11"/>
      <c r="K9523" s="11"/>
    </row>
    <row r="9524" spans="3:11">
      <c r="C9524" s="11"/>
      <c r="K9524" s="11"/>
    </row>
    <row r="9525" spans="3:11">
      <c r="C9525" s="11"/>
      <c r="K9525" s="11"/>
    </row>
    <row r="9526" spans="3:11">
      <c r="C9526" s="11"/>
      <c r="K9526" s="11"/>
    </row>
    <row r="9527" spans="3:11">
      <c r="C9527" s="11"/>
      <c r="K9527" s="11"/>
    </row>
    <row r="9528" spans="3:11">
      <c r="C9528" s="11"/>
      <c r="K9528" s="11"/>
    </row>
    <row r="9529" spans="3:11">
      <c r="C9529" s="11"/>
      <c r="K9529" s="11"/>
    </row>
    <row r="9530" spans="3:11">
      <c r="C9530" s="11"/>
      <c r="K9530" s="11"/>
    </row>
    <row r="9531" spans="3:11">
      <c r="C9531" s="11"/>
      <c r="K9531" s="11"/>
    </row>
    <row r="9532" spans="3:11">
      <c r="C9532" s="11"/>
      <c r="K9532" s="11"/>
    </row>
    <row r="9533" spans="3:11">
      <c r="C9533" s="11"/>
      <c r="K9533" s="11"/>
    </row>
    <row r="9534" spans="3:11">
      <c r="C9534" s="11"/>
      <c r="K9534" s="11"/>
    </row>
    <row r="9535" spans="3:11">
      <c r="C9535" s="11"/>
      <c r="K9535" s="11"/>
    </row>
    <row r="9536" spans="3:11">
      <c r="C9536" s="11"/>
      <c r="K9536" s="11"/>
    </row>
    <row r="9537" spans="3:11">
      <c r="C9537" s="11"/>
      <c r="K9537" s="11"/>
    </row>
    <row r="9538" spans="3:11">
      <c r="C9538" s="11"/>
      <c r="K9538" s="11"/>
    </row>
    <row r="9539" spans="3:11">
      <c r="C9539" s="11"/>
      <c r="K9539" s="11"/>
    </row>
    <row r="9540" spans="3:11">
      <c r="C9540" s="11"/>
      <c r="K9540" s="11"/>
    </row>
    <row r="9541" spans="3:11">
      <c r="C9541" s="11"/>
      <c r="K9541" s="11"/>
    </row>
    <row r="9542" spans="3:11">
      <c r="C9542" s="11"/>
      <c r="K9542" s="11"/>
    </row>
    <row r="9543" spans="3:11">
      <c r="C9543" s="11"/>
      <c r="K9543" s="11"/>
    </row>
    <row r="9544" spans="3:11">
      <c r="C9544" s="11"/>
      <c r="K9544" s="11"/>
    </row>
    <row r="9545" spans="3:11">
      <c r="C9545" s="11"/>
      <c r="K9545" s="11"/>
    </row>
    <row r="9546" spans="3:11">
      <c r="C9546" s="11"/>
      <c r="K9546" s="11"/>
    </row>
    <row r="9547" spans="3:11">
      <c r="C9547" s="11"/>
      <c r="K9547" s="11"/>
    </row>
    <row r="9548" spans="3:11">
      <c r="C9548" s="11"/>
      <c r="K9548" s="11"/>
    </row>
    <row r="9549" spans="3:11">
      <c r="C9549" s="11"/>
      <c r="K9549" s="11"/>
    </row>
    <row r="9550" spans="3:11">
      <c r="C9550" s="11"/>
      <c r="K9550" s="11"/>
    </row>
    <row r="9551" spans="3:11">
      <c r="C9551" s="11"/>
      <c r="K9551" s="11"/>
    </row>
    <row r="9552" spans="3:11">
      <c r="C9552" s="11"/>
      <c r="K9552" s="11"/>
    </row>
    <row r="9553" spans="3:11">
      <c r="C9553" s="11"/>
      <c r="K9553" s="11"/>
    </row>
    <row r="9554" spans="3:11">
      <c r="C9554" s="11"/>
      <c r="K9554" s="11"/>
    </row>
    <row r="9555" spans="3:11">
      <c r="C9555" s="11"/>
      <c r="K9555" s="11"/>
    </row>
    <row r="9556" spans="3:11">
      <c r="C9556" s="11"/>
      <c r="K9556" s="11"/>
    </row>
    <row r="9557" spans="3:11">
      <c r="C9557" s="11"/>
      <c r="K9557" s="11"/>
    </row>
    <row r="9558" spans="3:11">
      <c r="C9558" s="11"/>
      <c r="K9558" s="11"/>
    </row>
    <row r="9559" spans="3:11">
      <c r="C9559" s="11"/>
      <c r="K9559" s="11"/>
    </row>
    <row r="9560" spans="3:11">
      <c r="C9560" s="11"/>
      <c r="K9560" s="11"/>
    </row>
    <row r="9561" spans="3:11">
      <c r="C9561" s="11"/>
      <c r="K9561" s="11"/>
    </row>
    <row r="9562" spans="3:11">
      <c r="C9562" s="11"/>
      <c r="K9562" s="11"/>
    </row>
    <row r="9563" spans="3:11">
      <c r="C9563" s="11"/>
      <c r="K9563" s="11"/>
    </row>
    <row r="9564" spans="3:11">
      <c r="C9564" s="11"/>
      <c r="K9564" s="11"/>
    </row>
    <row r="9565" spans="3:11">
      <c r="C9565" s="11"/>
      <c r="K9565" s="11"/>
    </row>
    <row r="9566" spans="3:11">
      <c r="C9566" s="11"/>
      <c r="K9566" s="11"/>
    </row>
    <row r="9567" spans="3:11">
      <c r="C9567" s="11"/>
      <c r="K9567" s="11"/>
    </row>
    <row r="9568" spans="3:11">
      <c r="C9568" s="11"/>
      <c r="K9568" s="11"/>
    </row>
    <row r="9569" spans="3:11">
      <c r="C9569" s="11"/>
      <c r="K9569" s="11"/>
    </row>
    <row r="9570" spans="3:11">
      <c r="C9570" s="11"/>
      <c r="K9570" s="11"/>
    </row>
    <row r="9571" spans="3:11">
      <c r="C9571" s="11"/>
      <c r="K9571" s="11"/>
    </row>
    <row r="9572" spans="3:11">
      <c r="C9572" s="11"/>
      <c r="K9572" s="11"/>
    </row>
    <row r="9573" spans="3:11">
      <c r="C9573" s="11"/>
      <c r="K9573" s="11"/>
    </row>
    <row r="9574" spans="3:11">
      <c r="C9574" s="11"/>
      <c r="K9574" s="11"/>
    </row>
    <row r="9575" spans="3:11">
      <c r="C9575" s="11"/>
      <c r="K9575" s="11"/>
    </row>
    <row r="9576" spans="3:11">
      <c r="C9576" s="11"/>
      <c r="K9576" s="11"/>
    </row>
    <row r="9577" spans="3:11">
      <c r="C9577" s="11"/>
      <c r="K9577" s="11"/>
    </row>
    <row r="9578" spans="3:11">
      <c r="C9578" s="11"/>
      <c r="K9578" s="11"/>
    </row>
    <row r="9579" spans="3:11">
      <c r="C9579" s="11"/>
      <c r="K9579" s="11"/>
    </row>
    <row r="9580" spans="3:11">
      <c r="C9580" s="11"/>
      <c r="K9580" s="11"/>
    </row>
    <row r="9581" spans="3:11">
      <c r="C9581" s="11"/>
      <c r="K9581" s="11"/>
    </row>
    <row r="9582" spans="3:11">
      <c r="C9582" s="11"/>
      <c r="K9582" s="11"/>
    </row>
    <row r="9583" spans="3:11">
      <c r="C9583" s="11"/>
      <c r="K9583" s="11"/>
    </row>
    <row r="9584" spans="3:11">
      <c r="C9584" s="11"/>
      <c r="K9584" s="11"/>
    </row>
    <row r="9585" spans="3:11">
      <c r="C9585" s="11"/>
      <c r="K9585" s="11"/>
    </row>
    <row r="9586" spans="3:11">
      <c r="C9586" s="11"/>
      <c r="K9586" s="11"/>
    </row>
    <row r="9587" spans="3:11">
      <c r="C9587" s="11"/>
      <c r="K9587" s="11"/>
    </row>
    <row r="9588" spans="3:11">
      <c r="C9588" s="11"/>
      <c r="K9588" s="11"/>
    </row>
    <row r="9589" spans="3:11">
      <c r="C9589" s="11"/>
      <c r="K9589" s="11"/>
    </row>
    <row r="9590" spans="3:11">
      <c r="C9590" s="11"/>
      <c r="K9590" s="11"/>
    </row>
    <row r="9591" spans="3:11">
      <c r="C9591" s="11"/>
      <c r="K9591" s="11"/>
    </row>
    <row r="9592" spans="3:11">
      <c r="C9592" s="11"/>
      <c r="K9592" s="11"/>
    </row>
    <row r="9593" spans="3:11">
      <c r="C9593" s="11"/>
      <c r="K9593" s="11"/>
    </row>
    <row r="9594" spans="3:11">
      <c r="C9594" s="11"/>
      <c r="K9594" s="11"/>
    </row>
    <row r="9595" spans="3:11">
      <c r="C9595" s="11"/>
      <c r="K9595" s="11"/>
    </row>
    <row r="9596" spans="3:11">
      <c r="C9596" s="11"/>
      <c r="K9596" s="11"/>
    </row>
    <row r="9597" spans="3:11">
      <c r="C9597" s="11"/>
      <c r="K9597" s="11"/>
    </row>
    <row r="9598" spans="3:11">
      <c r="C9598" s="11"/>
      <c r="K9598" s="11"/>
    </row>
    <row r="9599" spans="3:11">
      <c r="C9599" s="11"/>
      <c r="K9599" s="11"/>
    </row>
    <row r="9600" spans="3:11">
      <c r="C9600" s="11"/>
      <c r="K9600" s="11"/>
    </row>
    <row r="9601" spans="3:11">
      <c r="C9601" s="11"/>
      <c r="K9601" s="11"/>
    </row>
    <row r="9602" spans="3:11">
      <c r="C9602" s="11"/>
      <c r="K9602" s="11"/>
    </row>
    <row r="9603" spans="3:11">
      <c r="C9603" s="11"/>
      <c r="K9603" s="11"/>
    </row>
    <row r="9604" spans="3:11">
      <c r="C9604" s="11"/>
      <c r="K9604" s="11"/>
    </row>
    <row r="9605" spans="3:11">
      <c r="C9605" s="11"/>
      <c r="K9605" s="11"/>
    </row>
    <row r="9606" spans="3:11">
      <c r="C9606" s="11"/>
      <c r="K9606" s="11"/>
    </row>
    <row r="9607" spans="3:11">
      <c r="C9607" s="11"/>
      <c r="K9607" s="11"/>
    </row>
    <row r="9608" spans="3:11">
      <c r="C9608" s="11"/>
      <c r="K9608" s="11"/>
    </row>
    <row r="9609" spans="3:11">
      <c r="C9609" s="11"/>
      <c r="K9609" s="11"/>
    </row>
    <row r="9610" spans="3:11">
      <c r="C9610" s="11"/>
      <c r="K9610" s="11"/>
    </row>
    <row r="9611" spans="3:11">
      <c r="C9611" s="11"/>
      <c r="K9611" s="11"/>
    </row>
    <row r="9612" spans="3:11">
      <c r="C9612" s="11"/>
      <c r="K9612" s="11"/>
    </row>
    <row r="9613" spans="3:11">
      <c r="C9613" s="11"/>
      <c r="K9613" s="11"/>
    </row>
    <row r="9614" spans="3:11">
      <c r="C9614" s="11"/>
      <c r="K9614" s="11"/>
    </row>
    <row r="9615" spans="3:11">
      <c r="C9615" s="11"/>
      <c r="K9615" s="11"/>
    </row>
    <row r="9616" spans="3:11">
      <c r="C9616" s="11"/>
      <c r="K9616" s="11"/>
    </row>
    <row r="9617" spans="3:11">
      <c r="C9617" s="11"/>
      <c r="K9617" s="11"/>
    </row>
    <row r="9618" spans="3:11">
      <c r="C9618" s="11"/>
      <c r="K9618" s="11"/>
    </row>
    <row r="9619" spans="3:11">
      <c r="C9619" s="11"/>
      <c r="K9619" s="11"/>
    </row>
    <row r="9620" spans="3:11">
      <c r="C9620" s="11"/>
      <c r="K9620" s="11"/>
    </row>
    <row r="9621" spans="3:11">
      <c r="C9621" s="11"/>
      <c r="K9621" s="11"/>
    </row>
    <row r="9622" spans="3:11">
      <c r="C9622" s="11"/>
      <c r="K9622" s="11"/>
    </row>
    <row r="9623" spans="3:11">
      <c r="C9623" s="11"/>
      <c r="K9623" s="11"/>
    </row>
    <row r="9624" spans="3:11">
      <c r="C9624" s="11"/>
      <c r="K9624" s="11"/>
    </row>
    <row r="9625" spans="3:11">
      <c r="C9625" s="11"/>
      <c r="K9625" s="11"/>
    </row>
    <row r="9626" spans="3:11">
      <c r="C9626" s="11"/>
      <c r="K9626" s="11"/>
    </row>
    <row r="9627" spans="3:11">
      <c r="C9627" s="11"/>
      <c r="K9627" s="11"/>
    </row>
    <row r="9628" spans="3:11">
      <c r="C9628" s="11"/>
      <c r="K9628" s="11"/>
    </row>
    <row r="9629" spans="3:11">
      <c r="C9629" s="11"/>
      <c r="K9629" s="11"/>
    </row>
    <row r="9630" spans="3:11">
      <c r="C9630" s="11"/>
      <c r="K9630" s="11"/>
    </row>
    <row r="9631" spans="3:11">
      <c r="C9631" s="11"/>
      <c r="K9631" s="11"/>
    </row>
    <row r="9632" spans="3:11">
      <c r="C9632" s="11"/>
      <c r="K9632" s="11"/>
    </row>
    <row r="9633" spans="3:11">
      <c r="C9633" s="11"/>
      <c r="K9633" s="11"/>
    </row>
    <row r="9634" spans="3:11">
      <c r="C9634" s="11"/>
      <c r="K9634" s="11"/>
    </row>
    <row r="9635" spans="3:11">
      <c r="C9635" s="11"/>
      <c r="K9635" s="11"/>
    </row>
    <row r="9636" spans="3:11">
      <c r="C9636" s="11"/>
      <c r="K9636" s="11"/>
    </row>
    <row r="9637" spans="3:11">
      <c r="C9637" s="11"/>
      <c r="K9637" s="11"/>
    </row>
    <row r="9638" spans="3:11">
      <c r="C9638" s="11"/>
      <c r="K9638" s="11"/>
    </row>
    <row r="9639" spans="3:11">
      <c r="C9639" s="11"/>
      <c r="K9639" s="11"/>
    </row>
    <row r="9640" spans="3:11">
      <c r="C9640" s="11"/>
      <c r="K9640" s="11"/>
    </row>
    <row r="9641" spans="3:11">
      <c r="C9641" s="11"/>
      <c r="K9641" s="11"/>
    </row>
    <row r="9642" spans="3:11">
      <c r="C9642" s="11"/>
      <c r="K9642" s="11"/>
    </row>
    <row r="9643" spans="3:11">
      <c r="C9643" s="11"/>
      <c r="K9643" s="11"/>
    </row>
    <row r="9644" spans="3:11">
      <c r="C9644" s="11"/>
      <c r="K9644" s="11"/>
    </row>
    <row r="9645" spans="3:11">
      <c r="C9645" s="11"/>
      <c r="K9645" s="11"/>
    </row>
    <row r="9646" spans="3:11">
      <c r="C9646" s="11"/>
      <c r="K9646" s="11"/>
    </row>
    <row r="9647" spans="3:11">
      <c r="C9647" s="11"/>
      <c r="K9647" s="11"/>
    </row>
    <row r="9648" spans="3:11">
      <c r="C9648" s="11"/>
      <c r="K9648" s="11"/>
    </row>
    <row r="9649" spans="3:11">
      <c r="C9649" s="11"/>
      <c r="K9649" s="11"/>
    </row>
    <row r="9650" spans="3:11">
      <c r="C9650" s="11"/>
      <c r="K9650" s="11"/>
    </row>
    <row r="9651" spans="3:11">
      <c r="C9651" s="11"/>
      <c r="K9651" s="11"/>
    </row>
    <row r="9652" spans="3:11">
      <c r="C9652" s="11"/>
      <c r="K9652" s="11"/>
    </row>
    <row r="9653" spans="3:11">
      <c r="C9653" s="11"/>
      <c r="K9653" s="11"/>
    </row>
    <row r="9654" spans="3:11">
      <c r="C9654" s="11"/>
      <c r="K9654" s="11"/>
    </row>
    <row r="9655" spans="3:11">
      <c r="C9655" s="11"/>
      <c r="K9655" s="11"/>
    </row>
    <row r="9656" spans="3:11">
      <c r="C9656" s="11"/>
      <c r="K9656" s="11"/>
    </row>
    <row r="9657" spans="3:11">
      <c r="C9657" s="11"/>
      <c r="K9657" s="11"/>
    </row>
    <row r="9658" spans="3:11">
      <c r="C9658" s="11"/>
      <c r="K9658" s="11"/>
    </row>
    <row r="9659" spans="3:11">
      <c r="C9659" s="11"/>
      <c r="K9659" s="11"/>
    </row>
    <row r="9660" spans="3:11">
      <c r="C9660" s="11"/>
      <c r="K9660" s="11"/>
    </row>
    <row r="9661" spans="3:11">
      <c r="C9661" s="11"/>
      <c r="K9661" s="11"/>
    </row>
    <row r="9662" spans="3:11">
      <c r="C9662" s="11"/>
      <c r="K9662" s="11"/>
    </row>
    <row r="9663" spans="3:11">
      <c r="C9663" s="11"/>
      <c r="K9663" s="11"/>
    </row>
    <row r="9664" spans="3:11">
      <c r="C9664" s="11"/>
      <c r="K9664" s="11"/>
    </row>
    <row r="9665" spans="3:11">
      <c r="C9665" s="11"/>
      <c r="K9665" s="11"/>
    </row>
    <row r="9666" spans="3:11">
      <c r="C9666" s="11"/>
      <c r="K9666" s="11"/>
    </row>
    <row r="9667" spans="3:11">
      <c r="C9667" s="11"/>
      <c r="K9667" s="11"/>
    </row>
    <row r="9668" spans="3:11">
      <c r="C9668" s="11"/>
      <c r="K9668" s="11"/>
    </row>
    <row r="9669" spans="3:11">
      <c r="C9669" s="11"/>
      <c r="K9669" s="11"/>
    </row>
    <row r="9670" spans="3:11">
      <c r="C9670" s="11"/>
      <c r="K9670" s="11"/>
    </row>
    <row r="9671" spans="3:11">
      <c r="C9671" s="11"/>
      <c r="K9671" s="11"/>
    </row>
    <row r="9672" spans="3:11">
      <c r="C9672" s="11"/>
      <c r="K9672" s="11"/>
    </row>
    <row r="9673" spans="3:11">
      <c r="C9673" s="11"/>
      <c r="K9673" s="11"/>
    </row>
    <row r="9674" spans="3:11">
      <c r="C9674" s="11"/>
      <c r="K9674" s="11"/>
    </row>
    <row r="9675" spans="3:11">
      <c r="C9675" s="11"/>
      <c r="K9675" s="11"/>
    </row>
    <row r="9676" spans="3:11">
      <c r="C9676" s="11"/>
      <c r="K9676" s="11"/>
    </row>
    <row r="9677" spans="3:11">
      <c r="C9677" s="11"/>
      <c r="K9677" s="11"/>
    </row>
    <row r="9678" spans="3:11">
      <c r="C9678" s="11"/>
      <c r="K9678" s="11"/>
    </row>
    <row r="9679" spans="3:11">
      <c r="C9679" s="11"/>
      <c r="K9679" s="11"/>
    </row>
    <row r="9680" spans="3:11">
      <c r="C9680" s="11"/>
      <c r="K9680" s="11"/>
    </row>
    <row r="9681" spans="3:11">
      <c r="C9681" s="11"/>
      <c r="K9681" s="11"/>
    </row>
    <row r="9682" spans="3:11">
      <c r="C9682" s="11"/>
      <c r="K9682" s="11"/>
    </row>
    <row r="9683" spans="3:11">
      <c r="C9683" s="11"/>
      <c r="K9683" s="11"/>
    </row>
    <row r="9684" spans="3:11">
      <c r="C9684" s="11"/>
      <c r="K9684" s="11"/>
    </row>
    <row r="9685" spans="3:11">
      <c r="C9685" s="11"/>
      <c r="K9685" s="11"/>
    </row>
    <row r="9686" spans="3:11">
      <c r="C9686" s="11"/>
      <c r="K9686" s="11"/>
    </row>
    <row r="9687" spans="3:11">
      <c r="C9687" s="11"/>
      <c r="K9687" s="11"/>
    </row>
    <row r="9688" spans="3:11">
      <c r="C9688" s="11"/>
      <c r="K9688" s="11"/>
    </row>
    <row r="9689" spans="3:11">
      <c r="C9689" s="11"/>
      <c r="K9689" s="11"/>
    </row>
    <row r="9690" spans="3:11">
      <c r="C9690" s="11"/>
      <c r="K9690" s="11"/>
    </row>
    <row r="9691" spans="3:11">
      <c r="C9691" s="11"/>
      <c r="K9691" s="11"/>
    </row>
    <row r="9692" spans="3:11">
      <c r="C9692" s="11"/>
      <c r="K9692" s="11"/>
    </row>
    <row r="9693" spans="3:11">
      <c r="C9693" s="11"/>
      <c r="K9693" s="11"/>
    </row>
    <row r="9694" spans="3:11">
      <c r="C9694" s="11"/>
      <c r="K9694" s="11"/>
    </row>
    <row r="9695" spans="3:11">
      <c r="C9695" s="11"/>
      <c r="K9695" s="11"/>
    </row>
    <row r="9696" spans="3:11">
      <c r="C9696" s="11"/>
      <c r="K9696" s="11"/>
    </row>
    <row r="9697" spans="3:11">
      <c r="C9697" s="11"/>
      <c r="K9697" s="11"/>
    </row>
    <row r="9698" spans="3:11">
      <c r="C9698" s="11"/>
      <c r="K9698" s="11"/>
    </row>
    <row r="9699" spans="3:11">
      <c r="C9699" s="11"/>
      <c r="K9699" s="11"/>
    </row>
    <row r="9700" spans="3:11">
      <c r="C9700" s="11"/>
      <c r="K9700" s="11"/>
    </row>
    <row r="9701" spans="3:11">
      <c r="C9701" s="11"/>
      <c r="K9701" s="11"/>
    </row>
    <row r="9702" spans="3:11">
      <c r="C9702" s="11"/>
      <c r="K9702" s="11"/>
    </row>
    <row r="9703" spans="3:11">
      <c r="C9703" s="11"/>
      <c r="K9703" s="11"/>
    </row>
    <row r="9704" spans="3:11">
      <c r="C9704" s="11"/>
      <c r="K9704" s="11"/>
    </row>
    <row r="9705" spans="3:11">
      <c r="C9705" s="11"/>
      <c r="K9705" s="11"/>
    </row>
    <row r="9706" spans="3:11">
      <c r="C9706" s="11"/>
      <c r="K9706" s="11"/>
    </row>
    <row r="9707" spans="3:11">
      <c r="C9707" s="11"/>
      <c r="K9707" s="11"/>
    </row>
    <row r="9708" spans="3:11">
      <c r="C9708" s="11"/>
      <c r="K9708" s="11"/>
    </row>
    <row r="9709" spans="3:11">
      <c r="C9709" s="11"/>
      <c r="K9709" s="11"/>
    </row>
    <row r="9710" spans="3:11">
      <c r="C9710" s="11"/>
      <c r="K9710" s="11"/>
    </row>
    <row r="9711" spans="3:11">
      <c r="C9711" s="11"/>
      <c r="K9711" s="11"/>
    </row>
    <row r="9712" spans="3:11">
      <c r="C9712" s="11"/>
      <c r="K9712" s="11"/>
    </row>
    <row r="9713" spans="3:11">
      <c r="C9713" s="11"/>
      <c r="K9713" s="11"/>
    </row>
    <row r="9714" spans="3:11">
      <c r="C9714" s="11"/>
      <c r="K9714" s="11"/>
    </row>
    <row r="9715" spans="3:11">
      <c r="C9715" s="11"/>
      <c r="K9715" s="11"/>
    </row>
    <row r="9716" spans="3:11">
      <c r="C9716" s="11"/>
      <c r="K9716" s="11"/>
    </row>
    <row r="9717" spans="3:11">
      <c r="C9717" s="11"/>
      <c r="K9717" s="11"/>
    </row>
    <row r="9718" spans="3:11">
      <c r="C9718" s="11"/>
      <c r="K9718" s="11"/>
    </row>
    <row r="9719" spans="3:11">
      <c r="C9719" s="11"/>
      <c r="K9719" s="11"/>
    </row>
    <row r="9720" spans="3:11">
      <c r="C9720" s="11"/>
      <c r="K9720" s="11"/>
    </row>
    <row r="9721" spans="3:11">
      <c r="C9721" s="11"/>
      <c r="K9721" s="11"/>
    </row>
    <row r="9722" spans="3:11">
      <c r="C9722" s="11"/>
      <c r="K9722" s="11"/>
    </row>
    <row r="9723" spans="3:11">
      <c r="C9723" s="11"/>
      <c r="K9723" s="11"/>
    </row>
    <row r="9724" spans="3:11">
      <c r="C9724" s="11"/>
      <c r="K9724" s="11"/>
    </row>
    <row r="9725" spans="3:11">
      <c r="C9725" s="11"/>
      <c r="K9725" s="11"/>
    </row>
    <row r="9726" spans="3:11">
      <c r="C9726" s="11"/>
      <c r="K9726" s="11"/>
    </row>
    <row r="9727" spans="3:11">
      <c r="C9727" s="11"/>
      <c r="K9727" s="11"/>
    </row>
    <row r="9728" spans="3:11">
      <c r="C9728" s="11"/>
      <c r="K9728" s="11"/>
    </row>
    <row r="9729" spans="3:11">
      <c r="C9729" s="11"/>
      <c r="K9729" s="11"/>
    </row>
    <row r="9730" spans="3:11">
      <c r="C9730" s="11"/>
      <c r="K9730" s="11"/>
    </row>
    <row r="9731" spans="3:11">
      <c r="C9731" s="11"/>
      <c r="K9731" s="11"/>
    </row>
    <row r="9732" spans="3:11">
      <c r="C9732" s="11"/>
      <c r="K9732" s="11"/>
    </row>
    <row r="9733" spans="3:11">
      <c r="C9733" s="11"/>
      <c r="K9733" s="11"/>
    </row>
    <row r="9734" spans="3:11">
      <c r="C9734" s="11"/>
      <c r="K9734" s="11"/>
    </row>
    <row r="9735" spans="3:11">
      <c r="C9735" s="11"/>
      <c r="K9735" s="11"/>
    </row>
    <row r="9736" spans="3:11">
      <c r="C9736" s="11"/>
      <c r="K9736" s="11"/>
    </row>
    <row r="9737" spans="3:11">
      <c r="C9737" s="11"/>
      <c r="K9737" s="11"/>
    </row>
    <row r="9738" spans="3:11">
      <c r="C9738" s="11"/>
      <c r="K9738" s="11"/>
    </row>
    <row r="9739" spans="3:11">
      <c r="C9739" s="11"/>
      <c r="K9739" s="11"/>
    </row>
    <row r="9740" spans="3:11">
      <c r="C9740" s="11"/>
      <c r="K9740" s="11"/>
    </row>
    <row r="9741" spans="3:11">
      <c r="C9741" s="11"/>
      <c r="K9741" s="11"/>
    </row>
    <row r="9742" spans="3:11">
      <c r="C9742" s="11"/>
      <c r="K9742" s="11"/>
    </row>
    <row r="9743" spans="3:11">
      <c r="C9743" s="11"/>
      <c r="K9743" s="11"/>
    </row>
    <row r="9744" spans="3:11">
      <c r="C9744" s="11"/>
      <c r="K9744" s="11"/>
    </row>
    <row r="9745" spans="3:11">
      <c r="C9745" s="11"/>
      <c r="K9745" s="11"/>
    </row>
    <row r="9746" spans="3:11">
      <c r="C9746" s="11"/>
      <c r="K9746" s="11"/>
    </row>
    <row r="9747" spans="3:11">
      <c r="C9747" s="11"/>
      <c r="K9747" s="11"/>
    </row>
    <row r="9748" spans="3:11">
      <c r="C9748" s="11"/>
      <c r="K9748" s="11"/>
    </row>
    <row r="9749" spans="3:11">
      <c r="C9749" s="11"/>
      <c r="K9749" s="11"/>
    </row>
    <row r="9750" spans="3:11">
      <c r="C9750" s="11"/>
      <c r="K9750" s="11"/>
    </row>
    <row r="9751" spans="3:11">
      <c r="C9751" s="11"/>
      <c r="K9751" s="11"/>
    </row>
    <row r="9752" spans="3:11">
      <c r="C9752" s="11"/>
      <c r="K9752" s="11"/>
    </row>
    <row r="9753" spans="3:11">
      <c r="C9753" s="11"/>
      <c r="K9753" s="11"/>
    </row>
    <row r="9754" spans="3:11">
      <c r="C9754" s="11"/>
      <c r="K9754" s="11"/>
    </row>
    <row r="9755" spans="3:11">
      <c r="C9755" s="11"/>
      <c r="K9755" s="11"/>
    </row>
    <row r="9756" spans="3:11">
      <c r="C9756" s="11"/>
      <c r="K9756" s="11"/>
    </row>
    <row r="9757" spans="3:11">
      <c r="C9757" s="11"/>
      <c r="K9757" s="11"/>
    </row>
    <row r="9758" spans="3:11">
      <c r="C9758" s="11"/>
      <c r="K9758" s="11"/>
    </row>
    <row r="9759" spans="3:11">
      <c r="C9759" s="11"/>
      <c r="K9759" s="11"/>
    </row>
    <row r="9760" spans="3:11">
      <c r="C9760" s="11"/>
      <c r="K9760" s="11"/>
    </row>
    <row r="9761" spans="3:11">
      <c r="C9761" s="11"/>
      <c r="K9761" s="11"/>
    </row>
    <row r="9762" spans="3:11">
      <c r="C9762" s="11"/>
      <c r="K9762" s="11"/>
    </row>
    <row r="9763" spans="3:11">
      <c r="C9763" s="11"/>
      <c r="K9763" s="11"/>
    </row>
    <row r="9764" spans="3:11">
      <c r="C9764" s="11"/>
      <c r="K9764" s="11"/>
    </row>
    <row r="9765" spans="3:11">
      <c r="C9765" s="11"/>
      <c r="K9765" s="11"/>
    </row>
    <row r="9766" spans="3:11">
      <c r="C9766" s="11"/>
      <c r="K9766" s="11"/>
    </row>
    <row r="9767" spans="3:11">
      <c r="C9767" s="11"/>
      <c r="K9767" s="11"/>
    </row>
    <row r="9768" spans="3:11">
      <c r="C9768" s="11"/>
      <c r="K9768" s="11"/>
    </row>
    <row r="9769" spans="3:11">
      <c r="C9769" s="11"/>
      <c r="K9769" s="11"/>
    </row>
    <row r="9770" spans="3:11">
      <c r="C9770" s="11"/>
      <c r="K9770" s="11"/>
    </row>
    <row r="9771" spans="3:11">
      <c r="C9771" s="11"/>
      <c r="K9771" s="11"/>
    </row>
    <row r="9772" spans="3:11">
      <c r="C9772" s="11"/>
      <c r="K9772" s="11"/>
    </row>
    <row r="9773" spans="3:11">
      <c r="C9773" s="11"/>
      <c r="K9773" s="11"/>
    </row>
    <row r="9774" spans="3:11">
      <c r="C9774" s="11"/>
      <c r="K9774" s="11"/>
    </row>
    <row r="9775" spans="3:11">
      <c r="C9775" s="11"/>
      <c r="K9775" s="11"/>
    </row>
    <row r="9776" spans="3:11">
      <c r="C9776" s="11"/>
      <c r="K9776" s="11"/>
    </row>
    <row r="9777" spans="3:11">
      <c r="C9777" s="11"/>
      <c r="K9777" s="11"/>
    </row>
    <row r="9778" spans="3:11">
      <c r="C9778" s="11"/>
      <c r="K9778" s="11"/>
    </row>
    <row r="9779" spans="3:11">
      <c r="C9779" s="11"/>
      <c r="K9779" s="11"/>
    </row>
    <row r="9780" spans="3:11">
      <c r="C9780" s="11"/>
      <c r="K9780" s="11"/>
    </row>
    <row r="9781" spans="3:11">
      <c r="C9781" s="11"/>
      <c r="K9781" s="11"/>
    </row>
    <row r="9782" spans="3:11">
      <c r="C9782" s="11"/>
      <c r="K9782" s="11"/>
    </row>
    <row r="9783" spans="3:11">
      <c r="C9783" s="11"/>
      <c r="K9783" s="11"/>
    </row>
    <row r="9784" spans="3:11">
      <c r="C9784" s="11"/>
      <c r="K9784" s="11"/>
    </row>
    <row r="9785" spans="3:11">
      <c r="C9785" s="11"/>
      <c r="K9785" s="11"/>
    </row>
    <row r="9786" spans="3:11">
      <c r="C9786" s="11"/>
      <c r="K9786" s="11"/>
    </row>
    <row r="9787" spans="3:11">
      <c r="C9787" s="11"/>
      <c r="K9787" s="11"/>
    </row>
    <row r="9788" spans="3:11">
      <c r="C9788" s="11"/>
      <c r="K9788" s="11"/>
    </row>
    <row r="9789" spans="3:11">
      <c r="C9789" s="11"/>
      <c r="K9789" s="11"/>
    </row>
    <row r="9790" spans="3:11">
      <c r="C9790" s="11"/>
      <c r="K9790" s="11"/>
    </row>
    <row r="9791" spans="3:11">
      <c r="C9791" s="11"/>
      <c r="K9791" s="11"/>
    </row>
    <row r="9792" spans="3:11">
      <c r="C9792" s="11"/>
      <c r="K9792" s="11"/>
    </row>
    <row r="9793" spans="3:11">
      <c r="C9793" s="11"/>
      <c r="K9793" s="11"/>
    </row>
    <row r="9794" spans="3:11">
      <c r="C9794" s="11"/>
      <c r="K9794" s="11"/>
    </row>
    <row r="9795" spans="3:11">
      <c r="C9795" s="11"/>
      <c r="K9795" s="11"/>
    </row>
    <row r="9796" spans="3:11">
      <c r="C9796" s="11"/>
      <c r="K9796" s="11"/>
    </row>
    <row r="9797" spans="3:11">
      <c r="C9797" s="11"/>
      <c r="K9797" s="11"/>
    </row>
    <row r="9798" spans="3:11">
      <c r="C9798" s="11"/>
      <c r="K9798" s="11"/>
    </row>
    <row r="9799" spans="3:11">
      <c r="C9799" s="11"/>
      <c r="K9799" s="11"/>
    </row>
    <row r="9800" spans="3:11">
      <c r="C9800" s="11"/>
      <c r="K9800" s="11"/>
    </row>
    <row r="9801" spans="3:11">
      <c r="C9801" s="11"/>
      <c r="K9801" s="11"/>
    </row>
    <row r="9802" spans="3:11">
      <c r="C9802" s="11"/>
      <c r="K9802" s="11"/>
    </row>
    <row r="9803" spans="3:11">
      <c r="C9803" s="11"/>
      <c r="K9803" s="11"/>
    </row>
    <row r="9804" spans="3:11">
      <c r="C9804" s="11"/>
      <c r="K9804" s="11"/>
    </row>
    <row r="9805" spans="3:11">
      <c r="C9805" s="11"/>
      <c r="K9805" s="11"/>
    </row>
    <row r="9806" spans="3:11">
      <c r="C9806" s="11"/>
      <c r="K9806" s="11"/>
    </row>
    <row r="9807" spans="3:11">
      <c r="C9807" s="11"/>
      <c r="K9807" s="11"/>
    </row>
    <row r="9808" spans="3:11">
      <c r="C9808" s="11"/>
      <c r="K9808" s="11"/>
    </row>
    <row r="9809" spans="3:11">
      <c r="C9809" s="11"/>
      <c r="K9809" s="11"/>
    </row>
    <row r="9810" spans="3:11">
      <c r="C9810" s="11"/>
      <c r="K9810" s="11"/>
    </row>
    <row r="9811" spans="3:11">
      <c r="C9811" s="11"/>
      <c r="K9811" s="11"/>
    </row>
    <row r="9812" spans="3:11">
      <c r="C9812" s="11"/>
      <c r="K9812" s="11"/>
    </row>
    <row r="9813" spans="3:11">
      <c r="C9813" s="11"/>
      <c r="K9813" s="11"/>
    </row>
    <row r="9814" spans="3:11">
      <c r="C9814" s="11"/>
      <c r="K9814" s="11"/>
    </row>
    <row r="9815" spans="3:11">
      <c r="C9815" s="11"/>
      <c r="K9815" s="11"/>
    </row>
    <row r="9816" spans="3:11">
      <c r="C9816" s="11"/>
      <c r="K9816" s="11"/>
    </row>
    <row r="9817" spans="3:11">
      <c r="C9817" s="11"/>
      <c r="K9817" s="11"/>
    </row>
    <row r="9818" spans="3:11">
      <c r="C9818" s="11"/>
      <c r="K9818" s="11"/>
    </row>
    <row r="9819" spans="3:11">
      <c r="C9819" s="11"/>
      <c r="K9819" s="11"/>
    </row>
    <row r="9820" spans="3:11">
      <c r="C9820" s="11"/>
      <c r="K9820" s="11"/>
    </row>
    <row r="9821" spans="3:11">
      <c r="C9821" s="11"/>
      <c r="K9821" s="11"/>
    </row>
    <row r="9822" spans="3:11">
      <c r="C9822" s="11"/>
      <c r="K9822" s="11"/>
    </row>
    <row r="9823" spans="3:11">
      <c r="C9823" s="11"/>
      <c r="K9823" s="11"/>
    </row>
    <row r="9824" spans="3:11">
      <c r="C9824" s="11"/>
      <c r="K9824" s="11"/>
    </row>
    <row r="9825" spans="3:11">
      <c r="C9825" s="11"/>
      <c r="K9825" s="11"/>
    </row>
    <row r="9826" spans="3:11">
      <c r="C9826" s="11"/>
      <c r="K9826" s="11"/>
    </row>
    <row r="9827" spans="3:11">
      <c r="C9827" s="11"/>
      <c r="K9827" s="11"/>
    </row>
    <row r="9828" spans="3:11">
      <c r="C9828" s="11"/>
      <c r="K9828" s="11"/>
    </row>
    <row r="9829" spans="3:11">
      <c r="C9829" s="11"/>
      <c r="K9829" s="11"/>
    </row>
    <row r="9830" spans="3:11">
      <c r="C9830" s="11"/>
      <c r="K9830" s="11"/>
    </row>
    <row r="9831" spans="3:11">
      <c r="C9831" s="11"/>
      <c r="K9831" s="11"/>
    </row>
    <row r="9832" spans="3:11">
      <c r="C9832" s="11"/>
      <c r="K9832" s="11"/>
    </row>
    <row r="9833" spans="3:11">
      <c r="C9833" s="11"/>
      <c r="K9833" s="11"/>
    </row>
    <row r="9834" spans="3:11">
      <c r="C9834" s="11"/>
      <c r="K9834" s="11"/>
    </row>
    <row r="9835" spans="3:11">
      <c r="C9835" s="11"/>
      <c r="K9835" s="11"/>
    </row>
    <row r="9836" spans="3:11">
      <c r="C9836" s="11"/>
      <c r="K9836" s="11"/>
    </row>
    <row r="9837" spans="3:11">
      <c r="C9837" s="11"/>
      <c r="K9837" s="11"/>
    </row>
    <row r="9838" spans="3:11">
      <c r="C9838" s="11"/>
      <c r="K9838" s="11"/>
    </row>
    <row r="9839" spans="3:11">
      <c r="C9839" s="11"/>
      <c r="K9839" s="11"/>
    </row>
    <row r="9840" spans="3:11">
      <c r="C9840" s="11"/>
      <c r="K9840" s="11"/>
    </row>
    <row r="9841" spans="3:11">
      <c r="C9841" s="11"/>
      <c r="K9841" s="11"/>
    </row>
    <row r="9842" spans="3:11">
      <c r="C9842" s="11"/>
      <c r="K9842" s="11"/>
    </row>
    <row r="9843" spans="3:11">
      <c r="C9843" s="11"/>
      <c r="K9843" s="11"/>
    </row>
    <row r="9844" spans="3:11">
      <c r="C9844" s="11"/>
      <c r="K9844" s="11"/>
    </row>
    <row r="9845" spans="3:11">
      <c r="C9845" s="11"/>
      <c r="K9845" s="11"/>
    </row>
    <row r="9846" spans="3:11">
      <c r="C9846" s="11"/>
      <c r="K9846" s="11"/>
    </row>
    <row r="9847" spans="3:11">
      <c r="C9847" s="11"/>
      <c r="K9847" s="11"/>
    </row>
    <row r="9848" spans="3:11">
      <c r="C9848" s="11"/>
      <c r="K9848" s="11"/>
    </row>
    <row r="9849" spans="3:11">
      <c r="C9849" s="11"/>
      <c r="K9849" s="11"/>
    </row>
    <row r="9850" spans="3:11">
      <c r="C9850" s="11"/>
      <c r="K9850" s="11"/>
    </row>
    <row r="9851" spans="3:11">
      <c r="C9851" s="11"/>
      <c r="K9851" s="11"/>
    </row>
    <row r="9852" spans="3:11">
      <c r="C9852" s="11"/>
      <c r="K9852" s="11"/>
    </row>
    <row r="9853" spans="3:11">
      <c r="C9853" s="11"/>
      <c r="K9853" s="11"/>
    </row>
    <row r="9854" spans="3:11">
      <c r="C9854" s="11"/>
      <c r="K9854" s="11"/>
    </row>
    <row r="9855" spans="3:11">
      <c r="C9855" s="11"/>
      <c r="K9855" s="11"/>
    </row>
    <row r="9856" spans="3:11">
      <c r="C9856" s="11"/>
      <c r="K9856" s="11"/>
    </row>
    <row r="9857" spans="3:11">
      <c r="C9857" s="11"/>
      <c r="K9857" s="11"/>
    </row>
    <row r="9858" spans="3:11">
      <c r="C9858" s="11"/>
      <c r="K9858" s="11"/>
    </row>
    <row r="9859" spans="3:11">
      <c r="C9859" s="11"/>
      <c r="K9859" s="11"/>
    </row>
    <row r="9860" spans="3:11">
      <c r="C9860" s="11"/>
      <c r="K9860" s="11"/>
    </row>
    <row r="9861" spans="3:11">
      <c r="C9861" s="11"/>
      <c r="K9861" s="11"/>
    </row>
    <row r="9862" spans="3:11">
      <c r="C9862" s="11"/>
      <c r="K9862" s="11"/>
    </row>
    <row r="9863" spans="3:11">
      <c r="C9863" s="11"/>
      <c r="K9863" s="11"/>
    </row>
    <row r="9864" spans="3:11">
      <c r="C9864" s="11"/>
      <c r="K9864" s="11"/>
    </row>
    <row r="9865" spans="3:11">
      <c r="C9865" s="11"/>
      <c r="K9865" s="11"/>
    </row>
    <row r="9866" spans="3:11">
      <c r="C9866" s="11"/>
      <c r="K9866" s="11"/>
    </row>
    <row r="9867" spans="3:11">
      <c r="C9867" s="11"/>
      <c r="K9867" s="11"/>
    </row>
    <row r="9868" spans="3:11">
      <c r="C9868" s="11"/>
      <c r="K9868" s="11"/>
    </row>
    <row r="9869" spans="3:11">
      <c r="C9869" s="11"/>
      <c r="K9869" s="11"/>
    </row>
    <row r="9870" spans="3:11">
      <c r="C9870" s="11"/>
      <c r="K9870" s="11"/>
    </row>
    <row r="9871" spans="3:11">
      <c r="C9871" s="11"/>
      <c r="K9871" s="11"/>
    </row>
    <row r="9872" spans="3:11">
      <c r="C9872" s="11"/>
      <c r="K9872" s="11"/>
    </row>
    <row r="9873" spans="3:11">
      <c r="C9873" s="11"/>
      <c r="K9873" s="11"/>
    </row>
    <row r="9874" spans="3:11">
      <c r="C9874" s="11"/>
      <c r="K9874" s="11"/>
    </row>
    <row r="9875" spans="3:11">
      <c r="C9875" s="11"/>
      <c r="K9875" s="11"/>
    </row>
    <row r="9876" spans="3:11">
      <c r="C9876" s="11"/>
      <c r="K9876" s="11"/>
    </row>
    <row r="9877" spans="3:11">
      <c r="C9877" s="11"/>
      <c r="K9877" s="11"/>
    </row>
    <row r="9878" spans="3:11">
      <c r="C9878" s="11"/>
      <c r="K9878" s="11"/>
    </row>
    <row r="9879" spans="3:11">
      <c r="C9879" s="11"/>
      <c r="K9879" s="11"/>
    </row>
    <row r="9880" spans="3:11">
      <c r="C9880" s="11"/>
      <c r="K9880" s="11"/>
    </row>
    <row r="9881" spans="3:11">
      <c r="C9881" s="11"/>
      <c r="K9881" s="11"/>
    </row>
    <row r="9882" spans="3:11">
      <c r="C9882" s="11"/>
      <c r="K9882" s="11"/>
    </row>
    <row r="9883" spans="3:11">
      <c r="C9883" s="11"/>
      <c r="K9883" s="11"/>
    </row>
    <row r="9884" spans="3:11">
      <c r="C9884" s="11"/>
      <c r="K9884" s="11"/>
    </row>
    <row r="9885" spans="3:11">
      <c r="C9885" s="11"/>
      <c r="K9885" s="11"/>
    </row>
    <row r="9886" spans="3:11">
      <c r="C9886" s="11"/>
      <c r="K9886" s="11"/>
    </row>
    <row r="9887" spans="3:11">
      <c r="C9887" s="11"/>
      <c r="K9887" s="11"/>
    </row>
    <row r="9888" spans="3:11">
      <c r="C9888" s="11"/>
      <c r="K9888" s="11"/>
    </row>
    <row r="9889" spans="3:11">
      <c r="C9889" s="11"/>
      <c r="K9889" s="11"/>
    </row>
    <row r="9890" spans="3:11">
      <c r="C9890" s="11"/>
      <c r="K9890" s="11"/>
    </row>
    <row r="9891" spans="3:11">
      <c r="C9891" s="11"/>
      <c r="K9891" s="11"/>
    </row>
    <row r="9892" spans="3:11">
      <c r="C9892" s="11"/>
      <c r="K9892" s="11"/>
    </row>
    <row r="9893" spans="3:11">
      <c r="C9893" s="11"/>
      <c r="K9893" s="11"/>
    </row>
    <row r="9894" spans="3:11">
      <c r="C9894" s="11"/>
      <c r="K9894" s="11"/>
    </row>
    <row r="9895" spans="3:11">
      <c r="C9895" s="11"/>
      <c r="K9895" s="11"/>
    </row>
    <row r="9896" spans="3:11">
      <c r="C9896" s="11"/>
      <c r="K9896" s="11"/>
    </row>
    <row r="9897" spans="3:11">
      <c r="C9897" s="11"/>
      <c r="K9897" s="11"/>
    </row>
    <row r="9898" spans="3:11">
      <c r="C9898" s="11"/>
      <c r="K9898" s="11"/>
    </row>
    <row r="9899" spans="3:11">
      <c r="C9899" s="11"/>
      <c r="K9899" s="11"/>
    </row>
    <row r="9900" spans="3:11">
      <c r="C9900" s="11"/>
      <c r="K9900" s="11"/>
    </row>
    <row r="9901" spans="3:11">
      <c r="C9901" s="11"/>
      <c r="K9901" s="11"/>
    </row>
    <row r="9902" spans="3:11">
      <c r="C9902" s="11"/>
      <c r="K9902" s="11"/>
    </row>
    <row r="9903" spans="3:11">
      <c r="C9903" s="11"/>
      <c r="K9903" s="11"/>
    </row>
    <row r="9904" spans="3:11">
      <c r="C9904" s="11"/>
      <c r="K9904" s="11"/>
    </row>
    <row r="9905" spans="3:11">
      <c r="C9905" s="11"/>
      <c r="K9905" s="11"/>
    </row>
    <row r="9906" spans="3:11">
      <c r="C9906" s="11"/>
      <c r="K9906" s="11"/>
    </row>
    <row r="9907" spans="3:11">
      <c r="C9907" s="11"/>
      <c r="K9907" s="11"/>
    </row>
    <row r="9908" spans="3:11">
      <c r="C9908" s="11"/>
      <c r="K9908" s="11"/>
    </row>
    <row r="9909" spans="3:11">
      <c r="C9909" s="11"/>
      <c r="K9909" s="11"/>
    </row>
    <row r="9910" spans="3:11">
      <c r="C9910" s="11"/>
      <c r="K9910" s="11"/>
    </row>
    <row r="9911" spans="3:11">
      <c r="C9911" s="11"/>
      <c r="K9911" s="11"/>
    </row>
    <row r="9912" spans="3:11">
      <c r="C9912" s="11"/>
      <c r="K9912" s="11"/>
    </row>
    <row r="9913" spans="3:11">
      <c r="C9913" s="11"/>
      <c r="K9913" s="11"/>
    </row>
    <row r="9914" spans="3:11">
      <c r="C9914" s="11"/>
      <c r="K9914" s="11"/>
    </row>
    <row r="9915" spans="3:11">
      <c r="C9915" s="11"/>
      <c r="K9915" s="11"/>
    </row>
    <row r="9916" spans="3:11">
      <c r="C9916" s="11"/>
      <c r="K9916" s="11"/>
    </row>
    <row r="9917" spans="3:11">
      <c r="C9917" s="11"/>
      <c r="K9917" s="11"/>
    </row>
    <row r="9918" spans="3:11">
      <c r="C9918" s="11"/>
      <c r="K9918" s="11"/>
    </row>
    <row r="9919" spans="3:11">
      <c r="C9919" s="11"/>
      <c r="K9919" s="11"/>
    </row>
    <row r="9920" spans="3:11">
      <c r="C9920" s="11"/>
      <c r="K9920" s="11"/>
    </row>
    <row r="9921" spans="3:11">
      <c r="C9921" s="11"/>
      <c r="K9921" s="11"/>
    </row>
    <row r="9922" spans="3:11">
      <c r="C9922" s="11"/>
      <c r="K9922" s="11"/>
    </row>
    <row r="9923" spans="3:11">
      <c r="C9923" s="11"/>
      <c r="K9923" s="11"/>
    </row>
    <row r="9924" spans="3:11">
      <c r="C9924" s="11"/>
      <c r="K9924" s="11"/>
    </row>
    <row r="9925" spans="3:11">
      <c r="C9925" s="11"/>
      <c r="K9925" s="11"/>
    </row>
    <row r="9926" spans="3:11">
      <c r="C9926" s="11"/>
      <c r="K9926" s="11"/>
    </row>
    <row r="9927" spans="3:11">
      <c r="C9927" s="11"/>
      <c r="K9927" s="11"/>
    </row>
    <row r="9928" spans="3:11">
      <c r="C9928" s="11"/>
      <c r="K9928" s="11"/>
    </row>
    <row r="9929" spans="3:11">
      <c r="C9929" s="11"/>
      <c r="K9929" s="11"/>
    </row>
    <row r="9930" spans="3:11">
      <c r="C9930" s="11"/>
      <c r="K9930" s="11"/>
    </row>
    <row r="9931" spans="3:11">
      <c r="C9931" s="11"/>
      <c r="K9931" s="11"/>
    </row>
    <row r="9932" spans="3:11">
      <c r="C9932" s="11"/>
      <c r="K9932" s="11"/>
    </row>
    <row r="9933" spans="3:11">
      <c r="C9933" s="11"/>
      <c r="K9933" s="11"/>
    </row>
    <row r="9934" spans="3:11">
      <c r="C9934" s="11"/>
      <c r="K9934" s="11"/>
    </row>
    <row r="9935" spans="3:11">
      <c r="C9935" s="11"/>
      <c r="K9935" s="11"/>
    </row>
    <row r="9936" spans="3:11">
      <c r="C9936" s="11"/>
      <c r="K9936" s="11"/>
    </row>
    <row r="9937" spans="3:11">
      <c r="C9937" s="11"/>
      <c r="K9937" s="11"/>
    </row>
    <row r="9938" spans="3:11">
      <c r="C9938" s="11"/>
      <c r="K9938" s="11"/>
    </row>
    <row r="9939" spans="3:11">
      <c r="C9939" s="11"/>
      <c r="K9939" s="11"/>
    </row>
    <row r="9940" spans="3:11">
      <c r="C9940" s="11"/>
      <c r="K9940" s="11"/>
    </row>
    <row r="9941" spans="3:11">
      <c r="C9941" s="11"/>
      <c r="K9941" s="11"/>
    </row>
    <row r="9942" spans="3:11">
      <c r="C9942" s="11"/>
      <c r="K9942" s="11"/>
    </row>
    <row r="9943" spans="3:11">
      <c r="C9943" s="11"/>
      <c r="K9943" s="11"/>
    </row>
    <row r="9944" spans="3:11">
      <c r="C9944" s="11"/>
      <c r="K9944" s="11"/>
    </row>
    <row r="9945" spans="3:11">
      <c r="C9945" s="11"/>
      <c r="K9945" s="11"/>
    </row>
    <row r="9946" spans="3:11">
      <c r="C9946" s="11"/>
      <c r="K9946" s="11"/>
    </row>
    <row r="9947" spans="3:11">
      <c r="C9947" s="11"/>
      <c r="K9947" s="11"/>
    </row>
    <row r="9948" spans="3:11">
      <c r="C9948" s="11"/>
      <c r="K9948" s="11"/>
    </row>
    <row r="9949" spans="3:11">
      <c r="C9949" s="11"/>
      <c r="K9949" s="11"/>
    </row>
    <row r="9950" spans="3:11">
      <c r="C9950" s="11"/>
      <c r="K9950" s="11"/>
    </row>
    <row r="9951" spans="3:11">
      <c r="C9951" s="11"/>
      <c r="K9951" s="11"/>
    </row>
    <row r="9952" spans="3:11">
      <c r="C9952" s="11"/>
      <c r="K9952" s="11"/>
    </row>
    <row r="9953" spans="3:11">
      <c r="C9953" s="11"/>
      <c r="K9953" s="11"/>
    </row>
    <row r="9954" spans="3:11">
      <c r="C9954" s="11"/>
      <c r="K9954" s="11"/>
    </row>
    <row r="9955" spans="3:11">
      <c r="C9955" s="11"/>
      <c r="K9955" s="11"/>
    </row>
    <row r="9956" spans="3:11">
      <c r="C9956" s="11"/>
      <c r="K9956" s="11"/>
    </row>
    <row r="9957" spans="3:11">
      <c r="C9957" s="11"/>
      <c r="K9957" s="11"/>
    </row>
    <row r="9958" spans="3:11">
      <c r="C9958" s="11"/>
      <c r="K9958" s="11"/>
    </row>
    <row r="9959" spans="3:11">
      <c r="C9959" s="11"/>
      <c r="K9959" s="11"/>
    </row>
    <row r="9960" spans="3:11">
      <c r="C9960" s="11"/>
      <c r="K9960" s="11"/>
    </row>
    <row r="9961" spans="3:11">
      <c r="C9961" s="11"/>
      <c r="K9961" s="11"/>
    </row>
    <row r="9962" spans="3:11">
      <c r="C9962" s="11"/>
      <c r="K9962" s="11"/>
    </row>
    <row r="9963" spans="3:11">
      <c r="C9963" s="11"/>
      <c r="K9963" s="11"/>
    </row>
    <row r="9964" spans="3:11">
      <c r="C9964" s="11"/>
      <c r="K9964" s="11"/>
    </row>
    <row r="9965" spans="3:11">
      <c r="C9965" s="11"/>
      <c r="K9965" s="11"/>
    </row>
    <row r="9966" spans="3:11">
      <c r="C9966" s="11"/>
      <c r="K9966" s="11"/>
    </row>
    <row r="9967" spans="3:11">
      <c r="C9967" s="11"/>
      <c r="K9967" s="11"/>
    </row>
    <row r="9968" spans="3:11">
      <c r="C9968" s="11"/>
      <c r="K9968" s="11"/>
    </row>
    <row r="9969" spans="3:11">
      <c r="C9969" s="11"/>
      <c r="K9969" s="11"/>
    </row>
    <row r="9970" spans="3:11">
      <c r="C9970" s="11"/>
      <c r="K9970" s="11"/>
    </row>
    <row r="9971" spans="3:11">
      <c r="C9971" s="11"/>
      <c r="K9971" s="11"/>
    </row>
    <row r="9972" spans="3:11">
      <c r="C9972" s="11"/>
      <c r="K9972" s="11"/>
    </row>
    <row r="9973" spans="3:11">
      <c r="C9973" s="11"/>
      <c r="K9973" s="11"/>
    </row>
    <row r="9974" spans="3:11">
      <c r="C9974" s="11"/>
      <c r="K9974" s="11"/>
    </row>
    <row r="9975" spans="3:11">
      <c r="C9975" s="11"/>
      <c r="K9975" s="11"/>
    </row>
    <row r="9976" spans="3:11">
      <c r="C9976" s="11"/>
      <c r="K9976" s="11"/>
    </row>
    <row r="9977" spans="3:11">
      <c r="C9977" s="11"/>
      <c r="K9977" s="11"/>
    </row>
    <row r="9978" spans="3:11">
      <c r="C9978" s="11"/>
      <c r="K9978" s="11"/>
    </row>
    <row r="9979" spans="3:11">
      <c r="C9979" s="11"/>
      <c r="K9979" s="11"/>
    </row>
    <row r="9980" spans="3:11">
      <c r="C9980" s="11"/>
      <c r="K9980" s="11"/>
    </row>
    <row r="9981" spans="3:11">
      <c r="C9981" s="11"/>
      <c r="K9981" s="11"/>
    </row>
    <row r="9982" spans="3:11">
      <c r="C9982" s="11"/>
      <c r="K9982" s="11"/>
    </row>
    <row r="9983" spans="3:11">
      <c r="C9983" s="11"/>
      <c r="K9983" s="11"/>
    </row>
    <row r="9984" spans="3:11">
      <c r="C9984" s="11"/>
      <c r="K9984" s="11"/>
    </row>
    <row r="9985" spans="3:11">
      <c r="C9985" s="11"/>
      <c r="K9985" s="11"/>
    </row>
    <row r="9986" spans="3:11">
      <c r="C9986" s="11"/>
      <c r="K9986" s="11"/>
    </row>
    <row r="9987" spans="3:11">
      <c r="C9987" s="11"/>
      <c r="K9987" s="11"/>
    </row>
    <row r="9988" spans="3:11">
      <c r="C9988" s="11"/>
      <c r="K9988" s="11"/>
    </row>
    <row r="9989" spans="3:11">
      <c r="C9989" s="11"/>
      <c r="K9989" s="11"/>
    </row>
    <row r="9990" spans="3:11">
      <c r="C9990" s="11"/>
      <c r="K9990" s="11"/>
    </row>
    <row r="9991" spans="3:11">
      <c r="C9991" s="11"/>
      <c r="K9991" s="11"/>
    </row>
    <row r="9992" spans="3:11">
      <c r="C9992" s="11"/>
      <c r="K9992" s="11"/>
    </row>
    <row r="9993" spans="3:11">
      <c r="C9993" s="11"/>
      <c r="K9993" s="11"/>
    </row>
    <row r="9994" spans="3:11">
      <c r="C9994" s="11"/>
      <c r="K9994" s="11"/>
    </row>
    <row r="9995" spans="3:11">
      <c r="C9995" s="11"/>
      <c r="K9995" s="11"/>
    </row>
    <row r="9996" spans="3:11">
      <c r="C9996" s="11"/>
      <c r="K9996" s="11"/>
    </row>
    <row r="9997" spans="3:11">
      <c r="C9997" s="11"/>
      <c r="K9997" s="11"/>
    </row>
    <row r="9998" spans="3:11">
      <c r="C9998" s="11"/>
      <c r="K9998" s="11"/>
    </row>
    <row r="9999" spans="3:11">
      <c r="C9999" s="11"/>
      <c r="K9999" s="11"/>
    </row>
    <row r="10000" spans="3:11">
      <c r="C10000" s="11"/>
      <c r="K10000" s="11"/>
    </row>
    <row r="10001" spans="3:11">
      <c r="C10001" s="11"/>
      <c r="K10001" s="11"/>
    </row>
    <row r="10002" spans="3:11">
      <c r="C10002" s="11"/>
      <c r="K10002" s="11"/>
    </row>
    <row r="10003" spans="3:11">
      <c r="C10003" s="11"/>
      <c r="K10003" s="11"/>
    </row>
    <row r="10004" spans="3:11">
      <c r="C10004" s="11"/>
      <c r="K10004" s="11"/>
    </row>
    <row r="10005" spans="3:11">
      <c r="C10005" s="11"/>
      <c r="K10005" s="11"/>
    </row>
    <row r="10006" spans="3:11">
      <c r="C10006" s="11"/>
      <c r="K10006" s="11"/>
    </row>
    <row r="10007" spans="3:11">
      <c r="C10007" s="11"/>
      <c r="K10007" s="11"/>
    </row>
    <row r="10008" spans="3:11">
      <c r="C10008" s="11"/>
      <c r="K10008" s="11"/>
    </row>
    <row r="10009" spans="3:11">
      <c r="C10009" s="11"/>
      <c r="K10009" s="11"/>
    </row>
    <row r="10010" spans="3:11">
      <c r="C10010" s="11"/>
      <c r="K10010" s="11"/>
    </row>
    <row r="10011" spans="3:11">
      <c r="C10011" s="11"/>
      <c r="K10011" s="11"/>
    </row>
    <row r="10012" spans="3:11">
      <c r="C10012" s="11"/>
      <c r="K10012" s="11"/>
    </row>
    <row r="10013" spans="3:11">
      <c r="C10013" s="11"/>
      <c r="K10013" s="11"/>
    </row>
    <row r="10014" spans="3:11">
      <c r="C10014" s="11"/>
      <c r="K10014" s="11"/>
    </row>
    <row r="10015" spans="3:11">
      <c r="C10015" s="11"/>
      <c r="K10015" s="11"/>
    </row>
    <row r="10016" spans="3:11">
      <c r="C10016" s="11"/>
      <c r="K10016" s="11"/>
    </row>
    <row r="10017" spans="3:11">
      <c r="C10017" s="11"/>
      <c r="K10017" s="11"/>
    </row>
    <row r="10018" spans="3:11">
      <c r="C10018" s="11"/>
      <c r="K10018" s="11"/>
    </row>
    <row r="10019" spans="3:11">
      <c r="C10019" s="11"/>
      <c r="K10019" s="11"/>
    </row>
    <row r="10020" spans="3:11">
      <c r="C10020" s="11"/>
      <c r="K10020" s="11"/>
    </row>
    <row r="10021" spans="3:11">
      <c r="C10021" s="11"/>
      <c r="K10021" s="11"/>
    </row>
    <row r="10022" spans="3:11">
      <c r="C10022" s="11"/>
      <c r="K10022" s="11"/>
    </row>
    <row r="10023" spans="3:11">
      <c r="C10023" s="11"/>
      <c r="K10023" s="11"/>
    </row>
    <row r="10024" spans="3:11">
      <c r="C10024" s="11"/>
      <c r="K10024" s="11"/>
    </row>
    <row r="10025" spans="3:11">
      <c r="C10025" s="11"/>
      <c r="K10025" s="11"/>
    </row>
    <row r="10026" spans="3:11">
      <c r="C10026" s="11"/>
      <c r="K10026" s="11"/>
    </row>
    <row r="10027" spans="3:11">
      <c r="C10027" s="11"/>
      <c r="K10027" s="11"/>
    </row>
    <row r="10028" spans="3:11">
      <c r="C10028" s="11"/>
      <c r="K10028" s="11"/>
    </row>
    <row r="10029" spans="3:11">
      <c r="C10029" s="11"/>
      <c r="K10029" s="11"/>
    </row>
    <row r="10030" spans="3:11">
      <c r="C10030" s="11"/>
      <c r="K10030" s="11"/>
    </row>
    <row r="10031" spans="3:11">
      <c r="C10031" s="11"/>
      <c r="K10031" s="11"/>
    </row>
    <row r="10032" spans="3:11">
      <c r="C10032" s="11"/>
      <c r="K10032" s="11"/>
    </row>
    <row r="10033" spans="3:11">
      <c r="C10033" s="11"/>
      <c r="K10033" s="11"/>
    </row>
    <row r="10034" spans="3:11">
      <c r="C10034" s="11"/>
      <c r="K10034" s="11"/>
    </row>
    <row r="10035" spans="3:11">
      <c r="C10035" s="11"/>
      <c r="K10035" s="11"/>
    </row>
    <row r="10036" spans="3:11">
      <c r="C10036" s="11"/>
      <c r="K10036" s="11"/>
    </row>
    <row r="10037" spans="3:11">
      <c r="C10037" s="11"/>
      <c r="K10037" s="11"/>
    </row>
    <row r="10038" spans="3:11">
      <c r="C10038" s="11"/>
      <c r="K10038" s="11"/>
    </row>
    <row r="10039" spans="3:11">
      <c r="C10039" s="11"/>
      <c r="K10039" s="11"/>
    </row>
    <row r="10040" spans="3:11">
      <c r="C10040" s="11"/>
      <c r="K10040" s="11"/>
    </row>
    <row r="10041" spans="3:11">
      <c r="C10041" s="11"/>
      <c r="K10041" s="11"/>
    </row>
    <row r="10042" spans="3:11">
      <c r="C10042" s="11"/>
      <c r="K10042" s="11"/>
    </row>
    <row r="10043" spans="3:11">
      <c r="C10043" s="11"/>
      <c r="K10043" s="11"/>
    </row>
    <row r="10044" spans="3:11">
      <c r="C10044" s="11"/>
      <c r="K10044" s="11"/>
    </row>
    <row r="10045" spans="3:11">
      <c r="C10045" s="11"/>
      <c r="K10045" s="11"/>
    </row>
    <row r="10046" spans="3:11">
      <c r="C10046" s="11"/>
      <c r="K10046" s="11"/>
    </row>
    <row r="10047" spans="3:11">
      <c r="C10047" s="11"/>
      <c r="K10047" s="11"/>
    </row>
    <row r="10048" spans="3:11">
      <c r="C10048" s="11"/>
      <c r="K10048" s="11"/>
    </row>
    <row r="10049" spans="3:11">
      <c r="C10049" s="11"/>
      <c r="K10049" s="11"/>
    </row>
    <row r="10050" spans="3:11">
      <c r="C10050" s="11"/>
      <c r="K10050" s="11"/>
    </row>
    <row r="10051" spans="3:11">
      <c r="C10051" s="11"/>
      <c r="K10051" s="11"/>
    </row>
    <row r="10052" spans="3:11">
      <c r="C10052" s="11"/>
      <c r="K10052" s="11"/>
    </row>
    <row r="10053" spans="3:11">
      <c r="C10053" s="11"/>
      <c r="K10053" s="11"/>
    </row>
    <row r="10054" spans="3:11">
      <c r="C10054" s="11"/>
      <c r="K10054" s="11"/>
    </row>
    <row r="10055" spans="3:11">
      <c r="C10055" s="11"/>
      <c r="K10055" s="11"/>
    </row>
    <row r="10056" spans="3:11">
      <c r="C10056" s="11"/>
      <c r="K10056" s="11"/>
    </row>
    <row r="10057" spans="3:11">
      <c r="C10057" s="11"/>
      <c r="K10057" s="11"/>
    </row>
    <row r="10058" spans="3:11">
      <c r="C10058" s="11"/>
      <c r="K10058" s="11"/>
    </row>
    <row r="10059" spans="3:11">
      <c r="C10059" s="11"/>
      <c r="K10059" s="11"/>
    </row>
    <row r="10060" spans="3:11">
      <c r="C10060" s="11"/>
      <c r="K10060" s="11"/>
    </row>
    <row r="10061" spans="3:11">
      <c r="C10061" s="11"/>
      <c r="K10061" s="11"/>
    </row>
    <row r="10062" spans="3:11">
      <c r="C10062" s="11"/>
      <c r="K10062" s="11"/>
    </row>
    <row r="10063" spans="3:11">
      <c r="C10063" s="11"/>
      <c r="K10063" s="11"/>
    </row>
    <row r="10064" spans="3:11">
      <c r="C10064" s="11"/>
      <c r="K10064" s="11"/>
    </row>
    <row r="10065" spans="3:11">
      <c r="C10065" s="11"/>
      <c r="K10065" s="11"/>
    </row>
    <row r="10066" spans="3:11">
      <c r="C10066" s="11"/>
      <c r="K10066" s="11"/>
    </row>
    <row r="10067" spans="3:11">
      <c r="C10067" s="11"/>
      <c r="K10067" s="11"/>
    </row>
    <row r="10068" spans="3:11">
      <c r="C10068" s="11"/>
      <c r="K10068" s="11"/>
    </row>
    <row r="10069" spans="3:11">
      <c r="C10069" s="11"/>
      <c r="K10069" s="11"/>
    </row>
    <row r="10070" spans="3:11">
      <c r="C10070" s="11"/>
      <c r="K10070" s="11"/>
    </row>
    <row r="10071" spans="3:11">
      <c r="C10071" s="11"/>
      <c r="K10071" s="11"/>
    </row>
    <row r="10072" spans="3:11">
      <c r="C10072" s="11"/>
      <c r="K10072" s="11"/>
    </row>
    <row r="10073" spans="3:11">
      <c r="C10073" s="11"/>
      <c r="K10073" s="11"/>
    </row>
    <row r="10074" spans="3:11">
      <c r="C10074" s="11"/>
      <c r="K10074" s="11"/>
    </row>
    <row r="10075" spans="3:11">
      <c r="C10075" s="11"/>
      <c r="K10075" s="11"/>
    </row>
    <row r="10076" spans="3:11">
      <c r="C10076" s="11"/>
      <c r="K10076" s="11"/>
    </row>
    <row r="10077" spans="3:11">
      <c r="C10077" s="11"/>
      <c r="K10077" s="11"/>
    </row>
    <row r="10078" spans="3:11">
      <c r="C10078" s="11"/>
      <c r="K10078" s="11"/>
    </row>
    <row r="10079" spans="3:11">
      <c r="C10079" s="11"/>
      <c r="K10079" s="11"/>
    </row>
    <row r="10080" spans="3:11">
      <c r="C10080" s="11"/>
      <c r="K10080" s="11"/>
    </row>
    <row r="10081" spans="3:11">
      <c r="C10081" s="11"/>
      <c r="K10081" s="11"/>
    </row>
    <row r="10082" spans="3:11">
      <c r="C10082" s="11"/>
      <c r="K10082" s="11"/>
    </row>
    <row r="10083" spans="3:11">
      <c r="C10083" s="11"/>
      <c r="K10083" s="11"/>
    </row>
    <row r="10084" spans="3:11">
      <c r="C10084" s="11"/>
      <c r="K10084" s="11"/>
    </row>
    <row r="10085" spans="3:11">
      <c r="C10085" s="11"/>
      <c r="K10085" s="11"/>
    </row>
    <row r="10086" spans="3:11">
      <c r="C10086" s="11"/>
      <c r="K10086" s="11"/>
    </row>
    <row r="10087" spans="3:11">
      <c r="C10087" s="11"/>
      <c r="K10087" s="11"/>
    </row>
    <row r="10088" spans="3:11">
      <c r="C10088" s="11"/>
      <c r="K10088" s="11"/>
    </row>
    <row r="10089" spans="3:11">
      <c r="C10089" s="11"/>
      <c r="K10089" s="11"/>
    </row>
    <row r="10090" spans="3:11">
      <c r="C10090" s="11"/>
      <c r="K10090" s="11"/>
    </row>
    <row r="10091" spans="3:11">
      <c r="C10091" s="11"/>
      <c r="K10091" s="11"/>
    </row>
    <row r="10092" spans="3:11">
      <c r="C10092" s="11"/>
      <c r="K10092" s="11"/>
    </row>
    <row r="10093" spans="3:11">
      <c r="C10093" s="11"/>
      <c r="K10093" s="11"/>
    </row>
    <row r="10094" spans="3:11">
      <c r="C10094" s="11"/>
      <c r="K10094" s="11"/>
    </row>
    <row r="10095" spans="3:11">
      <c r="C10095" s="11"/>
      <c r="K10095" s="11"/>
    </row>
    <row r="10096" spans="3:11">
      <c r="C10096" s="11"/>
      <c r="K10096" s="11"/>
    </row>
    <row r="10097" spans="3:11">
      <c r="C10097" s="11"/>
      <c r="K10097" s="11"/>
    </row>
    <row r="10098" spans="3:11">
      <c r="C10098" s="11"/>
      <c r="K10098" s="11"/>
    </row>
    <row r="10099" spans="3:11">
      <c r="C10099" s="11"/>
      <c r="K10099" s="11"/>
    </row>
    <row r="10100" spans="3:11">
      <c r="C10100" s="11"/>
      <c r="K10100" s="11"/>
    </row>
    <row r="10101" spans="3:11">
      <c r="C10101" s="11"/>
      <c r="K10101" s="11"/>
    </row>
    <row r="10102" spans="3:11">
      <c r="C10102" s="11"/>
      <c r="K10102" s="11"/>
    </row>
    <row r="10103" spans="3:11">
      <c r="C10103" s="11"/>
      <c r="K10103" s="11"/>
    </row>
    <row r="10104" spans="3:11">
      <c r="C10104" s="11"/>
      <c r="K10104" s="11"/>
    </row>
    <row r="10105" spans="3:11">
      <c r="C10105" s="11"/>
      <c r="K10105" s="11"/>
    </row>
    <row r="10106" spans="3:11">
      <c r="C10106" s="11"/>
      <c r="K10106" s="11"/>
    </row>
    <row r="10107" spans="3:11">
      <c r="C10107" s="11"/>
      <c r="K10107" s="11"/>
    </row>
    <row r="10108" spans="3:11">
      <c r="C10108" s="11"/>
      <c r="K10108" s="11"/>
    </row>
    <row r="10109" spans="3:11">
      <c r="C10109" s="11"/>
      <c r="K10109" s="11"/>
    </row>
    <row r="10110" spans="3:11">
      <c r="C10110" s="11"/>
      <c r="K10110" s="11"/>
    </row>
    <row r="10111" spans="3:11">
      <c r="C10111" s="11"/>
      <c r="K10111" s="11"/>
    </row>
    <row r="10112" spans="3:11">
      <c r="C10112" s="11"/>
      <c r="K10112" s="11"/>
    </row>
    <row r="10113" spans="3:11">
      <c r="C10113" s="11"/>
      <c r="K10113" s="11"/>
    </row>
    <row r="10114" spans="3:11">
      <c r="C10114" s="11"/>
      <c r="K10114" s="11"/>
    </row>
    <row r="10115" spans="3:11">
      <c r="C10115" s="11"/>
      <c r="K10115" s="11"/>
    </row>
    <row r="10116" spans="3:11">
      <c r="C10116" s="11"/>
      <c r="K10116" s="11"/>
    </row>
    <row r="10117" spans="3:11">
      <c r="C10117" s="11"/>
      <c r="K10117" s="11"/>
    </row>
    <row r="10118" spans="3:11">
      <c r="C10118" s="11"/>
      <c r="K10118" s="11"/>
    </row>
    <row r="10119" spans="3:11">
      <c r="C10119" s="11"/>
      <c r="K10119" s="11"/>
    </row>
    <row r="10120" spans="3:11">
      <c r="C10120" s="11"/>
      <c r="K10120" s="11"/>
    </row>
    <row r="10121" spans="3:11">
      <c r="C10121" s="11"/>
      <c r="K10121" s="11"/>
    </row>
    <row r="10122" spans="3:11">
      <c r="C10122" s="11"/>
      <c r="K10122" s="11"/>
    </row>
    <row r="10123" spans="3:11">
      <c r="C10123" s="11"/>
      <c r="K10123" s="11"/>
    </row>
    <row r="10124" spans="3:11">
      <c r="C10124" s="11"/>
      <c r="K10124" s="11"/>
    </row>
    <row r="10125" spans="3:11">
      <c r="C10125" s="11"/>
      <c r="K10125" s="11"/>
    </row>
    <row r="10126" spans="3:11">
      <c r="C10126" s="11"/>
      <c r="K10126" s="11"/>
    </row>
    <row r="10127" spans="3:11">
      <c r="C10127" s="11"/>
      <c r="K10127" s="11"/>
    </row>
    <row r="10128" spans="3:11">
      <c r="C10128" s="11"/>
      <c r="K10128" s="11"/>
    </row>
    <row r="10129" spans="3:11">
      <c r="C10129" s="11"/>
      <c r="K10129" s="11"/>
    </row>
    <row r="10130" spans="3:11">
      <c r="C10130" s="11"/>
      <c r="K10130" s="11"/>
    </row>
    <row r="10131" spans="3:11">
      <c r="C10131" s="11"/>
      <c r="K10131" s="11"/>
    </row>
    <row r="10132" spans="3:11">
      <c r="C10132" s="11"/>
      <c r="K10132" s="11"/>
    </row>
    <row r="10133" spans="3:11">
      <c r="C10133" s="11"/>
      <c r="K10133" s="11"/>
    </row>
    <row r="10134" spans="3:11">
      <c r="C10134" s="11"/>
      <c r="K10134" s="11"/>
    </row>
    <row r="10135" spans="3:11">
      <c r="C10135" s="11"/>
      <c r="K10135" s="11"/>
    </row>
    <row r="10136" spans="3:11">
      <c r="C10136" s="11"/>
      <c r="K10136" s="11"/>
    </row>
    <row r="10137" spans="3:11">
      <c r="C10137" s="11"/>
      <c r="K10137" s="11"/>
    </row>
    <row r="10138" spans="3:11">
      <c r="C10138" s="11"/>
      <c r="K10138" s="11"/>
    </row>
    <row r="10139" spans="3:11">
      <c r="C10139" s="11"/>
      <c r="K10139" s="11"/>
    </row>
    <row r="10140" spans="3:11">
      <c r="C10140" s="11"/>
      <c r="K10140" s="11"/>
    </row>
    <row r="10141" spans="3:11">
      <c r="C10141" s="11"/>
      <c r="K10141" s="11"/>
    </row>
    <row r="10142" spans="3:11">
      <c r="C10142" s="11"/>
      <c r="K10142" s="11"/>
    </row>
    <row r="10143" spans="3:11">
      <c r="C10143" s="11"/>
      <c r="K10143" s="11"/>
    </row>
    <row r="10144" spans="3:11">
      <c r="C10144" s="11"/>
      <c r="K10144" s="11"/>
    </row>
    <row r="10145" spans="3:11">
      <c r="C10145" s="11"/>
      <c r="K10145" s="11"/>
    </row>
    <row r="10146" spans="3:11">
      <c r="C10146" s="11"/>
      <c r="K10146" s="11"/>
    </row>
    <row r="10147" spans="3:11">
      <c r="C10147" s="11"/>
      <c r="K10147" s="11"/>
    </row>
    <row r="10148" spans="3:11">
      <c r="C10148" s="11"/>
      <c r="K10148" s="11"/>
    </row>
    <row r="10149" spans="3:11">
      <c r="C10149" s="11"/>
      <c r="K10149" s="11"/>
    </row>
    <row r="10150" spans="3:11">
      <c r="C10150" s="11"/>
      <c r="K10150" s="11"/>
    </row>
    <row r="10151" spans="3:11">
      <c r="C10151" s="11"/>
      <c r="K10151" s="11"/>
    </row>
    <row r="10152" spans="3:11">
      <c r="C10152" s="11"/>
      <c r="K10152" s="11"/>
    </row>
    <row r="10153" spans="3:11">
      <c r="C10153" s="11"/>
      <c r="K10153" s="11"/>
    </row>
    <row r="10154" spans="3:11">
      <c r="C10154" s="11"/>
      <c r="K10154" s="11"/>
    </row>
    <row r="10155" spans="3:11">
      <c r="C10155" s="11"/>
      <c r="K10155" s="11"/>
    </row>
    <row r="10156" spans="3:11">
      <c r="C10156" s="11"/>
      <c r="K10156" s="11"/>
    </row>
    <row r="10157" spans="3:11">
      <c r="C10157" s="11"/>
      <c r="K10157" s="11"/>
    </row>
    <row r="10158" spans="3:11">
      <c r="C10158" s="11"/>
      <c r="K10158" s="11"/>
    </row>
    <row r="10159" spans="3:11">
      <c r="C10159" s="11"/>
      <c r="K10159" s="11"/>
    </row>
    <row r="10160" spans="3:11">
      <c r="C10160" s="11"/>
      <c r="K10160" s="11"/>
    </row>
    <row r="10161" spans="3:11">
      <c r="C10161" s="11"/>
      <c r="K10161" s="11"/>
    </row>
    <row r="10162" spans="3:11">
      <c r="C10162" s="11"/>
      <c r="K10162" s="11"/>
    </row>
    <row r="10163" spans="3:11">
      <c r="C10163" s="11"/>
      <c r="K10163" s="11"/>
    </row>
    <row r="10164" spans="3:11">
      <c r="C10164" s="11"/>
      <c r="K10164" s="11"/>
    </row>
    <row r="10165" spans="3:11">
      <c r="C10165" s="11"/>
      <c r="K10165" s="11"/>
    </row>
    <row r="10166" spans="3:11">
      <c r="C10166" s="11"/>
      <c r="K10166" s="11"/>
    </row>
    <row r="10167" spans="3:11">
      <c r="C10167" s="11"/>
      <c r="K10167" s="11"/>
    </row>
    <row r="10168" spans="3:11">
      <c r="C10168" s="11"/>
      <c r="K10168" s="11"/>
    </row>
    <row r="10169" spans="3:11">
      <c r="C10169" s="11"/>
      <c r="K10169" s="11"/>
    </row>
    <row r="10170" spans="3:11">
      <c r="C10170" s="11"/>
      <c r="K10170" s="11"/>
    </row>
    <row r="10171" spans="3:11">
      <c r="C10171" s="11"/>
      <c r="K10171" s="11"/>
    </row>
    <row r="10172" spans="3:11">
      <c r="C10172" s="11"/>
      <c r="K10172" s="11"/>
    </row>
    <row r="10173" spans="3:11">
      <c r="C10173" s="11"/>
      <c r="K10173" s="11"/>
    </row>
    <row r="10174" spans="3:11">
      <c r="C10174" s="11"/>
      <c r="K10174" s="11"/>
    </row>
    <row r="10175" spans="3:11">
      <c r="C10175" s="11"/>
      <c r="K10175" s="11"/>
    </row>
    <row r="10176" spans="3:11">
      <c r="C10176" s="11"/>
      <c r="K10176" s="11"/>
    </row>
    <row r="10177" spans="3:11">
      <c r="C10177" s="11"/>
      <c r="K10177" s="11"/>
    </row>
    <row r="10178" spans="3:11">
      <c r="C10178" s="11"/>
      <c r="K10178" s="11"/>
    </row>
    <row r="10179" spans="3:11">
      <c r="C10179" s="11"/>
      <c r="K10179" s="11"/>
    </row>
    <row r="10180" spans="3:11">
      <c r="C10180" s="11"/>
      <c r="K10180" s="11"/>
    </row>
    <row r="10181" spans="3:11">
      <c r="C10181" s="11"/>
      <c r="K10181" s="11"/>
    </row>
    <row r="10182" spans="3:11">
      <c r="C10182" s="11"/>
      <c r="K10182" s="11"/>
    </row>
    <row r="10183" spans="3:11">
      <c r="C10183" s="11"/>
      <c r="K10183" s="11"/>
    </row>
    <row r="10184" spans="3:11">
      <c r="C10184" s="11"/>
      <c r="K10184" s="11"/>
    </row>
    <row r="10185" spans="3:11">
      <c r="C10185" s="11"/>
      <c r="K10185" s="11"/>
    </row>
    <row r="10186" spans="3:11">
      <c r="C10186" s="11"/>
      <c r="K10186" s="11"/>
    </row>
    <row r="10187" spans="3:11">
      <c r="C10187" s="11"/>
      <c r="K10187" s="11"/>
    </row>
    <row r="10188" spans="3:11">
      <c r="C10188" s="11"/>
      <c r="K10188" s="11"/>
    </row>
    <row r="10189" spans="3:11">
      <c r="C10189" s="11"/>
      <c r="K10189" s="11"/>
    </row>
    <row r="10190" spans="3:11">
      <c r="C10190" s="11"/>
      <c r="K10190" s="11"/>
    </row>
    <row r="10191" spans="3:11">
      <c r="C10191" s="11"/>
      <c r="K10191" s="11"/>
    </row>
    <row r="10192" spans="3:11">
      <c r="C10192" s="11"/>
      <c r="K10192" s="11"/>
    </row>
    <row r="10193" spans="3:11">
      <c r="C10193" s="11"/>
      <c r="K10193" s="11"/>
    </row>
    <row r="10194" spans="3:11">
      <c r="C10194" s="11"/>
      <c r="K10194" s="11"/>
    </row>
    <row r="10195" spans="3:11">
      <c r="C10195" s="11"/>
      <c r="K10195" s="11"/>
    </row>
    <row r="10196" spans="3:11">
      <c r="C10196" s="11"/>
      <c r="K10196" s="11"/>
    </row>
    <row r="10197" spans="3:11">
      <c r="C10197" s="11"/>
      <c r="K10197" s="11"/>
    </row>
    <row r="10198" spans="3:11">
      <c r="C10198" s="11"/>
      <c r="K10198" s="11"/>
    </row>
    <row r="10199" spans="3:11">
      <c r="C10199" s="11"/>
      <c r="K10199" s="11"/>
    </row>
    <row r="10200" spans="3:11">
      <c r="C10200" s="11"/>
      <c r="K10200" s="11"/>
    </row>
    <row r="10201" spans="3:11">
      <c r="C10201" s="11"/>
      <c r="K10201" s="11"/>
    </row>
    <row r="10202" spans="3:11">
      <c r="C10202" s="11"/>
      <c r="K10202" s="11"/>
    </row>
    <row r="10203" spans="3:11">
      <c r="C10203" s="11"/>
      <c r="K10203" s="11"/>
    </row>
    <row r="10204" spans="3:11">
      <c r="C10204" s="11"/>
      <c r="K10204" s="11"/>
    </row>
    <row r="10205" spans="3:11">
      <c r="C10205" s="11"/>
      <c r="K10205" s="11"/>
    </row>
    <row r="10206" spans="3:11">
      <c r="C10206" s="11"/>
      <c r="K10206" s="11"/>
    </row>
    <row r="10207" spans="3:11">
      <c r="C10207" s="11"/>
      <c r="K10207" s="11"/>
    </row>
    <row r="10208" spans="3:11">
      <c r="C10208" s="11"/>
      <c r="K10208" s="11"/>
    </row>
    <row r="10209" spans="3:11">
      <c r="C10209" s="11"/>
      <c r="K10209" s="11"/>
    </row>
    <row r="10210" spans="3:11">
      <c r="C10210" s="11"/>
      <c r="K10210" s="11"/>
    </row>
    <row r="10211" spans="3:11">
      <c r="C10211" s="11"/>
      <c r="K10211" s="11"/>
    </row>
    <row r="10212" spans="3:11">
      <c r="C10212" s="11"/>
      <c r="K10212" s="11"/>
    </row>
    <row r="10213" spans="3:11">
      <c r="C10213" s="11"/>
      <c r="K10213" s="11"/>
    </row>
    <row r="10214" spans="3:11">
      <c r="C10214" s="11"/>
      <c r="K10214" s="11"/>
    </row>
    <row r="10215" spans="3:11">
      <c r="C10215" s="11"/>
      <c r="K10215" s="11"/>
    </row>
    <row r="10216" spans="3:11">
      <c r="C10216" s="11"/>
      <c r="K10216" s="11"/>
    </row>
    <row r="10217" spans="3:11">
      <c r="C10217" s="11"/>
      <c r="K10217" s="11"/>
    </row>
    <row r="10218" spans="3:11">
      <c r="C10218" s="11"/>
      <c r="K10218" s="11"/>
    </row>
    <row r="10219" spans="3:11">
      <c r="C10219" s="11"/>
      <c r="K10219" s="11"/>
    </row>
    <row r="10220" spans="3:11">
      <c r="C10220" s="11"/>
      <c r="K10220" s="11"/>
    </row>
    <row r="10221" spans="3:11">
      <c r="C10221" s="11"/>
      <c r="K10221" s="11"/>
    </row>
    <row r="10222" spans="3:11">
      <c r="C10222" s="11"/>
      <c r="K10222" s="11"/>
    </row>
    <row r="10223" spans="3:11">
      <c r="C10223" s="11"/>
      <c r="K10223" s="11"/>
    </row>
    <row r="10224" spans="3:11">
      <c r="C10224" s="11"/>
      <c r="K10224" s="11"/>
    </row>
    <row r="10225" spans="3:11">
      <c r="C10225" s="11"/>
      <c r="K10225" s="11"/>
    </row>
    <row r="10226" spans="3:11">
      <c r="C10226" s="11"/>
      <c r="K10226" s="11"/>
    </row>
    <row r="10227" spans="3:11">
      <c r="C10227" s="11"/>
      <c r="K10227" s="11"/>
    </row>
    <row r="10228" spans="3:11">
      <c r="C10228" s="11"/>
      <c r="K10228" s="11"/>
    </row>
    <row r="10229" spans="3:11">
      <c r="C10229" s="11"/>
      <c r="K10229" s="11"/>
    </row>
    <row r="10230" spans="3:11">
      <c r="C10230" s="11"/>
      <c r="K10230" s="11"/>
    </row>
    <row r="10231" spans="3:11">
      <c r="C10231" s="11"/>
      <c r="K10231" s="11"/>
    </row>
    <row r="10232" spans="3:11">
      <c r="C10232" s="11"/>
      <c r="K10232" s="11"/>
    </row>
    <row r="10233" spans="3:11">
      <c r="C10233" s="11"/>
      <c r="K10233" s="11"/>
    </row>
    <row r="10234" spans="3:11">
      <c r="C10234" s="11"/>
      <c r="K10234" s="11"/>
    </row>
    <row r="10235" spans="3:11">
      <c r="C10235" s="11"/>
      <c r="K10235" s="11"/>
    </row>
    <row r="10236" spans="3:11">
      <c r="C10236" s="11"/>
      <c r="K10236" s="11"/>
    </row>
    <row r="10237" spans="3:11">
      <c r="C10237" s="11"/>
      <c r="K10237" s="11"/>
    </row>
    <row r="10238" spans="3:11">
      <c r="C10238" s="11"/>
      <c r="K10238" s="11"/>
    </row>
    <row r="10239" spans="3:11">
      <c r="C10239" s="11"/>
      <c r="K10239" s="11"/>
    </row>
    <row r="10240" spans="3:11">
      <c r="C10240" s="11"/>
      <c r="K10240" s="11"/>
    </row>
    <row r="10241" spans="3:11">
      <c r="C10241" s="11"/>
      <c r="K10241" s="11"/>
    </row>
    <row r="10242" spans="3:11">
      <c r="C10242" s="11"/>
      <c r="K10242" s="11"/>
    </row>
    <row r="10243" spans="3:11">
      <c r="C10243" s="11"/>
      <c r="K10243" s="11"/>
    </row>
    <row r="10244" spans="3:11">
      <c r="C10244" s="11"/>
      <c r="K10244" s="11"/>
    </row>
    <row r="10245" spans="3:11">
      <c r="C10245" s="11"/>
      <c r="K10245" s="11"/>
    </row>
    <row r="10246" spans="3:11">
      <c r="C10246" s="11"/>
      <c r="K10246" s="11"/>
    </row>
    <row r="10247" spans="3:11">
      <c r="C10247" s="11"/>
      <c r="K10247" s="11"/>
    </row>
    <row r="10248" spans="3:11">
      <c r="C10248" s="11"/>
      <c r="K10248" s="11"/>
    </row>
    <row r="10249" spans="3:11">
      <c r="C10249" s="11"/>
      <c r="K10249" s="11"/>
    </row>
    <row r="10250" spans="3:11">
      <c r="C10250" s="11"/>
      <c r="K10250" s="11"/>
    </row>
    <row r="10251" spans="3:11">
      <c r="C10251" s="11"/>
      <c r="K10251" s="11"/>
    </row>
    <row r="10252" spans="3:11">
      <c r="C10252" s="11"/>
      <c r="K10252" s="11"/>
    </row>
    <row r="10253" spans="3:11">
      <c r="C10253" s="11"/>
      <c r="K10253" s="11"/>
    </row>
    <row r="10254" spans="3:11">
      <c r="C10254" s="11"/>
      <c r="K10254" s="11"/>
    </row>
    <row r="10255" spans="3:11">
      <c r="C10255" s="11"/>
      <c r="K10255" s="11"/>
    </row>
    <row r="10256" spans="3:11">
      <c r="C10256" s="11"/>
      <c r="K10256" s="11"/>
    </row>
    <row r="10257" spans="3:11">
      <c r="C10257" s="11"/>
      <c r="K10257" s="11"/>
    </row>
    <row r="10258" spans="3:11">
      <c r="C10258" s="11"/>
      <c r="K10258" s="11"/>
    </row>
    <row r="10259" spans="3:11">
      <c r="C10259" s="11"/>
      <c r="K10259" s="11"/>
    </row>
    <row r="10260" spans="3:11">
      <c r="C10260" s="11"/>
      <c r="K10260" s="11"/>
    </row>
    <row r="10261" spans="3:11">
      <c r="C10261" s="11"/>
      <c r="K10261" s="11"/>
    </row>
    <row r="10262" spans="3:11">
      <c r="C10262" s="11"/>
      <c r="K10262" s="11"/>
    </row>
    <row r="10263" spans="3:11">
      <c r="C10263" s="11"/>
      <c r="K10263" s="11"/>
    </row>
    <row r="10264" spans="3:11">
      <c r="C10264" s="11"/>
      <c r="K10264" s="11"/>
    </row>
    <row r="10265" spans="3:11">
      <c r="C10265" s="11"/>
      <c r="K10265" s="11"/>
    </row>
    <row r="10266" spans="3:11">
      <c r="C10266" s="11"/>
      <c r="K10266" s="11"/>
    </row>
    <row r="10267" spans="3:11">
      <c r="C10267" s="11"/>
      <c r="K10267" s="11"/>
    </row>
    <row r="10268" spans="3:11">
      <c r="C10268" s="11"/>
      <c r="K10268" s="11"/>
    </row>
    <row r="10269" spans="3:11">
      <c r="C10269" s="11"/>
      <c r="K10269" s="11"/>
    </row>
    <row r="10270" spans="3:11">
      <c r="C10270" s="11"/>
      <c r="K10270" s="11"/>
    </row>
    <row r="10271" spans="3:11">
      <c r="C10271" s="11"/>
      <c r="K10271" s="11"/>
    </row>
    <row r="10272" spans="3:11">
      <c r="C10272" s="11"/>
      <c r="K10272" s="11"/>
    </row>
    <row r="10273" spans="3:11">
      <c r="C10273" s="11"/>
      <c r="K10273" s="11"/>
    </row>
    <row r="10274" spans="3:11">
      <c r="C10274" s="11"/>
      <c r="K10274" s="11"/>
    </row>
    <row r="10275" spans="3:11">
      <c r="C10275" s="11"/>
      <c r="K10275" s="11"/>
    </row>
    <row r="10276" spans="3:11">
      <c r="C10276" s="11"/>
      <c r="K10276" s="11"/>
    </row>
    <row r="10277" spans="3:11">
      <c r="C10277" s="11"/>
      <c r="K10277" s="11"/>
    </row>
    <row r="10278" spans="3:11">
      <c r="C10278" s="11"/>
      <c r="K10278" s="11"/>
    </row>
    <row r="10279" spans="3:11">
      <c r="C10279" s="11"/>
      <c r="K10279" s="11"/>
    </row>
    <row r="10280" spans="3:11">
      <c r="C10280" s="11"/>
      <c r="K10280" s="11"/>
    </row>
    <row r="10281" spans="3:11">
      <c r="C10281" s="11"/>
      <c r="K10281" s="11"/>
    </row>
    <row r="10282" spans="3:11">
      <c r="C10282" s="11"/>
      <c r="K10282" s="11"/>
    </row>
    <row r="10283" spans="3:11">
      <c r="C10283" s="11"/>
      <c r="K10283" s="11"/>
    </row>
    <row r="10284" spans="3:11">
      <c r="C10284" s="11"/>
      <c r="K10284" s="11"/>
    </row>
    <row r="10285" spans="3:11">
      <c r="C10285" s="11"/>
      <c r="K10285" s="11"/>
    </row>
    <row r="10286" spans="3:11">
      <c r="C10286" s="11"/>
      <c r="K10286" s="11"/>
    </row>
    <row r="10287" spans="3:11">
      <c r="C10287" s="11"/>
      <c r="K10287" s="11"/>
    </row>
    <row r="10288" spans="3:11">
      <c r="C10288" s="11"/>
      <c r="K10288" s="11"/>
    </row>
    <row r="10289" spans="3:11">
      <c r="C10289" s="11"/>
      <c r="K10289" s="11"/>
    </row>
    <row r="10290" spans="3:11">
      <c r="C10290" s="11"/>
      <c r="K10290" s="11"/>
    </row>
    <row r="10291" spans="3:11">
      <c r="C10291" s="11"/>
      <c r="K10291" s="11"/>
    </row>
    <row r="10292" spans="3:11">
      <c r="C10292" s="11"/>
      <c r="K10292" s="11"/>
    </row>
    <row r="10293" spans="3:11">
      <c r="C10293" s="11"/>
      <c r="K10293" s="11"/>
    </row>
    <row r="10294" spans="3:11">
      <c r="C10294" s="11"/>
      <c r="K10294" s="11"/>
    </row>
    <row r="10295" spans="3:11">
      <c r="C10295" s="11"/>
      <c r="K10295" s="11"/>
    </row>
    <row r="10296" spans="3:11">
      <c r="C10296" s="11"/>
      <c r="K10296" s="11"/>
    </row>
    <row r="10297" spans="3:11">
      <c r="C10297" s="11"/>
      <c r="K10297" s="11"/>
    </row>
    <row r="10298" spans="3:11">
      <c r="C10298" s="11"/>
      <c r="K10298" s="11"/>
    </row>
    <row r="10299" spans="3:11">
      <c r="C10299" s="11"/>
      <c r="K10299" s="11"/>
    </row>
    <row r="10300" spans="3:11">
      <c r="C10300" s="11"/>
      <c r="K10300" s="11"/>
    </row>
    <row r="10301" spans="3:11">
      <c r="C10301" s="11"/>
      <c r="K10301" s="11"/>
    </row>
    <row r="10302" spans="3:11">
      <c r="C10302" s="11"/>
      <c r="K10302" s="11"/>
    </row>
    <row r="10303" spans="3:11">
      <c r="C10303" s="11"/>
      <c r="K10303" s="11"/>
    </row>
    <row r="10304" spans="3:11">
      <c r="C10304" s="11"/>
      <c r="K10304" s="11"/>
    </row>
    <row r="10305" spans="3:11">
      <c r="C10305" s="11"/>
      <c r="K10305" s="11"/>
    </row>
    <row r="10306" spans="3:11">
      <c r="C10306" s="11"/>
      <c r="K10306" s="11"/>
    </row>
    <row r="10307" spans="3:11">
      <c r="C10307" s="11"/>
      <c r="K10307" s="11"/>
    </row>
    <row r="10308" spans="3:11">
      <c r="C10308" s="11"/>
      <c r="K10308" s="11"/>
    </row>
    <row r="10309" spans="3:11">
      <c r="C10309" s="11"/>
      <c r="K10309" s="11"/>
    </row>
    <row r="10310" spans="3:11">
      <c r="C10310" s="11"/>
      <c r="K10310" s="11"/>
    </row>
    <row r="10311" spans="3:11">
      <c r="C10311" s="11"/>
      <c r="K10311" s="11"/>
    </row>
    <row r="10312" spans="3:11">
      <c r="C10312" s="11"/>
      <c r="K10312" s="11"/>
    </row>
    <row r="10313" spans="3:11">
      <c r="C10313" s="11"/>
      <c r="K10313" s="11"/>
    </row>
    <row r="10314" spans="3:11">
      <c r="C10314" s="11"/>
      <c r="K10314" s="11"/>
    </row>
    <row r="10315" spans="3:11">
      <c r="C10315" s="11"/>
      <c r="K10315" s="11"/>
    </row>
    <row r="10316" spans="3:11">
      <c r="C10316" s="11"/>
      <c r="K10316" s="11"/>
    </row>
    <row r="10317" spans="3:11">
      <c r="C10317" s="11"/>
      <c r="K10317" s="11"/>
    </row>
    <row r="10318" spans="3:11">
      <c r="C10318" s="11"/>
      <c r="K10318" s="11"/>
    </row>
    <row r="10319" spans="3:11">
      <c r="C10319" s="11"/>
      <c r="K10319" s="11"/>
    </row>
    <row r="10320" spans="3:11">
      <c r="C10320" s="11"/>
      <c r="K10320" s="11"/>
    </row>
    <row r="10321" spans="3:11">
      <c r="C10321" s="11"/>
      <c r="K10321" s="11"/>
    </row>
    <row r="10322" spans="3:11">
      <c r="C10322" s="11"/>
      <c r="K10322" s="11"/>
    </row>
    <row r="10323" spans="3:11">
      <c r="C10323" s="11"/>
      <c r="K10323" s="11"/>
    </row>
    <row r="10324" spans="3:11">
      <c r="C10324" s="11"/>
      <c r="K10324" s="11"/>
    </row>
    <row r="10325" spans="3:11">
      <c r="C10325" s="11"/>
      <c r="K10325" s="11"/>
    </row>
    <row r="10326" spans="3:11">
      <c r="C10326" s="11"/>
      <c r="K10326" s="11"/>
    </row>
    <row r="10327" spans="3:11">
      <c r="C10327" s="11"/>
      <c r="K10327" s="11"/>
    </row>
    <row r="10328" spans="3:11">
      <c r="C10328" s="11"/>
      <c r="K10328" s="11"/>
    </row>
    <row r="10329" spans="3:11">
      <c r="C10329" s="11"/>
      <c r="K10329" s="11"/>
    </row>
    <row r="10330" spans="3:11">
      <c r="C10330" s="11"/>
      <c r="K10330" s="11"/>
    </row>
    <row r="10331" spans="3:11">
      <c r="C10331" s="11"/>
      <c r="K10331" s="11"/>
    </row>
    <row r="10332" spans="3:11">
      <c r="C10332" s="11"/>
      <c r="K10332" s="11"/>
    </row>
    <row r="10333" spans="3:11">
      <c r="C10333" s="11"/>
      <c r="K10333" s="11"/>
    </row>
    <row r="10334" spans="3:11">
      <c r="C10334" s="11"/>
      <c r="K10334" s="11"/>
    </row>
    <row r="10335" spans="3:11">
      <c r="C10335" s="11"/>
      <c r="K10335" s="11"/>
    </row>
    <row r="10336" spans="3:11">
      <c r="C10336" s="11"/>
      <c r="K10336" s="11"/>
    </row>
    <row r="10337" spans="3:11">
      <c r="C10337" s="11"/>
      <c r="K10337" s="11"/>
    </row>
    <row r="10338" spans="3:11">
      <c r="C10338" s="11"/>
      <c r="K10338" s="11"/>
    </row>
    <row r="10339" spans="3:11">
      <c r="C10339" s="11"/>
      <c r="K10339" s="11"/>
    </row>
    <row r="10340" spans="3:11">
      <c r="C10340" s="11"/>
      <c r="K10340" s="11"/>
    </row>
    <row r="10341" spans="3:11">
      <c r="C10341" s="11"/>
      <c r="K10341" s="11"/>
    </row>
    <row r="10342" spans="3:11">
      <c r="C10342" s="11"/>
      <c r="K10342" s="11"/>
    </row>
    <row r="10343" spans="3:11">
      <c r="C10343" s="11"/>
      <c r="K10343" s="11"/>
    </row>
    <row r="10344" spans="3:11">
      <c r="C10344" s="11"/>
      <c r="K10344" s="11"/>
    </row>
    <row r="10345" spans="3:11">
      <c r="C10345" s="11"/>
      <c r="K10345" s="11"/>
    </row>
    <row r="10346" spans="3:11">
      <c r="C10346" s="11"/>
      <c r="K10346" s="11"/>
    </row>
    <row r="10347" spans="3:11">
      <c r="C10347" s="11"/>
      <c r="K10347" s="11"/>
    </row>
    <row r="10348" spans="3:11">
      <c r="C10348" s="11"/>
      <c r="K10348" s="11"/>
    </row>
    <row r="10349" spans="3:11">
      <c r="C10349" s="11"/>
      <c r="K10349" s="11"/>
    </row>
    <row r="10350" spans="3:11">
      <c r="C10350" s="11"/>
      <c r="K10350" s="11"/>
    </row>
    <row r="10351" spans="3:11">
      <c r="C10351" s="11"/>
      <c r="K10351" s="11"/>
    </row>
    <row r="10352" spans="3:11">
      <c r="C10352" s="11"/>
      <c r="K10352" s="11"/>
    </row>
    <row r="10353" spans="3:11">
      <c r="C10353" s="11"/>
      <c r="K10353" s="11"/>
    </row>
    <row r="10354" spans="3:11">
      <c r="C10354" s="11"/>
      <c r="K10354" s="11"/>
    </row>
    <row r="10355" spans="3:11">
      <c r="C10355" s="11"/>
      <c r="K10355" s="11"/>
    </row>
    <row r="10356" spans="3:11">
      <c r="C10356" s="11"/>
      <c r="K10356" s="11"/>
    </row>
    <row r="10357" spans="3:11">
      <c r="C10357" s="11"/>
      <c r="K10357" s="11"/>
    </row>
    <row r="10358" spans="3:11">
      <c r="C10358" s="11"/>
      <c r="K10358" s="11"/>
    </row>
    <row r="10359" spans="3:11">
      <c r="C10359" s="11"/>
      <c r="K10359" s="11"/>
    </row>
    <row r="10360" spans="3:11">
      <c r="C10360" s="11"/>
      <c r="K10360" s="11"/>
    </row>
    <row r="10361" spans="3:11">
      <c r="C10361" s="11"/>
      <c r="K10361" s="11"/>
    </row>
    <row r="10362" spans="3:11">
      <c r="C10362" s="11"/>
      <c r="K10362" s="11"/>
    </row>
    <row r="10363" spans="3:11">
      <c r="C10363" s="11"/>
      <c r="K10363" s="11"/>
    </row>
    <row r="10364" spans="3:11">
      <c r="C10364" s="11"/>
      <c r="K10364" s="11"/>
    </row>
    <row r="10365" spans="3:11">
      <c r="C10365" s="11"/>
      <c r="K10365" s="11"/>
    </row>
    <row r="10366" spans="3:11">
      <c r="C10366" s="11"/>
      <c r="K10366" s="11"/>
    </row>
    <row r="10367" spans="3:11">
      <c r="C10367" s="11"/>
      <c r="K10367" s="11"/>
    </row>
    <row r="10368" spans="3:11">
      <c r="C10368" s="11"/>
      <c r="K10368" s="11"/>
    </row>
    <row r="10369" spans="3:11">
      <c r="C10369" s="11"/>
      <c r="K10369" s="11"/>
    </row>
    <row r="10370" spans="3:11">
      <c r="C10370" s="11"/>
      <c r="K10370" s="11"/>
    </row>
    <row r="10371" spans="3:11">
      <c r="C10371" s="11"/>
      <c r="K10371" s="11"/>
    </row>
    <row r="10372" spans="3:11">
      <c r="C10372" s="11"/>
      <c r="K10372" s="11"/>
    </row>
    <row r="10373" spans="3:11">
      <c r="C10373" s="11"/>
      <c r="K10373" s="11"/>
    </row>
    <row r="10374" spans="3:11">
      <c r="C10374" s="11"/>
      <c r="K10374" s="11"/>
    </row>
    <row r="10375" spans="3:11">
      <c r="C10375" s="11"/>
      <c r="K10375" s="11"/>
    </row>
    <row r="10376" spans="3:11">
      <c r="C10376" s="11"/>
      <c r="K10376" s="11"/>
    </row>
    <row r="10377" spans="3:11">
      <c r="C10377" s="11"/>
      <c r="K10377" s="11"/>
    </row>
    <row r="10378" spans="3:11">
      <c r="C10378" s="11"/>
      <c r="K10378" s="11"/>
    </row>
    <row r="10379" spans="3:11">
      <c r="C10379" s="11"/>
      <c r="K10379" s="11"/>
    </row>
    <row r="10380" spans="3:11">
      <c r="C10380" s="11"/>
      <c r="K10380" s="11"/>
    </row>
    <row r="10381" spans="3:11">
      <c r="C10381" s="11"/>
      <c r="K10381" s="11"/>
    </row>
    <row r="10382" spans="3:11">
      <c r="C10382" s="11"/>
      <c r="K10382" s="11"/>
    </row>
    <row r="10383" spans="3:11">
      <c r="C10383" s="11"/>
      <c r="K10383" s="11"/>
    </row>
    <row r="10384" spans="3:11">
      <c r="C10384" s="11"/>
      <c r="K10384" s="11"/>
    </row>
    <row r="10385" spans="3:11">
      <c r="C10385" s="11"/>
      <c r="K10385" s="11"/>
    </row>
    <row r="10386" spans="3:11">
      <c r="C10386" s="11"/>
      <c r="K10386" s="11"/>
    </row>
    <row r="10387" spans="3:11">
      <c r="C10387" s="11"/>
      <c r="K10387" s="11"/>
    </row>
    <row r="10388" spans="3:11">
      <c r="C10388" s="11"/>
      <c r="K10388" s="11"/>
    </row>
    <row r="10389" spans="3:11">
      <c r="C10389" s="11"/>
      <c r="K10389" s="11"/>
    </row>
    <row r="10390" spans="3:11">
      <c r="C10390" s="11"/>
      <c r="K10390" s="11"/>
    </row>
    <row r="10391" spans="3:11">
      <c r="C10391" s="11"/>
      <c r="K10391" s="11"/>
    </row>
    <row r="10392" spans="3:11">
      <c r="C10392" s="11"/>
      <c r="K10392" s="11"/>
    </row>
    <row r="10393" spans="3:11">
      <c r="C10393" s="11"/>
      <c r="K10393" s="11"/>
    </row>
    <row r="10394" spans="3:11">
      <c r="C10394" s="11"/>
      <c r="K10394" s="11"/>
    </row>
    <row r="10395" spans="3:11">
      <c r="C10395" s="11"/>
      <c r="K10395" s="11"/>
    </row>
    <row r="10396" spans="3:11">
      <c r="C10396" s="11"/>
      <c r="K10396" s="11"/>
    </row>
    <row r="10397" spans="3:11">
      <c r="C10397" s="11"/>
      <c r="K10397" s="11"/>
    </row>
    <row r="10398" spans="3:11">
      <c r="C10398" s="11"/>
      <c r="K10398" s="11"/>
    </row>
    <row r="10399" spans="3:11">
      <c r="C10399" s="11"/>
      <c r="K10399" s="11"/>
    </row>
    <row r="10400" spans="3:11">
      <c r="C10400" s="11"/>
      <c r="K10400" s="11"/>
    </row>
    <row r="10401" spans="3:11">
      <c r="C10401" s="11"/>
      <c r="K10401" s="11"/>
    </row>
    <row r="10402" spans="3:11">
      <c r="C10402" s="11"/>
      <c r="K10402" s="11"/>
    </row>
    <row r="10403" spans="3:11">
      <c r="C10403" s="11"/>
      <c r="K10403" s="11"/>
    </row>
    <row r="10404" spans="3:11">
      <c r="C10404" s="11"/>
      <c r="K10404" s="11"/>
    </row>
    <row r="10405" spans="3:11">
      <c r="C10405" s="11"/>
      <c r="K10405" s="11"/>
    </row>
    <row r="10406" spans="3:11">
      <c r="C10406" s="11"/>
      <c r="K10406" s="11"/>
    </row>
    <row r="10407" spans="3:11">
      <c r="C10407" s="11"/>
      <c r="K10407" s="11"/>
    </row>
    <row r="10408" spans="3:11">
      <c r="C10408" s="11"/>
      <c r="K10408" s="11"/>
    </row>
    <row r="10409" spans="3:11">
      <c r="C10409" s="11"/>
      <c r="K10409" s="11"/>
    </row>
    <row r="10410" spans="3:11">
      <c r="C10410" s="11"/>
      <c r="K10410" s="11"/>
    </row>
    <row r="10411" spans="3:11">
      <c r="C10411" s="11"/>
      <c r="K10411" s="11"/>
    </row>
    <row r="10412" spans="3:11">
      <c r="C10412" s="11"/>
      <c r="K10412" s="11"/>
    </row>
    <row r="10413" spans="3:11">
      <c r="C10413" s="11"/>
      <c r="K10413" s="11"/>
    </row>
    <row r="10414" spans="3:11">
      <c r="C10414" s="11"/>
      <c r="K10414" s="11"/>
    </row>
    <row r="10415" spans="3:11">
      <c r="C10415" s="11"/>
      <c r="K10415" s="11"/>
    </row>
    <row r="10416" spans="3:11">
      <c r="C10416" s="11"/>
      <c r="K10416" s="11"/>
    </row>
    <row r="10417" spans="3:11">
      <c r="C10417" s="11"/>
      <c r="K10417" s="11"/>
    </row>
    <row r="10418" spans="3:11">
      <c r="C10418" s="11"/>
      <c r="K10418" s="11"/>
    </row>
    <row r="10419" spans="3:11">
      <c r="C10419" s="11"/>
      <c r="K10419" s="11"/>
    </row>
    <row r="10420" spans="3:11">
      <c r="C10420" s="11"/>
      <c r="K10420" s="11"/>
    </row>
    <row r="10421" spans="3:11">
      <c r="C10421" s="11"/>
      <c r="K10421" s="11"/>
    </row>
    <row r="10422" spans="3:11">
      <c r="C10422" s="11"/>
      <c r="K10422" s="11"/>
    </row>
    <row r="10423" spans="3:11">
      <c r="C10423" s="11"/>
      <c r="K10423" s="11"/>
    </row>
    <row r="10424" spans="3:11">
      <c r="C10424" s="11"/>
      <c r="K10424" s="11"/>
    </row>
    <row r="10425" spans="3:11">
      <c r="C10425" s="11"/>
      <c r="K10425" s="11"/>
    </row>
    <row r="10426" spans="3:11">
      <c r="C10426" s="11"/>
      <c r="K10426" s="11"/>
    </row>
    <row r="10427" spans="3:11">
      <c r="C10427" s="11"/>
      <c r="K10427" s="11"/>
    </row>
    <row r="10428" spans="3:11">
      <c r="C10428" s="11"/>
      <c r="K10428" s="11"/>
    </row>
    <row r="10429" spans="3:11">
      <c r="C10429" s="11"/>
      <c r="K10429" s="11"/>
    </row>
    <row r="10430" spans="3:11">
      <c r="C10430" s="11"/>
      <c r="K10430" s="11"/>
    </row>
    <row r="10431" spans="3:11">
      <c r="C10431" s="11"/>
      <c r="K10431" s="11"/>
    </row>
    <row r="10432" spans="3:11">
      <c r="C10432" s="11"/>
      <c r="K10432" s="11"/>
    </row>
    <row r="10433" spans="3:11">
      <c r="C10433" s="11"/>
      <c r="K10433" s="11"/>
    </row>
    <row r="10434" spans="3:11">
      <c r="C10434" s="11"/>
      <c r="K10434" s="11"/>
    </row>
    <row r="10435" spans="3:11">
      <c r="C10435" s="11"/>
      <c r="K10435" s="11"/>
    </row>
    <row r="10436" spans="3:11">
      <c r="C10436" s="11"/>
      <c r="K10436" s="11"/>
    </row>
    <row r="10437" spans="3:11">
      <c r="C10437" s="11"/>
      <c r="K10437" s="11"/>
    </row>
    <row r="10438" spans="3:11">
      <c r="C10438" s="11"/>
      <c r="K10438" s="11"/>
    </row>
    <row r="10439" spans="3:11">
      <c r="C10439" s="11"/>
      <c r="K10439" s="11"/>
    </row>
    <row r="10440" spans="3:11">
      <c r="C10440" s="11"/>
      <c r="K10440" s="11"/>
    </row>
    <row r="10441" spans="3:11">
      <c r="C10441" s="11"/>
      <c r="K10441" s="11"/>
    </row>
    <row r="10442" spans="3:11">
      <c r="C10442" s="11"/>
      <c r="K10442" s="11"/>
    </row>
    <row r="10443" spans="3:11">
      <c r="C10443" s="11"/>
      <c r="K10443" s="11"/>
    </row>
    <row r="10444" spans="3:11">
      <c r="C10444" s="11"/>
      <c r="K10444" s="11"/>
    </row>
    <row r="10445" spans="3:11">
      <c r="C10445" s="11"/>
      <c r="K10445" s="11"/>
    </row>
    <row r="10446" spans="3:11">
      <c r="C10446" s="11"/>
      <c r="K10446" s="11"/>
    </row>
    <row r="10447" spans="3:11">
      <c r="C10447" s="11"/>
      <c r="K10447" s="11"/>
    </row>
    <row r="10448" spans="3:11">
      <c r="C10448" s="11"/>
      <c r="K10448" s="11"/>
    </row>
    <row r="10449" spans="3:11">
      <c r="C10449" s="11"/>
      <c r="K10449" s="11"/>
    </row>
    <row r="10450" spans="3:11">
      <c r="C10450" s="11"/>
      <c r="K10450" s="11"/>
    </row>
    <row r="10451" spans="3:11">
      <c r="C10451" s="11"/>
      <c r="K10451" s="11"/>
    </row>
    <row r="10452" spans="3:11">
      <c r="C10452" s="11"/>
      <c r="K10452" s="11"/>
    </row>
    <row r="10453" spans="3:11">
      <c r="C10453" s="11"/>
      <c r="K10453" s="11"/>
    </row>
    <row r="10454" spans="3:11">
      <c r="C10454" s="11"/>
      <c r="K10454" s="11"/>
    </row>
    <row r="10455" spans="3:11">
      <c r="C10455" s="11"/>
      <c r="K10455" s="11"/>
    </row>
    <row r="10456" spans="3:11">
      <c r="C10456" s="11"/>
      <c r="K10456" s="11"/>
    </row>
    <row r="10457" spans="3:11">
      <c r="C10457" s="11"/>
      <c r="K10457" s="11"/>
    </row>
    <row r="10458" spans="3:11">
      <c r="C10458" s="11"/>
      <c r="K10458" s="11"/>
    </row>
    <row r="10459" spans="3:11">
      <c r="C10459" s="11"/>
      <c r="K10459" s="11"/>
    </row>
    <row r="10460" spans="3:11">
      <c r="C10460" s="11"/>
      <c r="K10460" s="11"/>
    </row>
    <row r="10461" spans="3:11">
      <c r="C10461" s="11"/>
      <c r="K10461" s="11"/>
    </row>
    <row r="10462" spans="3:11">
      <c r="C10462" s="11"/>
      <c r="K10462" s="11"/>
    </row>
    <row r="10463" spans="3:11">
      <c r="C10463" s="11"/>
      <c r="K10463" s="11"/>
    </row>
    <row r="10464" spans="3:11">
      <c r="C10464" s="11"/>
      <c r="K10464" s="11"/>
    </row>
    <row r="10465" spans="3:11">
      <c r="C10465" s="11"/>
      <c r="K10465" s="11"/>
    </row>
    <row r="10466" spans="3:11">
      <c r="C10466" s="11"/>
      <c r="K10466" s="11"/>
    </row>
    <row r="10467" spans="3:11">
      <c r="C10467" s="11"/>
      <c r="K10467" s="11"/>
    </row>
    <row r="10468" spans="3:11">
      <c r="C10468" s="11"/>
      <c r="K10468" s="11"/>
    </row>
    <row r="10469" spans="3:11">
      <c r="C10469" s="11"/>
      <c r="K10469" s="11"/>
    </row>
    <row r="10470" spans="3:11">
      <c r="C10470" s="11"/>
      <c r="K10470" s="11"/>
    </row>
    <row r="10471" spans="3:11">
      <c r="C10471" s="11"/>
      <c r="K10471" s="11"/>
    </row>
    <row r="10472" spans="3:11">
      <c r="C10472" s="11"/>
      <c r="K10472" s="11"/>
    </row>
    <row r="10473" spans="3:11">
      <c r="C10473" s="11"/>
      <c r="K10473" s="11"/>
    </row>
    <row r="10474" spans="3:11">
      <c r="C10474" s="11"/>
      <c r="K10474" s="11"/>
    </row>
    <row r="10475" spans="3:11">
      <c r="C10475" s="11"/>
      <c r="K10475" s="11"/>
    </row>
    <row r="10476" spans="3:11">
      <c r="C10476" s="11"/>
      <c r="K10476" s="11"/>
    </row>
    <row r="10477" spans="3:11">
      <c r="C10477" s="11"/>
      <c r="K10477" s="11"/>
    </row>
    <row r="10478" spans="3:11">
      <c r="C10478" s="11"/>
      <c r="K10478" s="11"/>
    </row>
    <row r="10479" spans="3:11">
      <c r="C10479" s="11"/>
      <c r="K10479" s="11"/>
    </row>
    <row r="10480" spans="3:11">
      <c r="C10480" s="11"/>
      <c r="K10480" s="11"/>
    </row>
    <row r="10481" spans="3:11">
      <c r="C10481" s="11"/>
      <c r="K10481" s="11"/>
    </row>
    <row r="10482" spans="3:11">
      <c r="C10482" s="11"/>
      <c r="K10482" s="11"/>
    </row>
    <row r="10483" spans="3:11">
      <c r="C10483" s="11"/>
      <c r="K10483" s="11"/>
    </row>
    <row r="10484" spans="3:11">
      <c r="C10484" s="11"/>
      <c r="K10484" s="11"/>
    </row>
    <row r="10485" spans="3:11">
      <c r="C10485" s="11"/>
      <c r="K10485" s="11"/>
    </row>
    <row r="10486" spans="3:11">
      <c r="C10486" s="11"/>
      <c r="K10486" s="11"/>
    </row>
    <row r="10487" spans="3:11">
      <c r="C10487" s="11"/>
      <c r="K10487" s="11"/>
    </row>
    <row r="10488" spans="3:11">
      <c r="C10488" s="11"/>
      <c r="K10488" s="11"/>
    </row>
    <row r="10489" spans="3:11">
      <c r="C10489" s="11"/>
      <c r="K10489" s="11"/>
    </row>
    <row r="10490" spans="3:11">
      <c r="C10490" s="11"/>
      <c r="K10490" s="11"/>
    </row>
    <row r="10491" spans="3:11">
      <c r="C10491" s="11"/>
      <c r="K10491" s="11"/>
    </row>
    <row r="10492" spans="3:11">
      <c r="C10492" s="11"/>
      <c r="K10492" s="11"/>
    </row>
    <row r="10493" spans="3:11">
      <c r="C10493" s="11"/>
      <c r="K10493" s="11"/>
    </row>
    <row r="10494" spans="3:11">
      <c r="C10494" s="11"/>
      <c r="K10494" s="11"/>
    </row>
    <row r="10495" spans="3:11">
      <c r="C10495" s="11"/>
      <c r="K10495" s="11"/>
    </row>
    <row r="10496" spans="3:11">
      <c r="C10496" s="11"/>
      <c r="K10496" s="11"/>
    </row>
    <row r="10497" spans="3:11">
      <c r="C10497" s="11"/>
      <c r="K10497" s="11"/>
    </row>
    <row r="10498" spans="3:11">
      <c r="C10498" s="11"/>
      <c r="K10498" s="11"/>
    </row>
    <row r="10499" spans="3:11">
      <c r="C10499" s="11"/>
      <c r="K10499" s="11"/>
    </row>
    <row r="10500" spans="3:11">
      <c r="C10500" s="11"/>
      <c r="K10500" s="11"/>
    </row>
    <row r="10501" spans="3:11">
      <c r="C10501" s="11"/>
      <c r="K10501" s="11"/>
    </row>
    <row r="10502" spans="3:11">
      <c r="C10502" s="11"/>
      <c r="K10502" s="11"/>
    </row>
    <row r="10503" spans="3:11">
      <c r="C10503" s="11"/>
      <c r="K10503" s="11"/>
    </row>
    <row r="10504" spans="3:11">
      <c r="C10504" s="11"/>
      <c r="K10504" s="11"/>
    </row>
    <row r="10505" spans="3:11">
      <c r="C10505" s="11"/>
      <c r="K10505" s="11"/>
    </row>
    <row r="10506" spans="3:11">
      <c r="C10506" s="11"/>
      <c r="K10506" s="11"/>
    </row>
    <row r="10507" spans="3:11">
      <c r="C10507" s="11"/>
      <c r="K10507" s="11"/>
    </row>
    <row r="10508" spans="3:11">
      <c r="C10508" s="11"/>
      <c r="K10508" s="11"/>
    </row>
    <row r="10509" spans="3:11">
      <c r="C10509" s="11"/>
      <c r="K10509" s="11"/>
    </row>
    <row r="10510" spans="3:11">
      <c r="C10510" s="11"/>
      <c r="K10510" s="11"/>
    </row>
    <row r="10511" spans="3:11">
      <c r="C10511" s="11"/>
      <c r="K10511" s="11"/>
    </row>
    <row r="10512" spans="3:11">
      <c r="C10512" s="11"/>
      <c r="K10512" s="11"/>
    </row>
    <row r="10513" spans="3:11">
      <c r="C10513" s="11"/>
      <c r="K10513" s="11"/>
    </row>
    <row r="10514" spans="3:11">
      <c r="C10514" s="11"/>
      <c r="K10514" s="11"/>
    </row>
    <row r="10515" spans="3:11">
      <c r="C10515" s="11"/>
      <c r="K10515" s="11"/>
    </row>
    <row r="10516" spans="3:11">
      <c r="C10516" s="11"/>
      <c r="K10516" s="11"/>
    </row>
    <row r="10517" spans="3:11">
      <c r="C10517" s="11"/>
      <c r="K10517" s="11"/>
    </row>
    <row r="10518" spans="3:11">
      <c r="C10518" s="11"/>
      <c r="K10518" s="11"/>
    </row>
    <row r="10519" spans="3:11">
      <c r="C10519" s="11"/>
      <c r="K10519" s="11"/>
    </row>
    <row r="10520" spans="3:11">
      <c r="C10520" s="11"/>
      <c r="K10520" s="11"/>
    </row>
    <row r="10521" spans="3:11">
      <c r="C10521" s="11"/>
      <c r="K10521" s="11"/>
    </row>
    <row r="10522" spans="3:11">
      <c r="C10522" s="11"/>
      <c r="K10522" s="11"/>
    </row>
    <row r="10523" spans="3:11">
      <c r="C10523" s="11"/>
      <c r="K10523" s="11"/>
    </row>
    <row r="10524" spans="3:11">
      <c r="C10524" s="11"/>
      <c r="K10524" s="11"/>
    </row>
    <row r="10525" spans="3:11">
      <c r="C10525" s="11"/>
      <c r="K10525" s="11"/>
    </row>
    <row r="10526" spans="3:11">
      <c r="C10526" s="11"/>
      <c r="K10526" s="11"/>
    </row>
    <row r="10527" spans="3:11">
      <c r="C10527" s="11"/>
      <c r="K10527" s="11"/>
    </row>
    <row r="10528" spans="3:11">
      <c r="C10528" s="11"/>
      <c r="K10528" s="11"/>
    </row>
    <row r="10529" spans="3:11">
      <c r="C10529" s="11"/>
      <c r="K10529" s="11"/>
    </row>
    <row r="10530" spans="3:11">
      <c r="C10530" s="11"/>
      <c r="K10530" s="11"/>
    </row>
    <row r="10531" spans="3:11">
      <c r="C10531" s="11"/>
      <c r="K10531" s="11"/>
    </row>
    <row r="10532" spans="3:11">
      <c r="C10532" s="11"/>
      <c r="K10532" s="11"/>
    </row>
    <row r="10533" spans="3:11">
      <c r="C10533" s="11"/>
      <c r="K10533" s="11"/>
    </row>
    <row r="10534" spans="3:11">
      <c r="C10534" s="11"/>
      <c r="K10534" s="11"/>
    </row>
    <row r="10535" spans="3:11">
      <c r="C10535" s="11"/>
      <c r="K10535" s="11"/>
    </row>
    <row r="10536" spans="3:11">
      <c r="C10536" s="11"/>
      <c r="K10536" s="11"/>
    </row>
    <row r="10537" spans="3:11">
      <c r="C10537" s="11"/>
      <c r="K10537" s="11"/>
    </row>
    <row r="10538" spans="3:11">
      <c r="C10538" s="11"/>
      <c r="K10538" s="11"/>
    </row>
    <row r="10539" spans="3:11">
      <c r="C10539" s="11"/>
      <c r="K10539" s="11"/>
    </row>
    <row r="10540" spans="3:11">
      <c r="C10540" s="11"/>
      <c r="K10540" s="11"/>
    </row>
    <row r="10541" spans="3:11">
      <c r="C10541" s="11"/>
      <c r="K10541" s="11"/>
    </row>
    <row r="10542" spans="3:11">
      <c r="C10542" s="11"/>
      <c r="K10542" s="11"/>
    </row>
    <row r="10543" spans="3:11">
      <c r="C10543" s="11"/>
      <c r="K10543" s="11"/>
    </row>
    <row r="10544" spans="3:11">
      <c r="C10544" s="11"/>
      <c r="K10544" s="11"/>
    </row>
    <row r="10545" spans="3:11">
      <c r="C10545" s="11"/>
      <c r="K10545" s="11"/>
    </row>
    <row r="10546" spans="3:11">
      <c r="C10546" s="11"/>
      <c r="K10546" s="11"/>
    </row>
    <row r="10547" spans="3:11">
      <c r="C10547" s="11"/>
      <c r="K10547" s="11"/>
    </row>
    <row r="10548" spans="3:11">
      <c r="C10548" s="11"/>
      <c r="K10548" s="11"/>
    </row>
    <row r="10549" spans="3:11">
      <c r="C10549" s="11"/>
      <c r="K10549" s="11"/>
    </row>
    <row r="10550" spans="3:11">
      <c r="C10550" s="11"/>
      <c r="K10550" s="11"/>
    </row>
    <row r="10551" spans="3:11">
      <c r="C10551" s="11"/>
      <c r="K10551" s="11"/>
    </row>
    <row r="10552" spans="3:11">
      <c r="C10552" s="11"/>
      <c r="K10552" s="11"/>
    </row>
    <row r="10553" spans="3:11">
      <c r="C10553" s="11"/>
      <c r="K10553" s="11"/>
    </row>
    <row r="10554" spans="3:11">
      <c r="C10554" s="11"/>
      <c r="K10554" s="11"/>
    </row>
    <row r="10555" spans="3:11">
      <c r="C10555" s="11"/>
      <c r="K10555" s="11"/>
    </row>
    <row r="10556" spans="3:11">
      <c r="C10556" s="11"/>
      <c r="K10556" s="11"/>
    </row>
    <row r="10557" spans="3:11">
      <c r="C10557" s="11"/>
      <c r="K10557" s="11"/>
    </row>
    <row r="10558" spans="3:11">
      <c r="C10558" s="11"/>
      <c r="K10558" s="11"/>
    </row>
    <row r="10559" spans="3:11">
      <c r="C10559" s="11"/>
      <c r="K10559" s="11"/>
    </row>
    <row r="10560" spans="3:11">
      <c r="C10560" s="11"/>
      <c r="K10560" s="11"/>
    </row>
    <row r="10561" spans="3:11">
      <c r="C10561" s="11"/>
      <c r="K10561" s="11"/>
    </row>
    <row r="10562" spans="3:11">
      <c r="C10562" s="11"/>
      <c r="K10562" s="11"/>
    </row>
    <row r="10563" spans="3:11">
      <c r="C10563" s="11"/>
      <c r="K10563" s="11"/>
    </row>
    <row r="10564" spans="3:11">
      <c r="C10564" s="11"/>
      <c r="K10564" s="11"/>
    </row>
    <row r="10565" spans="3:11">
      <c r="C10565" s="11"/>
      <c r="K10565" s="11"/>
    </row>
    <row r="10566" spans="3:11">
      <c r="C10566" s="11"/>
      <c r="K10566" s="11"/>
    </row>
    <row r="10567" spans="3:11">
      <c r="C10567" s="11"/>
      <c r="K10567" s="11"/>
    </row>
    <row r="10568" spans="3:11">
      <c r="C10568" s="11"/>
      <c r="K10568" s="11"/>
    </row>
    <row r="10569" spans="3:11">
      <c r="C10569" s="11"/>
      <c r="K10569" s="11"/>
    </row>
    <row r="10570" spans="3:11">
      <c r="C10570" s="11"/>
      <c r="K10570" s="11"/>
    </row>
    <row r="10571" spans="3:11">
      <c r="C10571" s="11"/>
      <c r="K10571" s="11"/>
    </row>
    <row r="10572" spans="3:11">
      <c r="C10572" s="11"/>
      <c r="K10572" s="11"/>
    </row>
    <row r="10573" spans="3:11">
      <c r="C10573" s="11"/>
      <c r="K10573" s="11"/>
    </row>
    <row r="10574" spans="3:11">
      <c r="C10574" s="11"/>
      <c r="K10574" s="11"/>
    </row>
    <row r="10575" spans="3:11">
      <c r="C10575" s="11"/>
      <c r="K10575" s="11"/>
    </row>
    <row r="10576" spans="3:11">
      <c r="C10576" s="11"/>
      <c r="K10576" s="11"/>
    </row>
    <row r="10577" spans="3:11">
      <c r="C10577" s="11"/>
      <c r="K10577" s="11"/>
    </row>
    <row r="10578" spans="3:11">
      <c r="C10578" s="11"/>
      <c r="K10578" s="11"/>
    </row>
    <row r="10579" spans="3:11">
      <c r="C10579" s="11"/>
      <c r="K10579" s="11"/>
    </row>
    <row r="10580" spans="3:11">
      <c r="C10580" s="11"/>
      <c r="K10580" s="11"/>
    </row>
    <row r="10581" spans="3:11">
      <c r="C10581" s="11"/>
      <c r="K10581" s="11"/>
    </row>
    <row r="10582" spans="3:11">
      <c r="C10582" s="11"/>
      <c r="K10582" s="11"/>
    </row>
    <row r="10583" spans="3:11">
      <c r="C10583" s="11"/>
      <c r="K10583" s="11"/>
    </row>
    <row r="10584" spans="3:11">
      <c r="C10584" s="11"/>
      <c r="K10584" s="11"/>
    </row>
    <row r="10585" spans="3:11">
      <c r="C10585" s="11"/>
      <c r="K10585" s="11"/>
    </row>
    <row r="10586" spans="3:11">
      <c r="C10586" s="11"/>
      <c r="K10586" s="11"/>
    </row>
    <row r="10587" spans="3:11">
      <c r="C10587" s="11"/>
      <c r="K10587" s="11"/>
    </row>
    <row r="10588" spans="3:11">
      <c r="C10588" s="11"/>
      <c r="K10588" s="11"/>
    </row>
    <row r="10589" spans="3:11">
      <c r="C10589" s="11"/>
      <c r="K10589" s="11"/>
    </row>
    <row r="10590" spans="3:11">
      <c r="C10590" s="11"/>
      <c r="K10590" s="11"/>
    </row>
    <row r="10591" spans="3:11">
      <c r="C10591" s="11"/>
      <c r="K10591" s="11"/>
    </row>
    <row r="10592" spans="3:11">
      <c r="C10592" s="11"/>
      <c r="K10592" s="11"/>
    </row>
    <row r="10593" spans="3:11">
      <c r="C10593" s="11"/>
      <c r="K10593" s="11"/>
    </row>
    <row r="10594" spans="3:11">
      <c r="C10594" s="11"/>
      <c r="K10594" s="11"/>
    </row>
    <row r="10595" spans="3:11">
      <c r="C10595" s="11"/>
      <c r="K10595" s="11"/>
    </row>
    <row r="10596" spans="3:11">
      <c r="C10596" s="11"/>
      <c r="K10596" s="11"/>
    </row>
    <row r="10597" spans="3:11">
      <c r="C10597" s="11"/>
      <c r="K10597" s="11"/>
    </row>
    <row r="10598" spans="3:11">
      <c r="C10598" s="11"/>
      <c r="K10598" s="11"/>
    </row>
    <row r="10599" spans="3:11">
      <c r="C10599" s="11"/>
      <c r="K10599" s="11"/>
    </row>
    <row r="10600" spans="3:11">
      <c r="C10600" s="11"/>
      <c r="K10600" s="11"/>
    </row>
    <row r="10601" spans="3:11">
      <c r="C10601" s="11"/>
      <c r="K10601" s="11"/>
    </row>
    <row r="10602" spans="3:11">
      <c r="C10602" s="11"/>
      <c r="K10602" s="11"/>
    </row>
    <row r="10603" spans="3:11">
      <c r="C10603" s="11"/>
      <c r="K10603" s="11"/>
    </row>
    <row r="10604" spans="3:11">
      <c r="C10604" s="11"/>
      <c r="K10604" s="11"/>
    </row>
    <row r="10605" spans="3:11">
      <c r="C10605" s="11"/>
      <c r="K10605" s="11"/>
    </row>
    <row r="10606" spans="3:11">
      <c r="C10606" s="11"/>
      <c r="K10606" s="11"/>
    </row>
    <row r="10607" spans="3:11">
      <c r="C10607" s="11"/>
      <c r="K10607" s="11"/>
    </row>
    <row r="10608" spans="3:11">
      <c r="C10608" s="11"/>
      <c r="K10608" s="11"/>
    </row>
    <row r="10609" spans="3:11">
      <c r="C10609" s="11"/>
      <c r="K10609" s="11"/>
    </row>
    <row r="10610" spans="3:11">
      <c r="C10610" s="11"/>
      <c r="K10610" s="11"/>
    </row>
    <row r="10611" spans="3:11">
      <c r="C10611" s="11"/>
      <c r="K10611" s="11"/>
    </row>
    <row r="10612" spans="3:11">
      <c r="C10612" s="11"/>
      <c r="K10612" s="11"/>
    </row>
    <row r="10613" spans="3:11">
      <c r="C10613" s="11"/>
      <c r="K10613" s="11"/>
    </row>
    <row r="10614" spans="3:11">
      <c r="C10614" s="11"/>
      <c r="K10614" s="11"/>
    </row>
    <row r="10615" spans="3:11">
      <c r="C10615" s="11"/>
      <c r="K10615" s="11"/>
    </row>
    <row r="10616" spans="3:11">
      <c r="C10616" s="11"/>
      <c r="K10616" s="11"/>
    </row>
    <row r="10617" spans="3:11">
      <c r="C10617" s="11"/>
      <c r="K10617" s="11"/>
    </row>
    <row r="10618" spans="3:11">
      <c r="C10618" s="11"/>
      <c r="K10618" s="11"/>
    </row>
    <row r="10619" spans="3:11">
      <c r="C10619" s="11"/>
      <c r="K10619" s="11"/>
    </row>
    <row r="10620" spans="3:11">
      <c r="C10620" s="11"/>
      <c r="K10620" s="11"/>
    </row>
    <row r="10621" spans="3:11">
      <c r="C10621" s="11"/>
      <c r="K10621" s="11"/>
    </row>
    <row r="10622" spans="3:11">
      <c r="C10622" s="11"/>
      <c r="K10622" s="11"/>
    </row>
    <row r="10623" spans="3:11">
      <c r="C10623" s="11"/>
      <c r="K10623" s="11"/>
    </row>
    <row r="10624" spans="3:11">
      <c r="C10624" s="11"/>
      <c r="K10624" s="11"/>
    </row>
    <row r="10625" spans="3:11">
      <c r="C10625" s="11"/>
      <c r="K10625" s="11"/>
    </row>
    <row r="10626" spans="3:11">
      <c r="C10626" s="11"/>
      <c r="K10626" s="11"/>
    </row>
    <row r="10627" spans="3:11">
      <c r="C10627" s="11"/>
      <c r="K10627" s="11"/>
    </row>
    <row r="10628" spans="3:11">
      <c r="C10628" s="11"/>
      <c r="K10628" s="11"/>
    </row>
    <row r="10629" spans="3:11">
      <c r="C10629" s="11"/>
      <c r="K10629" s="11"/>
    </row>
    <row r="10630" spans="3:11">
      <c r="C10630" s="11"/>
      <c r="K10630" s="11"/>
    </row>
    <row r="10631" spans="3:11">
      <c r="C10631" s="11"/>
      <c r="K10631" s="11"/>
    </row>
    <row r="10632" spans="3:11">
      <c r="C10632" s="11"/>
      <c r="K10632" s="11"/>
    </row>
    <row r="10633" spans="3:11">
      <c r="C10633" s="11"/>
      <c r="K10633" s="11"/>
    </row>
    <row r="10634" spans="3:11">
      <c r="C10634" s="11"/>
      <c r="K10634" s="11"/>
    </row>
    <row r="10635" spans="3:11">
      <c r="C10635" s="11"/>
      <c r="K10635" s="11"/>
    </row>
    <row r="10636" spans="3:11">
      <c r="C10636" s="11"/>
      <c r="K10636" s="11"/>
    </row>
    <row r="10637" spans="3:11">
      <c r="C10637" s="11"/>
      <c r="K10637" s="11"/>
    </row>
    <row r="10638" spans="3:11">
      <c r="C10638" s="11"/>
      <c r="K10638" s="11"/>
    </row>
    <row r="10639" spans="3:11">
      <c r="C10639" s="11"/>
      <c r="K10639" s="11"/>
    </row>
    <row r="10640" spans="3:11">
      <c r="C10640" s="11"/>
      <c r="K10640" s="11"/>
    </row>
    <row r="10641" spans="3:11">
      <c r="C10641" s="11"/>
      <c r="K10641" s="11"/>
    </row>
    <row r="10642" spans="3:11">
      <c r="C10642" s="11"/>
      <c r="K10642" s="11"/>
    </row>
    <row r="10643" spans="3:11">
      <c r="C10643" s="11"/>
      <c r="K10643" s="11"/>
    </row>
    <row r="10644" spans="3:11">
      <c r="C10644" s="11"/>
      <c r="K10644" s="11"/>
    </row>
    <row r="10645" spans="3:11">
      <c r="C10645" s="11"/>
      <c r="K10645" s="11"/>
    </row>
    <row r="10646" spans="3:11">
      <c r="C10646" s="11"/>
      <c r="K10646" s="11"/>
    </row>
    <row r="10647" spans="3:11">
      <c r="C10647" s="11"/>
      <c r="K10647" s="11"/>
    </row>
    <row r="10648" spans="3:11">
      <c r="C10648" s="11"/>
      <c r="K10648" s="11"/>
    </row>
    <row r="10649" spans="3:11">
      <c r="C10649" s="11"/>
      <c r="K10649" s="11"/>
    </row>
    <row r="10650" spans="3:11">
      <c r="C10650" s="11"/>
      <c r="K10650" s="11"/>
    </row>
    <row r="10651" spans="3:11">
      <c r="C10651" s="11"/>
      <c r="K10651" s="11"/>
    </row>
    <row r="10652" spans="3:11">
      <c r="C10652" s="11"/>
      <c r="K10652" s="11"/>
    </row>
    <row r="10653" spans="3:11">
      <c r="C10653" s="11"/>
      <c r="K10653" s="11"/>
    </row>
    <row r="10654" spans="3:11">
      <c r="C10654" s="11"/>
      <c r="K10654" s="11"/>
    </row>
    <row r="10655" spans="3:11">
      <c r="C10655" s="11"/>
      <c r="K10655" s="11"/>
    </row>
    <row r="10656" spans="3:11">
      <c r="C10656" s="11"/>
      <c r="K10656" s="11"/>
    </row>
    <row r="10657" spans="3:11">
      <c r="C10657" s="11"/>
      <c r="K10657" s="11"/>
    </row>
    <row r="10658" spans="3:11">
      <c r="C10658" s="11"/>
      <c r="K10658" s="11"/>
    </row>
    <row r="10659" spans="3:11">
      <c r="C10659" s="11"/>
      <c r="K10659" s="11"/>
    </row>
    <row r="10660" spans="3:11">
      <c r="C10660" s="11"/>
      <c r="K10660" s="11"/>
    </row>
    <row r="10661" spans="3:11">
      <c r="C10661" s="11"/>
      <c r="K10661" s="11"/>
    </row>
    <row r="10662" spans="3:11">
      <c r="C10662" s="11"/>
      <c r="K10662" s="11"/>
    </row>
    <row r="10663" spans="3:11">
      <c r="C10663" s="11"/>
      <c r="K10663" s="11"/>
    </row>
    <row r="10664" spans="3:11">
      <c r="C10664" s="11"/>
      <c r="K10664" s="11"/>
    </row>
    <row r="10665" spans="3:11">
      <c r="C10665" s="11"/>
      <c r="K10665" s="11"/>
    </row>
    <row r="10666" spans="3:11">
      <c r="C10666" s="11"/>
      <c r="K10666" s="11"/>
    </row>
    <row r="10667" spans="3:11">
      <c r="C10667" s="11"/>
      <c r="K10667" s="11"/>
    </row>
    <row r="10668" spans="3:11">
      <c r="C10668" s="11"/>
      <c r="K10668" s="11"/>
    </row>
    <row r="10669" spans="3:11">
      <c r="C10669" s="11"/>
      <c r="K10669" s="11"/>
    </row>
    <row r="10670" spans="3:11">
      <c r="C10670" s="11"/>
      <c r="K10670" s="11"/>
    </row>
    <row r="10671" spans="3:11">
      <c r="C10671" s="11"/>
      <c r="K10671" s="11"/>
    </row>
    <row r="10672" spans="3:11">
      <c r="C10672" s="11"/>
      <c r="K10672" s="11"/>
    </row>
    <row r="10673" spans="3:11">
      <c r="C10673" s="11"/>
      <c r="K10673" s="11"/>
    </row>
    <row r="10674" spans="3:11">
      <c r="C10674" s="11"/>
      <c r="K10674" s="11"/>
    </row>
    <row r="10675" spans="3:11">
      <c r="C10675" s="11"/>
      <c r="K10675" s="11"/>
    </row>
    <row r="10676" spans="3:11">
      <c r="C10676" s="11"/>
      <c r="K10676" s="11"/>
    </row>
    <row r="10677" spans="3:11">
      <c r="C10677" s="11"/>
      <c r="K10677" s="11"/>
    </row>
    <row r="10678" spans="3:11">
      <c r="C10678" s="11"/>
      <c r="K10678" s="11"/>
    </row>
    <row r="10679" spans="3:11">
      <c r="C10679" s="11"/>
      <c r="K10679" s="11"/>
    </row>
    <row r="10680" spans="3:11">
      <c r="C10680" s="11"/>
      <c r="K10680" s="11"/>
    </row>
    <row r="10681" spans="3:11">
      <c r="C10681" s="11"/>
      <c r="K10681" s="11"/>
    </row>
    <row r="10682" spans="3:11">
      <c r="C10682" s="11"/>
      <c r="K10682" s="11"/>
    </row>
    <row r="10683" spans="3:11">
      <c r="C10683" s="11"/>
      <c r="K10683" s="11"/>
    </row>
    <row r="10684" spans="3:11">
      <c r="C10684" s="11"/>
      <c r="K10684" s="11"/>
    </row>
    <row r="10685" spans="3:11">
      <c r="C10685" s="11"/>
      <c r="K10685" s="11"/>
    </row>
    <row r="10686" spans="3:11">
      <c r="C10686" s="11"/>
      <c r="K10686" s="11"/>
    </row>
    <row r="10687" spans="3:11">
      <c r="C10687" s="11"/>
      <c r="K10687" s="11"/>
    </row>
    <row r="10688" spans="3:11">
      <c r="C10688" s="11"/>
      <c r="K10688" s="11"/>
    </row>
    <row r="10689" spans="3:11">
      <c r="C10689" s="11"/>
      <c r="K10689" s="11"/>
    </row>
    <row r="10690" spans="3:11">
      <c r="C10690" s="11"/>
      <c r="K10690" s="11"/>
    </row>
    <row r="10691" spans="3:11">
      <c r="C10691" s="11"/>
      <c r="K10691" s="11"/>
    </row>
    <row r="10692" spans="3:11">
      <c r="C10692" s="11"/>
      <c r="K10692" s="11"/>
    </row>
    <row r="10693" spans="3:11">
      <c r="C10693" s="11"/>
      <c r="K10693" s="11"/>
    </row>
    <row r="10694" spans="3:11">
      <c r="C10694" s="11"/>
      <c r="K10694" s="11"/>
    </row>
    <row r="10695" spans="3:11">
      <c r="C10695" s="11"/>
      <c r="K10695" s="11"/>
    </row>
    <row r="10696" spans="3:11">
      <c r="C10696" s="11"/>
      <c r="K10696" s="11"/>
    </row>
    <row r="10697" spans="3:11">
      <c r="C10697" s="11"/>
      <c r="K10697" s="11"/>
    </row>
    <row r="10698" spans="3:11">
      <c r="C10698" s="11"/>
      <c r="K10698" s="11"/>
    </row>
    <row r="10699" spans="3:11">
      <c r="C10699" s="11"/>
      <c r="K10699" s="11"/>
    </row>
    <row r="10700" spans="3:11">
      <c r="C10700" s="11"/>
      <c r="K10700" s="11"/>
    </row>
    <row r="10701" spans="3:11">
      <c r="C10701" s="11"/>
      <c r="K10701" s="11"/>
    </row>
    <row r="10702" spans="3:11">
      <c r="C10702" s="11"/>
      <c r="K10702" s="11"/>
    </row>
    <row r="10703" spans="3:11">
      <c r="C10703" s="11"/>
      <c r="K10703" s="11"/>
    </row>
    <row r="10704" spans="3:11">
      <c r="C10704" s="11"/>
      <c r="K10704" s="11"/>
    </row>
    <row r="10705" spans="3:11">
      <c r="C10705" s="11"/>
      <c r="K10705" s="11"/>
    </row>
    <row r="10706" spans="3:11">
      <c r="C10706" s="11"/>
      <c r="K10706" s="11"/>
    </row>
    <row r="10707" spans="3:11">
      <c r="C10707" s="11"/>
      <c r="K10707" s="11"/>
    </row>
    <row r="10708" spans="3:11">
      <c r="C10708" s="11"/>
      <c r="K10708" s="11"/>
    </row>
    <row r="10709" spans="3:11">
      <c r="C10709" s="11"/>
      <c r="K10709" s="11"/>
    </row>
    <row r="10710" spans="3:11">
      <c r="C10710" s="11"/>
      <c r="K10710" s="11"/>
    </row>
    <row r="10711" spans="3:11">
      <c r="C10711" s="11"/>
      <c r="K10711" s="11"/>
    </row>
    <row r="10712" spans="3:11">
      <c r="C10712" s="11"/>
      <c r="K10712" s="11"/>
    </row>
    <row r="10713" spans="3:11">
      <c r="C10713" s="11"/>
      <c r="K10713" s="11"/>
    </row>
    <row r="10714" spans="3:11">
      <c r="C10714" s="11"/>
      <c r="K10714" s="11"/>
    </row>
    <row r="10715" spans="3:11">
      <c r="C10715" s="11"/>
      <c r="K10715" s="11"/>
    </row>
    <row r="10716" spans="3:11">
      <c r="C10716" s="11"/>
      <c r="K10716" s="11"/>
    </row>
    <row r="10717" spans="3:11">
      <c r="C10717" s="11"/>
      <c r="K10717" s="11"/>
    </row>
    <row r="10718" spans="3:11">
      <c r="C10718" s="11"/>
      <c r="K10718" s="11"/>
    </row>
    <row r="10719" spans="3:11">
      <c r="C10719" s="11"/>
      <c r="K10719" s="11"/>
    </row>
    <row r="10720" spans="3:11">
      <c r="C10720" s="11"/>
      <c r="K10720" s="11"/>
    </row>
    <row r="10721" spans="3:11">
      <c r="C10721" s="11"/>
      <c r="K10721" s="11"/>
    </row>
    <row r="10722" spans="3:11">
      <c r="C10722" s="11"/>
      <c r="K10722" s="11"/>
    </row>
    <row r="10723" spans="3:11">
      <c r="C10723" s="11"/>
      <c r="K10723" s="11"/>
    </row>
    <row r="10724" spans="3:11">
      <c r="C10724" s="11"/>
      <c r="K10724" s="11"/>
    </row>
    <row r="10725" spans="3:11">
      <c r="C10725" s="11"/>
      <c r="K10725" s="11"/>
    </row>
    <row r="10726" spans="3:11">
      <c r="C10726" s="11"/>
      <c r="K10726" s="11"/>
    </row>
    <row r="10727" spans="3:11">
      <c r="C10727" s="11"/>
      <c r="K10727" s="11"/>
    </row>
    <row r="10728" spans="3:11">
      <c r="C10728" s="11"/>
      <c r="K10728" s="11"/>
    </row>
    <row r="10729" spans="3:11">
      <c r="C10729" s="11"/>
      <c r="K10729" s="11"/>
    </row>
    <row r="10730" spans="3:11">
      <c r="C10730" s="11"/>
      <c r="K10730" s="11"/>
    </row>
    <row r="10731" spans="3:11">
      <c r="C10731" s="11"/>
      <c r="K10731" s="11"/>
    </row>
    <row r="10732" spans="3:11">
      <c r="C10732" s="11"/>
      <c r="K10732" s="11"/>
    </row>
    <row r="10733" spans="3:11">
      <c r="C10733" s="11"/>
      <c r="K10733" s="11"/>
    </row>
    <row r="10734" spans="3:11">
      <c r="C10734" s="11"/>
      <c r="K10734" s="11"/>
    </row>
    <row r="10735" spans="3:11">
      <c r="C10735" s="11"/>
      <c r="K10735" s="11"/>
    </row>
    <row r="10736" spans="3:11">
      <c r="C10736" s="11"/>
      <c r="K10736" s="11"/>
    </row>
    <row r="10737" spans="3:11">
      <c r="C10737" s="11"/>
      <c r="K10737" s="11"/>
    </row>
    <row r="10738" spans="3:11">
      <c r="C10738" s="11"/>
      <c r="K10738" s="11"/>
    </row>
    <row r="10739" spans="3:11">
      <c r="C10739" s="11"/>
      <c r="K10739" s="11"/>
    </row>
    <row r="10740" spans="3:11">
      <c r="C10740" s="11"/>
      <c r="K10740" s="11"/>
    </row>
    <row r="10741" spans="3:11">
      <c r="C10741" s="11"/>
      <c r="K10741" s="11"/>
    </row>
    <row r="10742" spans="3:11">
      <c r="C10742" s="11"/>
      <c r="K10742" s="11"/>
    </row>
    <row r="10743" spans="3:11">
      <c r="C10743" s="11"/>
      <c r="K10743" s="11"/>
    </row>
    <row r="10744" spans="3:11">
      <c r="C10744" s="11"/>
      <c r="K10744" s="11"/>
    </row>
    <row r="10745" spans="3:11">
      <c r="C10745" s="11"/>
      <c r="K10745" s="11"/>
    </row>
    <row r="10746" spans="3:11">
      <c r="C10746" s="11"/>
      <c r="K10746" s="11"/>
    </row>
    <row r="10747" spans="3:11">
      <c r="C10747" s="11"/>
      <c r="K10747" s="11"/>
    </row>
    <row r="10748" spans="3:11">
      <c r="C10748" s="11"/>
      <c r="K10748" s="11"/>
    </row>
    <row r="10749" spans="3:11">
      <c r="C10749" s="11"/>
      <c r="K10749" s="11"/>
    </row>
    <row r="10750" spans="3:11">
      <c r="C10750" s="11"/>
      <c r="K10750" s="11"/>
    </row>
    <row r="10751" spans="3:11">
      <c r="C10751" s="11"/>
      <c r="K10751" s="11"/>
    </row>
    <row r="10752" spans="3:11">
      <c r="C10752" s="11"/>
      <c r="K10752" s="11"/>
    </row>
    <row r="10753" spans="3:11">
      <c r="C10753" s="11"/>
      <c r="K10753" s="11"/>
    </row>
    <row r="10754" spans="3:11">
      <c r="C10754" s="11"/>
      <c r="K10754" s="11"/>
    </row>
    <row r="10755" spans="3:11">
      <c r="C10755" s="11"/>
      <c r="K10755" s="11"/>
    </row>
    <row r="10756" spans="3:11">
      <c r="C10756" s="11"/>
      <c r="K10756" s="11"/>
    </row>
    <row r="10757" spans="3:11">
      <c r="C10757" s="11"/>
      <c r="K10757" s="11"/>
    </row>
    <row r="10758" spans="3:11">
      <c r="C10758" s="11"/>
      <c r="K10758" s="11"/>
    </row>
    <row r="10759" spans="3:11">
      <c r="C10759" s="11"/>
      <c r="K10759" s="11"/>
    </row>
    <row r="10760" spans="3:11">
      <c r="C10760" s="11"/>
      <c r="K10760" s="11"/>
    </row>
    <row r="10761" spans="3:11">
      <c r="C10761" s="11"/>
      <c r="K10761" s="11"/>
    </row>
    <row r="10762" spans="3:11">
      <c r="C10762" s="11"/>
      <c r="K10762" s="11"/>
    </row>
    <row r="10763" spans="3:11">
      <c r="C10763" s="11"/>
      <c r="K10763" s="11"/>
    </row>
    <row r="10764" spans="3:11">
      <c r="C10764" s="11"/>
      <c r="K10764" s="11"/>
    </row>
    <row r="10765" spans="3:11">
      <c r="C10765" s="11"/>
      <c r="K10765" s="11"/>
    </row>
    <row r="10766" spans="3:11">
      <c r="C10766" s="11"/>
      <c r="K10766" s="11"/>
    </row>
    <row r="10767" spans="3:11">
      <c r="C10767" s="11"/>
      <c r="K10767" s="11"/>
    </row>
    <row r="10768" spans="3:11">
      <c r="C10768" s="11"/>
      <c r="K10768" s="11"/>
    </row>
    <row r="10769" spans="3:11">
      <c r="C10769" s="11"/>
      <c r="K10769" s="11"/>
    </row>
    <row r="10770" spans="3:11">
      <c r="C10770" s="11"/>
      <c r="K10770" s="11"/>
    </row>
    <row r="10771" spans="3:11">
      <c r="C10771" s="11"/>
      <c r="K10771" s="11"/>
    </row>
    <row r="10772" spans="3:11">
      <c r="C10772" s="11"/>
      <c r="K10772" s="11"/>
    </row>
    <row r="10773" spans="3:11">
      <c r="C10773" s="11"/>
      <c r="K10773" s="11"/>
    </row>
    <row r="10774" spans="3:11">
      <c r="C10774" s="11"/>
      <c r="K10774" s="11"/>
    </row>
    <row r="10775" spans="3:11">
      <c r="C10775" s="11"/>
      <c r="K10775" s="11"/>
    </row>
    <row r="10776" spans="3:11">
      <c r="C10776" s="11"/>
      <c r="K10776" s="11"/>
    </row>
    <row r="10777" spans="3:11">
      <c r="C10777" s="11"/>
      <c r="K10777" s="11"/>
    </row>
    <row r="10778" spans="3:11">
      <c r="C10778" s="11"/>
      <c r="K10778" s="11"/>
    </row>
    <row r="10779" spans="3:11">
      <c r="C10779" s="11"/>
      <c r="K10779" s="11"/>
    </row>
    <row r="10780" spans="3:11">
      <c r="C10780" s="11"/>
      <c r="K10780" s="11"/>
    </row>
    <row r="10781" spans="3:11">
      <c r="C10781" s="11"/>
      <c r="K10781" s="11"/>
    </row>
    <row r="10782" spans="3:11">
      <c r="C10782" s="11"/>
      <c r="K10782" s="11"/>
    </row>
    <row r="10783" spans="3:11">
      <c r="C10783" s="11"/>
      <c r="K10783" s="11"/>
    </row>
    <row r="10784" spans="3:11">
      <c r="C10784" s="11"/>
      <c r="K10784" s="11"/>
    </row>
    <row r="10785" spans="3:11">
      <c r="C10785" s="11"/>
      <c r="K10785" s="11"/>
    </row>
    <row r="10786" spans="3:11">
      <c r="C10786" s="11"/>
      <c r="K10786" s="11"/>
    </row>
    <row r="10787" spans="3:11">
      <c r="C10787" s="11"/>
      <c r="K10787" s="11"/>
    </row>
    <row r="10788" spans="3:11">
      <c r="C10788" s="11"/>
      <c r="K10788" s="11"/>
    </row>
    <row r="10789" spans="3:11">
      <c r="C10789" s="11"/>
      <c r="K10789" s="11"/>
    </row>
    <row r="10790" spans="3:11">
      <c r="C10790" s="11"/>
      <c r="K10790" s="11"/>
    </row>
    <row r="10791" spans="3:11">
      <c r="C10791" s="11"/>
      <c r="K10791" s="11"/>
    </row>
    <row r="10792" spans="3:11">
      <c r="C10792" s="11"/>
      <c r="K10792" s="11"/>
    </row>
    <row r="10793" spans="3:11">
      <c r="C10793" s="11"/>
      <c r="K10793" s="11"/>
    </row>
    <row r="10794" spans="3:11">
      <c r="C10794" s="11"/>
      <c r="K10794" s="11"/>
    </row>
    <row r="10795" spans="3:11">
      <c r="C10795" s="11"/>
      <c r="K10795" s="11"/>
    </row>
    <row r="10796" spans="3:11">
      <c r="C10796" s="11"/>
      <c r="K10796" s="11"/>
    </row>
    <row r="10797" spans="3:11">
      <c r="C10797" s="11"/>
      <c r="K10797" s="11"/>
    </row>
    <row r="10798" spans="3:11">
      <c r="C10798" s="11"/>
      <c r="K10798" s="11"/>
    </row>
    <row r="10799" spans="3:11">
      <c r="C10799" s="11"/>
      <c r="K10799" s="11"/>
    </row>
    <row r="10800" spans="3:11">
      <c r="C10800" s="11"/>
      <c r="K10800" s="11"/>
    </row>
    <row r="10801" spans="3:11">
      <c r="C10801" s="11"/>
      <c r="K10801" s="11"/>
    </row>
    <row r="10802" spans="3:11">
      <c r="C10802" s="11"/>
      <c r="K10802" s="11"/>
    </row>
    <row r="10803" spans="3:11">
      <c r="C10803" s="11"/>
      <c r="K10803" s="11"/>
    </row>
    <row r="10804" spans="3:11">
      <c r="C10804" s="11"/>
      <c r="K10804" s="11"/>
    </row>
    <row r="10805" spans="3:11">
      <c r="C10805" s="11"/>
      <c r="K10805" s="11"/>
    </row>
    <row r="10806" spans="3:11">
      <c r="C10806" s="11"/>
      <c r="K10806" s="11"/>
    </row>
    <row r="10807" spans="3:11">
      <c r="C10807" s="11"/>
      <c r="K10807" s="11"/>
    </row>
    <row r="10808" spans="3:11">
      <c r="C10808" s="11"/>
      <c r="K10808" s="11"/>
    </row>
    <row r="10809" spans="3:11">
      <c r="C10809" s="11"/>
      <c r="K10809" s="11"/>
    </row>
    <row r="10810" spans="3:11">
      <c r="C10810" s="11"/>
      <c r="K10810" s="11"/>
    </row>
    <row r="10811" spans="3:11">
      <c r="C10811" s="11"/>
      <c r="K10811" s="11"/>
    </row>
    <row r="10812" spans="3:11">
      <c r="C10812" s="11"/>
      <c r="K10812" s="11"/>
    </row>
    <row r="10813" spans="3:11">
      <c r="C10813" s="11"/>
      <c r="K10813" s="11"/>
    </row>
    <row r="10814" spans="3:11">
      <c r="C10814" s="11"/>
      <c r="K10814" s="11"/>
    </row>
    <row r="10815" spans="3:11">
      <c r="C10815" s="11"/>
      <c r="K10815" s="11"/>
    </row>
    <row r="10816" spans="3:11">
      <c r="C10816" s="11"/>
      <c r="K10816" s="11"/>
    </row>
    <row r="10817" spans="3:11">
      <c r="C10817" s="11"/>
      <c r="K10817" s="11"/>
    </row>
    <row r="10818" spans="3:11">
      <c r="C10818" s="11"/>
      <c r="K10818" s="11"/>
    </row>
    <row r="10819" spans="3:11">
      <c r="C10819" s="11"/>
      <c r="K10819" s="11"/>
    </row>
    <row r="10820" spans="3:11">
      <c r="C10820" s="11"/>
      <c r="K10820" s="11"/>
    </row>
    <row r="10821" spans="3:11">
      <c r="C10821" s="11"/>
      <c r="K10821" s="11"/>
    </row>
    <row r="10822" spans="3:11">
      <c r="C10822" s="11"/>
      <c r="K10822" s="11"/>
    </row>
    <row r="10823" spans="3:11">
      <c r="C10823" s="11"/>
      <c r="K10823" s="11"/>
    </row>
    <row r="10824" spans="3:11">
      <c r="C10824" s="11"/>
      <c r="K10824" s="11"/>
    </row>
    <row r="10825" spans="3:11">
      <c r="C10825" s="11"/>
      <c r="K10825" s="11"/>
    </row>
    <row r="10826" spans="3:11">
      <c r="C10826" s="11"/>
      <c r="K10826" s="11"/>
    </row>
    <row r="10827" spans="3:11">
      <c r="C10827" s="11"/>
      <c r="K10827" s="11"/>
    </row>
    <row r="10828" spans="3:11">
      <c r="C10828" s="11"/>
      <c r="K10828" s="11"/>
    </row>
    <row r="10829" spans="3:11">
      <c r="C10829" s="11"/>
      <c r="K10829" s="11"/>
    </row>
    <row r="10830" spans="3:11">
      <c r="C10830" s="11"/>
      <c r="K10830" s="11"/>
    </row>
    <row r="10831" spans="3:11">
      <c r="C10831" s="11"/>
      <c r="K10831" s="11"/>
    </row>
    <row r="10832" spans="3:11">
      <c r="C10832" s="11"/>
      <c r="K10832" s="11"/>
    </row>
    <row r="10833" spans="3:11">
      <c r="C10833" s="11"/>
      <c r="K10833" s="11"/>
    </row>
    <row r="10834" spans="3:11">
      <c r="C10834" s="11"/>
      <c r="K10834" s="11"/>
    </row>
    <row r="10835" spans="3:11">
      <c r="C10835" s="11"/>
      <c r="K10835" s="11"/>
    </row>
    <row r="10836" spans="3:11">
      <c r="C10836" s="11"/>
      <c r="K10836" s="11"/>
    </row>
    <row r="10837" spans="3:11">
      <c r="C10837" s="11"/>
      <c r="K10837" s="11"/>
    </row>
    <row r="10838" spans="3:11">
      <c r="C10838" s="11"/>
      <c r="K10838" s="11"/>
    </row>
    <row r="10839" spans="3:11">
      <c r="C10839" s="11"/>
      <c r="K10839" s="11"/>
    </row>
    <row r="10840" spans="3:11">
      <c r="C10840" s="11"/>
      <c r="K10840" s="11"/>
    </row>
    <row r="10841" spans="3:11">
      <c r="C10841" s="11"/>
      <c r="K10841" s="11"/>
    </row>
    <row r="10842" spans="3:11">
      <c r="C10842" s="11"/>
      <c r="K10842" s="11"/>
    </row>
    <row r="10843" spans="3:11">
      <c r="C10843" s="11"/>
      <c r="K10843" s="11"/>
    </row>
    <row r="10844" spans="3:11">
      <c r="C10844" s="11"/>
      <c r="K10844" s="11"/>
    </row>
    <row r="10845" spans="3:11">
      <c r="C10845" s="11"/>
      <c r="K10845" s="11"/>
    </row>
    <row r="10846" spans="3:11">
      <c r="C10846" s="11"/>
      <c r="K10846" s="11"/>
    </row>
    <row r="10847" spans="3:11">
      <c r="C10847" s="11"/>
      <c r="K10847" s="11"/>
    </row>
    <row r="10848" spans="3:11">
      <c r="C10848" s="11"/>
      <c r="K10848" s="11"/>
    </row>
    <row r="10849" spans="3:11">
      <c r="C10849" s="11"/>
      <c r="K10849" s="11"/>
    </row>
    <row r="10850" spans="3:11">
      <c r="C10850" s="11"/>
      <c r="K10850" s="11"/>
    </row>
    <row r="10851" spans="3:11">
      <c r="C10851" s="11"/>
      <c r="K10851" s="11"/>
    </row>
    <row r="10852" spans="3:11">
      <c r="C10852" s="11"/>
      <c r="K10852" s="11"/>
    </row>
    <row r="10853" spans="3:11">
      <c r="C10853" s="11"/>
      <c r="K10853" s="11"/>
    </row>
    <row r="10854" spans="3:11">
      <c r="C10854" s="11"/>
      <c r="K10854" s="11"/>
    </row>
    <row r="10855" spans="3:11">
      <c r="C10855" s="11"/>
      <c r="K10855" s="11"/>
    </row>
    <row r="10856" spans="3:11">
      <c r="C10856" s="11"/>
      <c r="K10856" s="11"/>
    </row>
    <row r="10857" spans="3:11">
      <c r="C10857" s="11"/>
      <c r="K10857" s="11"/>
    </row>
    <row r="10858" spans="3:11">
      <c r="C10858" s="11"/>
      <c r="K10858" s="11"/>
    </row>
    <row r="10859" spans="3:11">
      <c r="C10859" s="11"/>
      <c r="K10859" s="11"/>
    </row>
    <row r="10860" spans="3:11">
      <c r="C10860" s="11"/>
      <c r="K10860" s="11"/>
    </row>
    <row r="10861" spans="3:11">
      <c r="C10861" s="11"/>
      <c r="K10861" s="11"/>
    </row>
    <row r="10862" spans="3:11">
      <c r="C10862" s="11"/>
      <c r="K10862" s="11"/>
    </row>
    <row r="10863" spans="3:11">
      <c r="C10863" s="11"/>
      <c r="K10863" s="11"/>
    </row>
    <row r="10864" spans="3:11">
      <c r="C10864" s="11"/>
      <c r="K10864" s="11"/>
    </row>
    <row r="10865" spans="3:11">
      <c r="C10865" s="11"/>
      <c r="K10865" s="11"/>
    </row>
    <row r="10866" spans="3:11">
      <c r="C10866" s="11"/>
      <c r="K10866" s="11"/>
    </row>
    <row r="10867" spans="3:11">
      <c r="C10867" s="11"/>
      <c r="K10867" s="11"/>
    </row>
    <row r="10868" spans="3:11">
      <c r="C10868" s="11"/>
      <c r="K10868" s="11"/>
    </row>
    <row r="10869" spans="3:11">
      <c r="C10869" s="11"/>
      <c r="K10869" s="11"/>
    </row>
    <row r="10870" spans="3:11">
      <c r="C10870" s="11"/>
      <c r="K10870" s="11"/>
    </row>
    <row r="10871" spans="3:11">
      <c r="C10871" s="11"/>
      <c r="K10871" s="11"/>
    </row>
    <row r="10872" spans="3:11">
      <c r="C10872" s="11"/>
      <c r="K10872" s="11"/>
    </row>
    <row r="10873" spans="3:11">
      <c r="C10873" s="11"/>
      <c r="K10873" s="11"/>
    </row>
    <row r="10874" spans="3:11">
      <c r="C10874" s="11"/>
      <c r="K10874" s="11"/>
    </row>
    <row r="10875" spans="3:11">
      <c r="C10875" s="11"/>
      <c r="K10875" s="11"/>
    </row>
    <row r="10876" spans="3:11">
      <c r="C10876" s="11"/>
      <c r="K10876" s="11"/>
    </row>
    <row r="10877" spans="3:11">
      <c r="C10877" s="11"/>
      <c r="K10877" s="11"/>
    </row>
    <row r="10878" spans="3:11">
      <c r="C10878" s="11"/>
      <c r="K10878" s="11"/>
    </row>
    <row r="10879" spans="3:11">
      <c r="C10879" s="11"/>
      <c r="K10879" s="11"/>
    </row>
    <row r="10880" spans="3:11">
      <c r="C10880" s="11"/>
      <c r="K10880" s="11"/>
    </row>
    <row r="10881" spans="3:11">
      <c r="C10881" s="11"/>
      <c r="K10881" s="11"/>
    </row>
    <row r="10882" spans="3:11">
      <c r="C10882" s="11"/>
      <c r="K10882" s="11"/>
    </row>
    <row r="10883" spans="3:11">
      <c r="C10883" s="11"/>
      <c r="K10883" s="11"/>
    </row>
    <row r="10884" spans="3:11">
      <c r="C10884" s="11"/>
      <c r="K10884" s="11"/>
    </row>
    <row r="10885" spans="3:11">
      <c r="C10885" s="11"/>
      <c r="K10885" s="11"/>
    </row>
    <row r="10886" spans="3:11">
      <c r="C10886" s="11"/>
      <c r="K10886" s="11"/>
    </row>
    <row r="10887" spans="3:11">
      <c r="C10887" s="11"/>
      <c r="K10887" s="11"/>
    </row>
    <row r="10888" spans="3:11">
      <c r="C10888" s="11"/>
      <c r="K10888" s="11"/>
    </row>
    <row r="10889" spans="3:11">
      <c r="C10889" s="11"/>
      <c r="K10889" s="11"/>
    </row>
    <row r="10890" spans="3:11">
      <c r="C10890" s="11"/>
      <c r="K10890" s="11"/>
    </row>
    <row r="10891" spans="3:11">
      <c r="C10891" s="11"/>
      <c r="K10891" s="11"/>
    </row>
    <row r="10892" spans="3:11">
      <c r="C10892" s="11"/>
      <c r="K10892" s="11"/>
    </row>
    <row r="10893" spans="3:11">
      <c r="C10893" s="11"/>
      <c r="K10893" s="11"/>
    </row>
    <row r="10894" spans="3:11">
      <c r="C10894" s="11"/>
      <c r="K10894" s="11"/>
    </row>
    <row r="10895" spans="3:11">
      <c r="C10895" s="11"/>
      <c r="K10895" s="11"/>
    </row>
    <row r="10896" spans="3:11">
      <c r="C10896" s="11"/>
      <c r="K10896" s="11"/>
    </row>
    <row r="10897" spans="3:11">
      <c r="C10897" s="11"/>
      <c r="K10897" s="11"/>
    </row>
    <row r="10898" spans="3:11">
      <c r="C10898" s="11"/>
      <c r="K10898" s="11"/>
    </row>
    <row r="10899" spans="3:11">
      <c r="C10899" s="11"/>
      <c r="K10899" s="11"/>
    </row>
    <row r="10900" spans="3:11">
      <c r="C10900" s="11"/>
      <c r="K10900" s="11"/>
    </row>
    <row r="10901" spans="3:11">
      <c r="C10901" s="11"/>
      <c r="K10901" s="11"/>
    </row>
    <row r="10902" spans="3:11">
      <c r="C10902" s="11"/>
      <c r="K10902" s="11"/>
    </row>
    <row r="10903" spans="3:11">
      <c r="C10903" s="11"/>
      <c r="K10903" s="11"/>
    </row>
    <row r="10904" spans="3:11">
      <c r="C10904" s="11"/>
      <c r="K10904" s="11"/>
    </row>
    <row r="10905" spans="3:11">
      <c r="C10905" s="11"/>
      <c r="K10905" s="11"/>
    </row>
    <row r="10906" spans="3:11">
      <c r="C10906" s="11"/>
      <c r="K10906" s="11"/>
    </row>
    <row r="10907" spans="3:11">
      <c r="C10907" s="11"/>
      <c r="K10907" s="11"/>
    </row>
    <row r="10908" spans="3:11">
      <c r="C10908" s="11"/>
      <c r="K10908" s="11"/>
    </row>
    <row r="10909" spans="3:11">
      <c r="C10909" s="11"/>
      <c r="K10909" s="11"/>
    </row>
    <row r="10910" spans="3:11">
      <c r="C10910" s="11"/>
      <c r="K10910" s="11"/>
    </row>
    <row r="10911" spans="3:11">
      <c r="C10911" s="11"/>
      <c r="K10911" s="11"/>
    </row>
    <row r="10912" spans="3:11">
      <c r="C10912" s="11"/>
      <c r="K10912" s="11"/>
    </row>
    <row r="10913" spans="3:11">
      <c r="C10913" s="11"/>
      <c r="K10913" s="11"/>
    </row>
    <row r="10914" spans="3:11">
      <c r="C10914" s="11"/>
      <c r="K10914" s="11"/>
    </row>
    <row r="10915" spans="3:11">
      <c r="C10915" s="11"/>
      <c r="K10915" s="11"/>
    </row>
    <row r="10916" spans="3:11">
      <c r="C10916" s="11"/>
      <c r="K10916" s="11"/>
    </row>
    <row r="10917" spans="3:11">
      <c r="C10917" s="11"/>
      <c r="K10917" s="11"/>
    </row>
    <row r="10918" spans="3:11">
      <c r="C10918" s="11"/>
      <c r="K10918" s="11"/>
    </row>
    <row r="10919" spans="3:11">
      <c r="C10919" s="11"/>
      <c r="K10919" s="11"/>
    </row>
    <row r="10920" spans="3:11">
      <c r="C10920" s="11"/>
      <c r="K10920" s="11"/>
    </row>
    <row r="10921" spans="3:11">
      <c r="C10921" s="11"/>
      <c r="K10921" s="11"/>
    </row>
    <row r="10922" spans="3:11">
      <c r="C10922" s="11"/>
      <c r="K10922" s="11"/>
    </row>
    <row r="10923" spans="3:11">
      <c r="C10923" s="11"/>
      <c r="K10923" s="11"/>
    </row>
    <row r="10924" spans="3:11">
      <c r="C10924" s="11"/>
      <c r="K10924" s="11"/>
    </row>
    <row r="10925" spans="3:11">
      <c r="C10925" s="11"/>
      <c r="K10925" s="11"/>
    </row>
    <row r="10926" spans="3:11">
      <c r="C10926" s="11"/>
      <c r="K10926" s="11"/>
    </row>
    <row r="10927" spans="3:11">
      <c r="C10927" s="11"/>
      <c r="K10927" s="11"/>
    </row>
    <row r="10928" spans="3:11">
      <c r="C10928" s="11"/>
      <c r="K10928" s="11"/>
    </row>
    <row r="10929" spans="3:11">
      <c r="C10929" s="11"/>
      <c r="K10929" s="11"/>
    </row>
    <row r="10930" spans="3:11">
      <c r="C10930" s="11"/>
      <c r="K10930" s="11"/>
    </row>
    <row r="10931" spans="3:11">
      <c r="C10931" s="11"/>
      <c r="K10931" s="11"/>
    </row>
    <row r="10932" spans="3:11">
      <c r="C10932" s="11"/>
      <c r="K10932" s="11"/>
    </row>
    <row r="10933" spans="3:11">
      <c r="C10933" s="11"/>
      <c r="K10933" s="11"/>
    </row>
    <row r="10934" spans="3:11">
      <c r="C10934" s="11"/>
      <c r="K10934" s="11"/>
    </row>
    <row r="10935" spans="3:11">
      <c r="C10935" s="11"/>
      <c r="K10935" s="11"/>
    </row>
    <row r="10936" spans="3:11">
      <c r="C10936" s="11"/>
      <c r="K10936" s="11"/>
    </row>
    <row r="10937" spans="3:11">
      <c r="C10937" s="11"/>
      <c r="K10937" s="11"/>
    </row>
    <row r="10938" spans="3:11">
      <c r="C10938" s="11"/>
      <c r="K10938" s="11"/>
    </row>
    <row r="10939" spans="3:11">
      <c r="C10939" s="11"/>
      <c r="K10939" s="11"/>
    </row>
    <row r="10940" spans="3:11">
      <c r="C10940" s="11"/>
      <c r="K10940" s="11"/>
    </row>
    <row r="10941" spans="3:11">
      <c r="C10941" s="11"/>
      <c r="K10941" s="11"/>
    </row>
    <row r="10942" spans="3:11">
      <c r="C10942" s="11"/>
      <c r="K10942" s="11"/>
    </row>
    <row r="10943" spans="3:11">
      <c r="C10943" s="11"/>
      <c r="K10943" s="11"/>
    </row>
    <row r="10944" spans="3:11">
      <c r="C10944" s="11"/>
      <c r="K10944" s="11"/>
    </row>
    <row r="10945" spans="3:11">
      <c r="C10945" s="11"/>
      <c r="K10945" s="11"/>
    </row>
    <row r="10946" spans="3:11">
      <c r="C10946" s="11"/>
      <c r="K10946" s="11"/>
    </row>
    <row r="10947" spans="3:11">
      <c r="C10947" s="11"/>
      <c r="K10947" s="11"/>
    </row>
    <row r="10948" spans="3:11">
      <c r="C10948" s="11"/>
      <c r="K10948" s="11"/>
    </row>
    <row r="10949" spans="3:11">
      <c r="C10949" s="11"/>
      <c r="K10949" s="11"/>
    </row>
    <row r="10950" spans="3:11">
      <c r="C10950" s="11"/>
      <c r="K10950" s="11"/>
    </row>
    <row r="10951" spans="3:11">
      <c r="C10951" s="11"/>
      <c r="K10951" s="11"/>
    </row>
    <row r="10952" spans="3:11">
      <c r="C10952" s="11"/>
      <c r="K10952" s="11"/>
    </row>
    <row r="10953" spans="3:11">
      <c r="C10953" s="11"/>
      <c r="K10953" s="11"/>
    </row>
    <row r="10954" spans="3:11">
      <c r="C10954" s="11"/>
      <c r="K10954" s="11"/>
    </row>
    <row r="10955" spans="3:11">
      <c r="C10955" s="11"/>
      <c r="K10955" s="11"/>
    </row>
    <row r="10956" spans="3:11">
      <c r="C10956" s="11"/>
      <c r="K10956" s="11"/>
    </row>
    <row r="10957" spans="3:11">
      <c r="C10957" s="11"/>
      <c r="K10957" s="11"/>
    </row>
    <row r="10958" spans="3:11">
      <c r="C10958" s="11"/>
      <c r="K10958" s="11"/>
    </row>
    <row r="10959" spans="3:11">
      <c r="C10959" s="11"/>
      <c r="K10959" s="11"/>
    </row>
    <row r="10960" spans="3:11">
      <c r="C10960" s="11"/>
      <c r="K10960" s="11"/>
    </row>
    <row r="10961" spans="3:11">
      <c r="C10961" s="11"/>
      <c r="K10961" s="11"/>
    </row>
    <row r="10962" spans="3:11">
      <c r="C10962" s="11"/>
      <c r="K10962" s="11"/>
    </row>
    <row r="10963" spans="3:11">
      <c r="C10963" s="11"/>
      <c r="K10963" s="11"/>
    </row>
    <row r="10964" spans="3:11">
      <c r="C10964" s="11"/>
      <c r="K10964" s="11"/>
    </row>
    <row r="10965" spans="3:11">
      <c r="C10965" s="11"/>
      <c r="K10965" s="11"/>
    </row>
    <row r="10966" spans="3:11">
      <c r="C10966" s="11"/>
      <c r="K10966" s="11"/>
    </row>
    <row r="10967" spans="3:11">
      <c r="C10967" s="11"/>
      <c r="K10967" s="11"/>
    </row>
    <row r="10968" spans="3:11">
      <c r="C10968" s="11"/>
      <c r="K10968" s="11"/>
    </row>
    <row r="10969" spans="3:11">
      <c r="C10969" s="11"/>
      <c r="K10969" s="11"/>
    </row>
    <row r="10970" spans="3:11">
      <c r="C10970" s="11"/>
      <c r="K10970" s="11"/>
    </row>
    <row r="10971" spans="3:11">
      <c r="C10971" s="11"/>
      <c r="K10971" s="11"/>
    </row>
    <row r="10972" spans="3:11">
      <c r="C10972" s="11"/>
      <c r="K10972" s="11"/>
    </row>
    <row r="10973" spans="3:11">
      <c r="C10973" s="11"/>
      <c r="K10973" s="11"/>
    </row>
    <row r="10974" spans="3:11">
      <c r="C10974" s="11"/>
      <c r="K10974" s="11"/>
    </row>
    <row r="10975" spans="3:11">
      <c r="C10975" s="11"/>
      <c r="K10975" s="11"/>
    </row>
    <row r="10976" spans="3:11">
      <c r="C10976" s="11"/>
      <c r="K10976" s="11"/>
    </row>
    <row r="10977" spans="3:11">
      <c r="C10977" s="11"/>
      <c r="K10977" s="11"/>
    </row>
    <row r="10978" spans="3:11">
      <c r="C10978" s="11"/>
      <c r="K10978" s="11"/>
    </row>
    <row r="10979" spans="3:11">
      <c r="C10979" s="11"/>
      <c r="K10979" s="11"/>
    </row>
    <row r="10980" spans="3:11">
      <c r="C10980" s="11"/>
      <c r="K10980" s="11"/>
    </row>
    <row r="10981" spans="3:11">
      <c r="C10981" s="11"/>
      <c r="K10981" s="11"/>
    </row>
    <row r="10982" spans="3:11">
      <c r="C10982" s="11"/>
      <c r="K10982" s="11"/>
    </row>
    <row r="10983" spans="3:11">
      <c r="C10983" s="11"/>
      <c r="K10983" s="11"/>
    </row>
    <row r="10984" spans="3:11">
      <c r="C10984" s="11"/>
      <c r="K10984" s="11"/>
    </row>
    <row r="10985" spans="3:11">
      <c r="C10985" s="11"/>
      <c r="K10985" s="11"/>
    </row>
    <row r="10986" spans="3:11">
      <c r="C10986" s="11"/>
      <c r="K10986" s="11"/>
    </row>
    <row r="10987" spans="3:11">
      <c r="C10987" s="11"/>
      <c r="K10987" s="11"/>
    </row>
    <row r="10988" spans="3:11">
      <c r="C10988" s="11"/>
      <c r="K10988" s="11"/>
    </row>
    <row r="10989" spans="3:11">
      <c r="C10989" s="11"/>
      <c r="K10989" s="11"/>
    </row>
    <row r="10990" spans="3:11">
      <c r="C10990" s="11"/>
      <c r="K10990" s="11"/>
    </row>
    <row r="10991" spans="3:11">
      <c r="C10991" s="11"/>
      <c r="K10991" s="11"/>
    </row>
    <row r="10992" spans="3:11">
      <c r="C10992" s="11"/>
      <c r="K10992" s="11"/>
    </row>
    <row r="10993" spans="3:11">
      <c r="C10993" s="11"/>
      <c r="K10993" s="11"/>
    </row>
    <row r="10994" spans="3:11">
      <c r="C10994" s="11"/>
      <c r="K10994" s="11"/>
    </row>
    <row r="10995" spans="3:11">
      <c r="C10995" s="11"/>
      <c r="K10995" s="11"/>
    </row>
    <row r="10996" spans="3:11">
      <c r="C10996" s="11"/>
      <c r="K10996" s="11"/>
    </row>
    <row r="10997" spans="3:11">
      <c r="C10997" s="11"/>
      <c r="K10997" s="11"/>
    </row>
    <row r="10998" spans="3:11">
      <c r="C10998" s="11"/>
      <c r="K10998" s="11"/>
    </row>
    <row r="10999" spans="3:11">
      <c r="C10999" s="11"/>
      <c r="K10999" s="11"/>
    </row>
    <row r="11000" spans="3:11">
      <c r="C11000" s="11"/>
      <c r="K11000" s="11"/>
    </row>
    <row r="11001" spans="3:11">
      <c r="C11001" s="11"/>
      <c r="K11001" s="11"/>
    </row>
    <row r="11002" spans="3:11">
      <c r="C11002" s="11"/>
      <c r="K11002" s="11"/>
    </row>
    <row r="11003" spans="3:11">
      <c r="C11003" s="11"/>
      <c r="K11003" s="11"/>
    </row>
    <row r="11004" spans="3:11">
      <c r="C11004" s="11"/>
      <c r="K11004" s="11"/>
    </row>
    <row r="11005" spans="3:11">
      <c r="C11005" s="11"/>
      <c r="K11005" s="11"/>
    </row>
    <row r="11006" spans="3:11">
      <c r="C11006" s="11"/>
      <c r="K11006" s="11"/>
    </row>
    <row r="11007" spans="3:11">
      <c r="C11007" s="11"/>
      <c r="K11007" s="11"/>
    </row>
    <row r="11008" spans="3:11">
      <c r="C11008" s="11"/>
      <c r="K11008" s="11"/>
    </row>
    <row r="11009" spans="3:11">
      <c r="C11009" s="11"/>
      <c r="K11009" s="11"/>
    </row>
    <row r="11010" spans="3:11">
      <c r="C11010" s="11"/>
      <c r="K11010" s="11"/>
    </row>
    <row r="11011" spans="3:11">
      <c r="C11011" s="11"/>
      <c r="K11011" s="11"/>
    </row>
    <row r="11012" spans="3:11">
      <c r="C11012" s="11"/>
      <c r="K11012" s="11"/>
    </row>
    <row r="11013" spans="3:11">
      <c r="C11013" s="11"/>
      <c r="K11013" s="11"/>
    </row>
    <row r="11014" spans="3:11">
      <c r="C11014" s="11"/>
      <c r="K11014" s="11"/>
    </row>
    <row r="11015" spans="3:11">
      <c r="C11015" s="11"/>
      <c r="K11015" s="11"/>
    </row>
    <row r="11016" spans="3:11">
      <c r="C11016" s="11"/>
      <c r="K11016" s="11"/>
    </row>
    <row r="11017" spans="3:11">
      <c r="C11017" s="11"/>
      <c r="K11017" s="11"/>
    </row>
    <row r="11018" spans="3:11">
      <c r="C11018" s="11"/>
      <c r="K11018" s="11"/>
    </row>
    <row r="11019" spans="3:11">
      <c r="C11019" s="11"/>
      <c r="K11019" s="11"/>
    </row>
    <row r="11020" spans="3:11">
      <c r="C11020" s="11"/>
      <c r="K11020" s="11"/>
    </row>
    <row r="11021" spans="3:11">
      <c r="C11021" s="11"/>
      <c r="K11021" s="11"/>
    </row>
    <row r="11022" spans="3:11">
      <c r="C11022" s="11"/>
      <c r="K11022" s="11"/>
    </row>
    <row r="11023" spans="3:11">
      <c r="C11023" s="11"/>
      <c r="K11023" s="11"/>
    </row>
    <row r="11024" spans="3:11">
      <c r="C11024" s="11"/>
      <c r="K11024" s="11"/>
    </row>
    <row r="11025" spans="3:11">
      <c r="C11025" s="11"/>
      <c r="K11025" s="11"/>
    </row>
    <row r="11026" spans="3:11">
      <c r="C11026" s="11"/>
      <c r="K11026" s="11"/>
    </row>
    <row r="11027" spans="3:11">
      <c r="C11027" s="11"/>
      <c r="K11027" s="11"/>
    </row>
    <row r="11028" spans="3:11">
      <c r="C11028" s="11"/>
      <c r="K11028" s="11"/>
    </row>
    <row r="11029" spans="3:11">
      <c r="C11029" s="11"/>
      <c r="K11029" s="11"/>
    </row>
    <row r="11030" spans="3:11">
      <c r="C11030" s="11"/>
      <c r="K11030" s="11"/>
    </row>
    <row r="11031" spans="3:11">
      <c r="C11031" s="11"/>
      <c r="K11031" s="11"/>
    </row>
    <row r="11032" spans="3:11">
      <c r="C11032" s="11"/>
      <c r="K11032" s="11"/>
    </row>
    <row r="11033" spans="3:11">
      <c r="C11033" s="11"/>
      <c r="K11033" s="11"/>
    </row>
    <row r="11034" spans="3:11">
      <c r="C11034" s="11"/>
      <c r="K11034" s="11"/>
    </row>
    <row r="11035" spans="3:11">
      <c r="C11035" s="11"/>
      <c r="K11035" s="11"/>
    </row>
    <row r="11036" spans="3:11">
      <c r="C11036" s="11"/>
      <c r="K11036" s="11"/>
    </row>
    <row r="11037" spans="3:11">
      <c r="C11037" s="11"/>
      <c r="K11037" s="11"/>
    </row>
    <row r="11038" spans="3:11">
      <c r="C11038" s="11"/>
      <c r="K11038" s="11"/>
    </row>
    <row r="11039" spans="3:11">
      <c r="C11039" s="11"/>
      <c r="K11039" s="11"/>
    </row>
    <row r="11040" spans="3:11">
      <c r="C11040" s="11"/>
      <c r="K11040" s="11"/>
    </row>
    <row r="11041" spans="3:11">
      <c r="C11041" s="11"/>
      <c r="K11041" s="11"/>
    </row>
    <row r="11042" spans="3:11">
      <c r="C11042" s="11"/>
      <c r="K11042" s="11"/>
    </row>
    <row r="11043" spans="3:11">
      <c r="C11043" s="11"/>
      <c r="K11043" s="11"/>
    </row>
    <row r="11044" spans="3:11">
      <c r="C11044" s="11"/>
      <c r="K11044" s="11"/>
    </row>
    <row r="11045" spans="3:11">
      <c r="C11045" s="11"/>
      <c r="K11045" s="11"/>
    </row>
    <row r="11046" spans="3:11">
      <c r="C11046" s="11"/>
      <c r="K11046" s="11"/>
    </row>
    <row r="11047" spans="3:11">
      <c r="C11047" s="11"/>
      <c r="K11047" s="11"/>
    </row>
    <row r="11048" spans="3:11">
      <c r="C11048" s="11"/>
      <c r="K11048" s="11"/>
    </row>
    <row r="11049" spans="3:11">
      <c r="C11049" s="11"/>
      <c r="K11049" s="11"/>
    </row>
    <row r="11050" spans="3:11">
      <c r="C11050" s="11"/>
      <c r="K11050" s="11"/>
    </row>
    <row r="11051" spans="3:11">
      <c r="C11051" s="11"/>
      <c r="K11051" s="11"/>
    </row>
    <row r="11052" spans="3:11">
      <c r="C11052" s="11"/>
      <c r="K11052" s="11"/>
    </row>
    <row r="11053" spans="3:11">
      <c r="C11053" s="11"/>
      <c r="K11053" s="11"/>
    </row>
    <row r="11054" spans="3:11">
      <c r="C11054" s="11"/>
      <c r="K11054" s="11"/>
    </row>
    <row r="11055" spans="3:11">
      <c r="C11055" s="11"/>
      <c r="K11055" s="11"/>
    </row>
    <row r="11056" spans="3:11">
      <c r="C11056" s="11"/>
      <c r="K11056" s="11"/>
    </row>
    <row r="11057" spans="3:11">
      <c r="C11057" s="11"/>
      <c r="K11057" s="11"/>
    </row>
    <row r="11058" spans="3:11">
      <c r="C11058" s="11"/>
      <c r="K11058" s="11"/>
    </row>
    <row r="11059" spans="3:11">
      <c r="C11059" s="11"/>
      <c r="K11059" s="11"/>
    </row>
    <row r="11060" spans="3:11">
      <c r="C11060" s="11"/>
      <c r="K11060" s="11"/>
    </row>
    <row r="11061" spans="3:11">
      <c r="C11061" s="11"/>
      <c r="K11061" s="11"/>
    </row>
    <row r="11062" spans="3:11">
      <c r="C11062" s="11"/>
      <c r="K11062" s="11"/>
    </row>
    <row r="11063" spans="3:11">
      <c r="C11063" s="11"/>
      <c r="K11063" s="11"/>
    </row>
    <row r="11064" spans="3:11">
      <c r="C11064" s="11"/>
      <c r="K11064" s="11"/>
    </row>
    <row r="11065" spans="3:11">
      <c r="C11065" s="11"/>
      <c r="K11065" s="11"/>
    </row>
    <row r="11066" spans="3:11">
      <c r="C11066" s="11"/>
      <c r="K11066" s="11"/>
    </row>
    <row r="11067" spans="3:11">
      <c r="C11067" s="11"/>
      <c r="K11067" s="11"/>
    </row>
    <row r="11068" spans="3:11">
      <c r="C11068" s="11"/>
      <c r="K11068" s="11"/>
    </row>
    <row r="11069" spans="3:11">
      <c r="C11069" s="11"/>
      <c r="K11069" s="11"/>
    </row>
    <row r="11070" spans="3:11">
      <c r="C11070" s="11"/>
      <c r="K11070" s="11"/>
    </row>
    <row r="11071" spans="3:11">
      <c r="C11071" s="11"/>
      <c r="K11071" s="11"/>
    </row>
    <row r="11072" spans="3:11">
      <c r="C11072" s="11"/>
      <c r="K11072" s="11"/>
    </row>
    <row r="11073" spans="3:11">
      <c r="C11073" s="11"/>
      <c r="K11073" s="11"/>
    </row>
    <row r="11074" spans="3:11">
      <c r="C11074" s="11"/>
      <c r="K11074" s="11"/>
    </row>
    <row r="11075" spans="3:11">
      <c r="C11075" s="11"/>
      <c r="K11075" s="11"/>
    </row>
    <row r="11076" spans="3:11">
      <c r="C11076" s="11"/>
      <c r="K11076" s="11"/>
    </row>
    <row r="11077" spans="3:11">
      <c r="C11077" s="11"/>
      <c r="K11077" s="11"/>
    </row>
    <row r="11078" spans="3:11">
      <c r="C11078" s="11"/>
      <c r="K11078" s="11"/>
    </row>
    <row r="11079" spans="3:11">
      <c r="C11079" s="11"/>
      <c r="K11079" s="11"/>
    </row>
    <row r="11080" spans="3:11">
      <c r="C11080" s="11"/>
      <c r="K11080" s="11"/>
    </row>
    <row r="11081" spans="3:11">
      <c r="C11081" s="11"/>
      <c r="K11081" s="11"/>
    </row>
    <row r="11082" spans="3:11">
      <c r="C11082" s="11"/>
      <c r="K11082" s="11"/>
    </row>
    <row r="11083" spans="3:11">
      <c r="C11083" s="11"/>
      <c r="K11083" s="11"/>
    </row>
    <row r="11084" spans="3:11">
      <c r="C11084" s="11"/>
      <c r="K11084" s="11"/>
    </row>
    <row r="11085" spans="3:11">
      <c r="C11085" s="11"/>
      <c r="K11085" s="11"/>
    </row>
    <row r="11086" spans="3:11">
      <c r="C11086" s="11"/>
      <c r="K11086" s="11"/>
    </row>
    <row r="11087" spans="3:11">
      <c r="C11087" s="11"/>
      <c r="K11087" s="11"/>
    </row>
    <row r="11088" spans="3:11">
      <c r="C11088" s="11"/>
      <c r="K11088" s="11"/>
    </row>
    <row r="11089" spans="3:11">
      <c r="C11089" s="11"/>
      <c r="K11089" s="11"/>
    </row>
    <row r="11090" spans="3:11">
      <c r="C11090" s="11"/>
      <c r="K11090" s="11"/>
    </row>
    <row r="11091" spans="3:11">
      <c r="C11091" s="11"/>
      <c r="K11091" s="11"/>
    </row>
    <row r="11092" spans="3:11">
      <c r="C11092" s="11"/>
      <c r="K11092" s="11"/>
    </row>
    <row r="11093" spans="3:11">
      <c r="C11093" s="11"/>
      <c r="K11093" s="11"/>
    </row>
    <row r="11094" spans="3:11">
      <c r="C11094" s="11"/>
      <c r="K11094" s="11"/>
    </row>
    <row r="11095" spans="3:11">
      <c r="C11095" s="11"/>
      <c r="K11095" s="11"/>
    </row>
    <row r="11096" spans="3:11">
      <c r="C11096" s="11"/>
      <c r="K11096" s="11"/>
    </row>
    <row r="11097" spans="3:11">
      <c r="C11097" s="11"/>
      <c r="K11097" s="11"/>
    </row>
    <row r="11098" spans="3:11">
      <c r="C11098" s="11"/>
      <c r="K11098" s="11"/>
    </row>
    <row r="11099" spans="3:11">
      <c r="C11099" s="11"/>
      <c r="K11099" s="11"/>
    </row>
    <row r="11100" spans="3:11">
      <c r="C11100" s="11"/>
      <c r="K11100" s="11"/>
    </row>
    <row r="11101" spans="3:11">
      <c r="C11101" s="11"/>
      <c r="K11101" s="11"/>
    </row>
    <row r="11102" spans="3:11">
      <c r="C11102" s="11"/>
      <c r="K11102" s="11"/>
    </row>
    <row r="11103" spans="3:11">
      <c r="C11103" s="11"/>
      <c r="K11103" s="11"/>
    </row>
    <row r="11104" spans="3:11">
      <c r="C11104" s="11"/>
      <c r="K11104" s="11"/>
    </row>
    <row r="11105" spans="3:11">
      <c r="C11105" s="11"/>
      <c r="K11105" s="11"/>
    </row>
    <row r="11106" spans="3:11">
      <c r="C11106" s="11"/>
      <c r="K11106" s="11"/>
    </row>
    <row r="11107" spans="3:11">
      <c r="C11107" s="11"/>
      <c r="K11107" s="11"/>
    </row>
    <row r="11108" spans="3:11">
      <c r="C11108" s="11"/>
      <c r="K11108" s="11"/>
    </row>
    <row r="11109" spans="3:11">
      <c r="C11109" s="11"/>
      <c r="K11109" s="11"/>
    </row>
    <row r="11110" spans="3:11">
      <c r="C11110" s="11"/>
      <c r="K11110" s="11"/>
    </row>
    <row r="11111" spans="3:11">
      <c r="C11111" s="11"/>
      <c r="K11111" s="11"/>
    </row>
    <row r="11112" spans="3:11">
      <c r="C11112" s="11"/>
      <c r="K11112" s="11"/>
    </row>
    <row r="11113" spans="3:11">
      <c r="C11113" s="11"/>
      <c r="K11113" s="11"/>
    </row>
    <row r="11114" spans="3:11">
      <c r="C11114" s="11"/>
      <c r="K11114" s="11"/>
    </row>
    <row r="11115" spans="3:11">
      <c r="C11115" s="11"/>
      <c r="K11115" s="11"/>
    </row>
    <row r="11116" spans="3:11">
      <c r="C11116" s="11"/>
      <c r="K11116" s="11"/>
    </row>
    <row r="11117" spans="3:11">
      <c r="C11117" s="11"/>
      <c r="K11117" s="11"/>
    </row>
    <row r="11118" spans="3:11">
      <c r="C11118" s="11"/>
      <c r="K11118" s="11"/>
    </row>
    <row r="11119" spans="3:11">
      <c r="C11119" s="11"/>
      <c r="K11119" s="11"/>
    </row>
    <row r="11120" spans="3:11">
      <c r="C11120" s="11"/>
      <c r="K11120" s="11"/>
    </row>
    <row r="11121" spans="3:11">
      <c r="C11121" s="11"/>
      <c r="K11121" s="11"/>
    </row>
    <row r="11122" spans="3:11">
      <c r="C11122" s="11"/>
      <c r="K11122" s="11"/>
    </row>
    <row r="11123" spans="3:11">
      <c r="C11123" s="11"/>
      <c r="K11123" s="11"/>
    </row>
    <row r="11124" spans="3:11">
      <c r="C11124" s="11"/>
      <c r="K11124" s="11"/>
    </row>
    <row r="11125" spans="3:11">
      <c r="C11125" s="11"/>
      <c r="K11125" s="11"/>
    </row>
    <row r="11126" spans="3:11">
      <c r="C11126" s="11"/>
      <c r="K11126" s="11"/>
    </row>
    <row r="11127" spans="3:11">
      <c r="C11127" s="11"/>
      <c r="K11127" s="11"/>
    </row>
    <row r="11128" spans="3:11">
      <c r="C11128" s="11"/>
      <c r="K11128" s="11"/>
    </row>
    <row r="11129" spans="3:11">
      <c r="C11129" s="11"/>
      <c r="K11129" s="11"/>
    </row>
    <row r="11130" spans="3:11">
      <c r="C11130" s="11"/>
      <c r="K11130" s="11"/>
    </row>
    <row r="11131" spans="3:11">
      <c r="C11131" s="11"/>
      <c r="K11131" s="11"/>
    </row>
    <row r="11132" spans="3:11">
      <c r="C11132" s="11"/>
      <c r="K11132" s="11"/>
    </row>
    <row r="11133" spans="3:11">
      <c r="C11133" s="11"/>
      <c r="K11133" s="11"/>
    </row>
    <row r="11134" spans="3:11">
      <c r="C11134" s="11"/>
      <c r="K11134" s="11"/>
    </row>
    <row r="11135" spans="3:11">
      <c r="C11135" s="11"/>
      <c r="K11135" s="11"/>
    </row>
    <row r="11136" spans="3:11">
      <c r="C11136" s="11"/>
      <c r="K11136" s="11"/>
    </row>
    <row r="11137" spans="3:11">
      <c r="C11137" s="11"/>
      <c r="K11137" s="11"/>
    </row>
    <row r="11138" spans="3:11">
      <c r="C11138" s="11"/>
      <c r="K11138" s="11"/>
    </row>
    <row r="11139" spans="3:11">
      <c r="C11139" s="11"/>
      <c r="K11139" s="11"/>
    </row>
    <row r="11140" spans="3:11">
      <c r="C11140" s="11"/>
      <c r="K11140" s="11"/>
    </row>
    <row r="11141" spans="3:11">
      <c r="C11141" s="11"/>
      <c r="K11141" s="11"/>
    </row>
    <row r="11142" spans="3:11">
      <c r="C11142" s="11"/>
      <c r="K11142" s="11"/>
    </row>
    <row r="11143" spans="3:11">
      <c r="C11143" s="11"/>
      <c r="K11143" s="11"/>
    </row>
    <row r="11144" spans="3:11">
      <c r="C11144" s="11"/>
      <c r="K11144" s="11"/>
    </row>
    <row r="11145" spans="3:11">
      <c r="C11145" s="11"/>
      <c r="K11145" s="11"/>
    </row>
    <row r="11146" spans="3:11">
      <c r="C11146" s="11"/>
      <c r="K11146" s="11"/>
    </row>
    <row r="11147" spans="3:11">
      <c r="C11147" s="11"/>
      <c r="K11147" s="11"/>
    </row>
    <row r="11148" spans="3:11">
      <c r="C11148" s="11"/>
      <c r="K11148" s="11"/>
    </row>
    <row r="11149" spans="3:11">
      <c r="C11149" s="11"/>
      <c r="K11149" s="11"/>
    </row>
    <row r="11150" spans="3:11">
      <c r="C11150" s="11"/>
      <c r="K11150" s="11"/>
    </row>
    <row r="11151" spans="3:11">
      <c r="C11151" s="11"/>
      <c r="K11151" s="11"/>
    </row>
    <row r="11152" spans="3:11">
      <c r="C11152" s="11"/>
      <c r="K11152" s="11"/>
    </row>
    <row r="11153" spans="3:11">
      <c r="C11153" s="11"/>
      <c r="K11153" s="11"/>
    </row>
    <row r="11154" spans="3:11">
      <c r="C11154" s="11"/>
      <c r="K11154" s="11"/>
    </row>
    <row r="11155" spans="3:11">
      <c r="C11155" s="11"/>
      <c r="K11155" s="11"/>
    </row>
    <row r="11156" spans="3:11">
      <c r="C11156" s="11"/>
      <c r="K11156" s="11"/>
    </row>
    <row r="11157" spans="3:11">
      <c r="C11157" s="11"/>
      <c r="K11157" s="11"/>
    </row>
    <row r="11158" spans="3:11">
      <c r="C11158" s="11"/>
      <c r="K11158" s="11"/>
    </row>
    <row r="11159" spans="3:11">
      <c r="C11159" s="11"/>
      <c r="K11159" s="11"/>
    </row>
    <row r="11160" spans="3:11">
      <c r="C11160" s="11"/>
      <c r="K11160" s="11"/>
    </row>
    <row r="11161" spans="3:11">
      <c r="C11161" s="11"/>
      <c r="K11161" s="11"/>
    </row>
    <row r="11162" spans="3:11">
      <c r="C11162" s="11"/>
      <c r="K11162" s="11"/>
    </row>
    <row r="11163" spans="3:11">
      <c r="C11163" s="11"/>
      <c r="K11163" s="11"/>
    </row>
    <row r="11164" spans="3:11">
      <c r="C11164" s="11"/>
      <c r="K11164" s="11"/>
    </row>
    <row r="11165" spans="3:11">
      <c r="C11165" s="11"/>
      <c r="K11165" s="11"/>
    </row>
    <row r="11166" spans="3:11">
      <c r="C11166" s="11"/>
      <c r="K11166" s="11"/>
    </row>
    <row r="11167" spans="3:11">
      <c r="C11167" s="11"/>
      <c r="K11167" s="11"/>
    </row>
    <row r="11168" spans="3:11">
      <c r="C11168" s="11"/>
      <c r="K11168" s="11"/>
    </row>
    <row r="11169" spans="3:11">
      <c r="C11169" s="11"/>
      <c r="K11169" s="11"/>
    </row>
    <row r="11170" spans="3:11">
      <c r="C11170" s="11"/>
      <c r="K11170" s="11"/>
    </row>
    <row r="11171" spans="3:11">
      <c r="C11171" s="11"/>
      <c r="K11171" s="11"/>
    </row>
    <row r="11172" spans="3:11">
      <c r="C11172" s="11"/>
      <c r="K11172" s="11"/>
    </row>
    <row r="11173" spans="3:11">
      <c r="C11173" s="11"/>
      <c r="K11173" s="11"/>
    </row>
    <row r="11174" spans="3:11">
      <c r="C11174" s="11"/>
      <c r="K11174" s="11"/>
    </row>
    <row r="11175" spans="3:11">
      <c r="C11175" s="11"/>
      <c r="K11175" s="11"/>
    </row>
    <row r="11176" spans="3:11">
      <c r="C11176" s="11"/>
      <c r="K11176" s="11"/>
    </row>
    <row r="11177" spans="3:11">
      <c r="C11177" s="11"/>
      <c r="K11177" s="11"/>
    </row>
    <row r="11178" spans="3:11">
      <c r="C11178" s="11"/>
      <c r="K11178" s="11"/>
    </row>
    <row r="11179" spans="3:11">
      <c r="C11179" s="11"/>
      <c r="K11179" s="11"/>
    </row>
    <row r="11180" spans="3:11">
      <c r="C11180" s="11"/>
      <c r="K11180" s="11"/>
    </row>
    <row r="11181" spans="3:11">
      <c r="C11181" s="11"/>
      <c r="K11181" s="11"/>
    </row>
    <row r="11182" spans="3:11">
      <c r="C11182" s="11"/>
      <c r="K11182" s="11"/>
    </row>
    <row r="11183" spans="3:11">
      <c r="C11183" s="11"/>
      <c r="K11183" s="11"/>
    </row>
    <row r="11184" spans="3:11">
      <c r="C11184" s="11"/>
      <c r="K11184" s="11"/>
    </row>
    <row r="11185" spans="3:11">
      <c r="C11185" s="11"/>
      <c r="K11185" s="11"/>
    </row>
    <row r="11186" spans="3:11">
      <c r="C11186" s="11"/>
      <c r="K11186" s="11"/>
    </row>
    <row r="11187" spans="3:11">
      <c r="C11187" s="11"/>
      <c r="K11187" s="11"/>
    </row>
    <row r="11188" spans="3:11">
      <c r="C11188" s="11"/>
      <c r="K11188" s="11"/>
    </row>
    <row r="11189" spans="3:11">
      <c r="C11189" s="11"/>
      <c r="K11189" s="11"/>
    </row>
    <row r="11190" spans="3:11">
      <c r="C11190" s="11"/>
      <c r="K11190" s="11"/>
    </row>
    <row r="11191" spans="3:11">
      <c r="C11191" s="11"/>
      <c r="K11191" s="11"/>
    </row>
    <row r="11192" spans="3:11">
      <c r="C11192" s="11"/>
      <c r="K11192" s="11"/>
    </row>
    <row r="11193" spans="3:11">
      <c r="C11193" s="11"/>
      <c r="K11193" s="11"/>
    </row>
    <row r="11194" spans="3:11">
      <c r="C11194" s="11"/>
      <c r="K11194" s="11"/>
    </row>
    <row r="11195" spans="3:11">
      <c r="C11195" s="11"/>
      <c r="K11195" s="11"/>
    </row>
    <row r="11196" spans="3:11">
      <c r="C11196" s="11"/>
      <c r="K11196" s="11"/>
    </row>
    <row r="11197" spans="3:11">
      <c r="C11197" s="11"/>
      <c r="K11197" s="11"/>
    </row>
    <row r="11198" spans="3:11">
      <c r="C11198" s="11"/>
      <c r="K11198" s="11"/>
    </row>
    <row r="11199" spans="3:11">
      <c r="C11199" s="11"/>
      <c r="K11199" s="11"/>
    </row>
    <row r="11200" spans="3:11">
      <c r="C11200" s="11"/>
      <c r="K11200" s="11"/>
    </row>
    <row r="11201" spans="3:11">
      <c r="C11201" s="11"/>
      <c r="K11201" s="11"/>
    </row>
    <row r="11202" spans="3:11">
      <c r="C11202" s="11"/>
      <c r="K11202" s="11"/>
    </row>
    <row r="11203" spans="3:11">
      <c r="C11203" s="11"/>
      <c r="K11203" s="11"/>
    </row>
    <row r="11204" spans="3:11">
      <c r="C11204" s="11"/>
      <c r="K11204" s="11"/>
    </row>
    <row r="11205" spans="3:11">
      <c r="C11205" s="11"/>
      <c r="K11205" s="11"/>
    </row>
    <row r="11206" spans="3:11">
      <c r="C11206" s="11"/>
      <c r="K11206" s="11"/>
    </row>
    <row r="11207" spans="3:11">
      <c r="C11207" s="11"/>
      <c r="K11207" s="11"/>
    </row>
    <row r="11208" spans="3:11">
      <c r="C11208" s="11"/>
      <c r="K11208" s="11"/>
    </row>
    <row r="11209" spans="3:11">
      <c r="C11209" s="11"/>
      <c r="K11209" s="11"/>
    </row>
    <row r="11210" spans="3:11">
      <c r="C11210" s="11"/>
      <c r="K11210" s="11"/>
    </row>
    <row r="11211" spans="3:11">
      <c r="C11211" s="11"/>
      <c r="K11211" s="11"/>
    </row>
    <row r="11212" spans="3:11">
      <c r="C11212" s="11"/>
      <c r="K11212" s="11"/>
    </row>
    <row r="11213" spans="3:11">
      <c r="C11213" s="11"/>
      <c r="K11213" s="11"/>
    </row>
    <row r="11214" spans="3:11">
      <c r="C11214" s="11"/>
      <c r="K11214" s="11"/>
    </row>
    <row r="11215" spans="3:11">
      <c r="C11215" s="11"/>
      <c r="K11215" s="11"/>
    </row>
    <row r="11216" spans="3:11">
      <c r="C11216" s="11"/>
      <c r="K11216" s="11"/>
    </row>
    <row r="11217" spans="3:11">
      <c r="C11217" s="11"/>
      <c r="K11217" s="11"/>
    </row>
    <row r="11218" spans="3:11">
      <c r="C11218" s="11"/>
      <c r="K11218" s="11"/>
    </row>
    <row r="11219" spans="3:11">
      <c r="C11219" s="11"/>
      <c r="K11219" s="11"/>
    </row>
    <row r="11220" spans="3:11">
      <c r="C11220" s="11"/>
      <c r="K11220" s="11"/>
    </row>
    <row r="11221" spans="3:11">
      <c r="C11221" s="11"/>
      <c r="K11221" s="11"/>
    </row>
    <row r="11222" spans="3:11">
      <c r="C11222" s="11"/>
      <c r="K11222" s="11"/>
    </row>
    <row r="11223" spans="3:11">
      <c r="C11223" s="11"/>
      <c r="K11223" s="11"/>
    </row>
    <row r="11224" spans="3:11">
      <c r="C11224" s="11"/>
      <c r="K11224" s="11"/>
    </row>
    <row r="11225" spans="3:11">
      <c r="C11225" s="11"/>
      <c r="K11225" s="11"/>
    </row>
    <row r="11226" spans="3:11">
      <c r="C11226" s="11"/>
      <c r="K11226" s="11"/>
    </row>
    <row r="11227" spans="3:11">
      <c r="C11227" s="11"/>
      <c r="K11227" s="11"/>
    </row>
    <row r="11228" spans="3:11">
      <c r="C11228" s="11"/>
      <c r="K11228" s="11"/>
    </row>
    <row r="11229" spans="3:11">
      <c r="C11229" s="11"/>
      <c r="K11229" s="11"/>
    </row>
    <row r="11230" spans="3:11">
      <c r="C11230" s="11"/>
      <c r="K11230" s="11"/>
    </row>
    <row r="11231" spans="3:11">
      <c r="C11231" s="11"/>
      <c r="K11231" s="11"/>
    </row>
    <row r="11232" spans="3:11">
      <c r="C11232" s="11"/>
      <c r="K11232" s="11"/>
    </row>
    <row r="11233" spans="3:11">
      <c r="C11233" s="11"/>
      <c r="K11233" s="11"/>
    </row>
    <row r="11234" spans="3:11">
      <c r="C11234" s="11"/>
      <c r="K11234" s="11"/>
    </row>
    <row r="11235" spans="3:11">
      <c r="C11235" s="11"/>
      <c r="K11235" s="11"/>
    </row>
    <row r="11236" spans="3:11">
      <c r="C11236" s="11"/>
      <c r="K11236" s="11"/>
    </row>
    <row r="11237" spans="3:11">
      <c r="C11237" s="11"/>
      <c r="K11237" s="11"/>
    </row>
    <row r="11238" spans="3:11">
      <c r="C11238" s="11"/>
      <c r="K11238" s="11"/>
    </row>
    <row r="11239" spans="3:11">
      <c r="C11239" s="11"/>
      <c r="K11239" s="11"/>
    </row>
    <row r="11240" spans="3:11">
      <c r="C11240" s="11"/>
      <c r="K11240" s="11"/>
    </row>
    <row r="11241" spans="3:11">
      <c r="C11241" s="11"/>
      <c r="K11241" s="11"/>
    </row>
    <row r="11242" spans="3:11">
      <c r="C11242" s="11"/>
      <c r="K11242" s="11"/>
    </row>
    <row r="11243" spans="3:11">
      <c r="C11243" s="11"/>
      <c r="K11243" s="11"/>
    </row>
    <row r="11244" spans="3:11">
      <c r="C11244" s="11"/>
      <c r="K11244" s="11"/>
    </row>
    <row r="11245" spans="3:11">
      <c r="C11245" s="11"/>
      <c r="K11245" s="11"/>
    </row>
    <row r="11246" spans="3:11">
      <c r="C11246" s="11"/>
      <c r="K11246" s="11"/>
    </row>
    <row r="11247" spans="3:11">
      <c r="C11247" s="11"/>
      <c r="K11247" s="11"/>
    </row>
    <row r="11248" spans="3:11">
      <c r="C11248" s="11"/>
      <c r="K11248" s="11"/>
    </row>
    <row r="11249" spans="3:11">
      <c r="C11249" s="11"/>
      <c r="K11249" s="11"/>
    </row>
    <row r="11250" spans="3:11">
      <c r="C11250" s="11"/>
      <c r="K11250" s="11"/>
    </row>
    <row r="11251" spans="3:11">
      <c r="C11251" s="11"/>
      <c r="K11251" s="11"/>
    </row>
    <row r="11252" spans="3:11">
      <c r="C11252" s="11"/>
      <c r="K11252" s="11"/>
    </row>
    <row r="11253" spans="3:11">
      <c r="C11253" s="11"/>
      <c r="K11253" s="11"/>
    </row>
    <row r="11254" spans="3:11">
      <c r="C11254" s="11"/>
      <c r="K11254" s="11"/>
    </row>
    <row r="11255" spans="3:11">
      <c r="C11255" s="11"/>
      <c r="K11255" s="11"/>
    </row>
    <row r="11256" spans="3:11">
      <c r="C11256" s="11"/>
      <c r="K11256" s="11"/>
    </row>
    <row r="11257" spans="3:11">
      <c r="C11257" s="11"/>
      <c r="K11257" s="11"/>
    </row>
    <row r="11258" spans="3:11">
      <c r="C11258" s="11"/>
      <c r="K11258" s="11"/>
    </row>
    <row r="11259" spans="3:11">
      <c r="C11259" s="11"/>
      <c r="K11259" s="11"/>
    </row>
    <row r="11260" spans="3:11">
      <c r="C11260" s="11"/>
      <c r="K11260" s="11"/>
    </row>
    <row r="11261" spans="3:11">
      <c r="C11261" s="11"/>
      <c r="K11261" s="11"/>
    </row>
    <row r="11262" spans="3:11">
      <c r="C11262" s="11"/>
      <c r="K11262" s="11"/>
    </row>
    <row r="11263" spans="3:11">
      <c r="C11263" s="11"/>
      <c r="K11263" s="11"/>
    </row>
    <row r="11264" spans="3:11">
      <c r="C11264" s="11"/>
      <c r="K11264" s="11"/>
    </row>
    <row r="11265" spans="3:11">
      <c r="C11265" s="11"/>
      <c r="K11265" s="11"/>
    </row>
    <row r="11266" spans="3:11">
      <c r="C11266" s="11"/>
      <c r="K11266" s="11"/>
    </row>
    <row r="11267" spans="3:11">
      <c r="C11267" s="11"/>
      <c r="K11267" s="11"/>
    </row>
    <row r="11268" spans="3:11">
      <c r="C11268" s="11"/>
      <c r="K11268" s="11"/>
    </row>
    <row r="11269" spans="3:11">
      <c r="C11269" s="11"/>
      <c r="K11269" s="11"/>
    </row>
    <row r="11270" spans="3:11">
      <c r="C11270" s="11"/>
      <c r="K11270" s="11"/>
    </row>
    <row r="11271" spans="3:11">
      <c r="C11271" s="11"/>
      <c r="K11271" s="11"/>
    </row>
    <row r="11272" spans="3:11">
      <c r="C11272" s="11"/>
      <c r="K11272" s="11"/>
    </row>
    <row r="11273" spans="3:11">
      <c r="C11273" s="11"/>
      <c r="K11273" s="11"/>
    </row>
    <row r="11274" spans="3:11">
      <c r="C11274" s="11"/>
      <c r="K11274" s="11"/>
    </row>
    <row r="11275" spans="3:11">
      <c r="C11275" s="11"/>
      <c r="K11275" s="11"/>
    </row>
    <row r="11276" spans="3:11">
      <c r="C11276" s="11"/>
      <c r="K11276" s="11"/>
    </row>
    <row r="11277" spans="3:11">
      <c r="C11277" s="11"/>
      <c r="K11277" s="11"/>
    </row>
    <row r="11278" spans="3:11">
      <c r="C11278" s="11"/>
      <c r="K11278" s="11"/>
    </row>
    <row r="11279" spans="3:11">
      <c r="C11279" s="11"/>
      <c r="K11279" s="11"/>
    </row>
    <row r="11280" spans="3:11">
      <c r="C11280" s="11"/>
      <c r="K11280" s="11"/>
    </row>
    <row r="11281" spans="3:11">
      <c r="C11281" s="11"/>
      <c r="K11281" s="11"/>
    </row>
    <row r="11282" spans="3:11">
      <c r="C11282" s="11"/>
      <c r="K11282" s="11"/>
    </row>
    <row r="11283" spans="3:11">
      <c r="C11283" s="11"/>
      <c r="K11283" s="11"/>
    </row>
    <row r="11284" spans="3:11">
      <c r="C11284" s="11"/>
      <c r="K11284" s="11"/>
    </row>
    <row r="11285" spans="3:11">
      <c r="C11285" s="11"/>
      <c r="K11285" s="11"/>
    </row>
    <row r="11286" spans="3:11">
      <c r="C11286" s="11"/>
      <c r="K11286" s="11"/>
    </row>
    <row r="11287" spans="3:11">
      <c r="C11287" s="11"/>
      <c r="K11287" s="11"/>
    </row>
    <row r="11288" spans="3:11">
      <c r="C11288" s="11"/>
      <c r="K11288" s="11"/>
    </row>
    <row r="11289" spans="3:11">
      <c r="C11289" s="11"/>
      <c r="K11289" s="11"/>
    </row>
    <row r="11290" spans="3:11">
      <c r="C11290" s="11"/>
      <c r="K11290" s="11"/>
    </row>
    <row r="11291" spans="3:11">
      <c r="C11291" s="11"/>
      <c r="K11291" s="11"/>
    </row>
    <row r="11292" spans="3:11">
      <c r="C11292" s="11"/>
      <c r="K11292" s="11"/>
    </row>
    <row r="11293" spans="3:11">
      <c r="C11293" s="11"/>
      <c r="K11293" s="11"/>
    </row>
    <row r="11294" spans="3:11">
      <c r="C11294" s="11"/>
      <c r="K11294" s="11"/>
    </row>
    <row r="11295" spans="3:11">
      <c r="C11295" s="11"/>
      <c r="K11295" s="11"/>
    </row>
    <row r="11296" spans="3:11">
      <c r="C11296" s="11"/>
      <c r="K11296" s="11"/>
    </row>
    <row r="11297" spans="3:11">
      <c r="C11297" s="11"/>
      <c r="K11297" s="11"/>
    </row>
    <row r="11298" spans="3:11">
      <c r="C11298" s="11"/>
      <c r="K11298" s="11"/>
    </row>
    <row r="11299" spans="3:11">
      <c r="C11299" s="11"/>
      <c r="K11299" s="11"/>
    </row>
    <row r="11300" spans="3:11">
      <c r="C11300" s="11"/>
      <c r="K11300" s="11"/>
    </row>
    <row r="11301" spans="3:11">
      <c r="C11301" s="11"/>
      <c r="K11301" s="11"/>
    </row>
    <row r="11302" spans="3:11">
      <c r="C11302" s="11"/>
      <c r="K11302" s="11"/>
    </row>
    <row r="11303" spans="3:11">
      <c r="C11303" s="11"/>
      <c r="K11303" s="11"/>
    </row>
    <row r="11304" spans="3:11">
      <c r="C11304" s="11"/>
      <c r="K11304" s="11"/>
    </row>
    <row r="11305" spans="3:11">
      <c r="C11305" s="11"/>
      <c r="K11305" s="11"/>
    </row>
    <row r="11306" spans="3:11">
      <c r="C11306" s="11"/>
      <c r="K11306" s="11"/>
    </row>
    <row r="11307" spans="3:11">
      <c r="C11307" s="11"/>
      <c r="K11307" s="11"/>
    </row>
    <row r="11308" spans="3:11">
      <c r="C11308" s="11"/>
      <c r="K11308" s="11"/>
    </row>
    <row r="11309" spans="3:11">
      <c r="C11309" s="11"/>
      <c r="K11309" s="11"/>
    </row>
    <row r="11310" spans="3:11">
      <c r="C11310" s="11"/>
      <c r="K11310" s="11"/>
    </row>
    <row r="11311" spans="3:11">
      <c r="C11311" s="11"/>
      <c r="K11311" s="11"/>
    </row>
    <row r="11312" spans="3:11">
      <c r="C11312" s="11"/>
      <c r="K11312" s="11"/>
    </row>
    <row r="11313" spans="3:11">
      <c r="C11313" s="11"/>
      <c r="K11313" s="11"/>
    </row>
    <row r="11314" spans="3:11">
      <c r="C11314" s="11"/>
      <c r="K11314" s="11"/>
    </row>
    <row r="11315" spans="3:11">
      <c r="C11315" s="11"/>
      <c r="K11315" s="11"/>
    </row>
    <row r="11316" spans="3:11">
      <c r="C11316" s="11"/>
      <c r="K11316" s="11"/>
    </row>
    <row r="11317" spans="3:11">
      <c r="C11317" s="11"/>
      <c r="K11317" s="11"/>
    </row>
    <row r="11318" spans="3:11">
      <c r="C11318" s="11"/>
      <c r="K11318" s="11"/>
    </row>
    <row r="11319" spans="3:11">
      <c r="C11319" s="11"/>
      <c r="K11319" s="11"/>
    </row>
    <row r="11320" spans="3:11">
      <c r="C11320" s="11"/>
      <c r="K11320" s="11"/>
    </row>
    <row r="11321" spans="3:11">
      <c r="C11321" s="11"/>
      <c r="K11321" s="11"/>
    </row>
    <row r="11322" spans="3:11">
      <c r="C11322" s="11"/>
      <c r="K11322" s="11"/>
    </row>
    <row r="11323" spans="3:11">
      <c r="C11323" s="11"/>
      <c r="K11323" s="11"/>
    </row>
    <row r="11324" spans="3:11">
      <c r="C11324" s="11"/>
      <c r="K11324" s="11"/>
    </row>
    <row r="11325" spans="3:11">
      <c r="C11325" s="11"/>
      <c r="K11325" s="11"/>
    </row>
    <row r="11326" spans="3:11">
      <c r="C11326" s="11"/>
      <c r="K11326" s="11"/>
    </row>
    <row r="11327" spans="3:11">
      <c r="C11327" s="11"/>
      <c r="K11327" s="11"/>
    </row>
    <row r="11328" spans="3:11">
      <c r="C11328" s="11"/>
      <c r="K11328" s="11"/>
    </row>
    <row r="11329" spans="3:11">
      <c r="C11329" s="11"/>
      <c r="K11329" s="11"/>
    </row>
    <row r="11330" spans="3:11">
      <c r="C11330" s="11"/>
      <c r="K11330" s="11"/>
    </row>
    <row r="11331" spans="3:11">
      <c r="C11331" s="11"/>
      <c r="K11331" s="11"/>
    </row>
    <row r="11332" spans="3:11">
      <c r="C11332" s="11"/>
      <c r="K11332" s="11"/>
    </row>
    <row r="11333" spans="3:11">
      <c r="C11333" s="11"/>
      <c r="K11333" s="11"/>
    </row>
    <row r="11334" spans="3:11">
      <c r="C11334" s="11"/>
      <c r="K11334" s="11"/>
    </row>
    <row r="11335" spans="3:11">
      <c r="C11335" s="11"/>
      <c r="K11335" s="11"/>
    </row>
    <row r="11336" spans="3:11">
      <c r="C11336" s="11"/>
      <c r="K11336" s="11"/>
    </row>
    <row r="11337" spans="3:11">
      <c r="C11337" s="11"/>
      <c r="K11337" s="11"/>
    </row>
    <row r="11338" spans="3:11">
      <c r="C11338" s="11"/>
      <c r="K11338" s="11"/>
    </row>
    <row r="11339" spans="3:11">
      <c r="C11339" s="11"/>
      <c r="K11339" s="11"/>
    </row>
    <row r="11340" spans="3:11">
      <c r="C11340" s="11"/>
      <c r="K11340" s="11"/>
    </row>
    <row r="11341" spans="3:11">
      <c r="C11341" s="11"/>
      <c r="K11341" s="11"/>
    </row>
    <row r="11342" spans="3:11">
      <c r="C11342" s="11"/>
      <c r="K11342" s="11"/>
    </row>
    <row r="11343" spans="3:11">
      <c r="C11343" s="11"/>
      <c r="K11343" s="11"/>
    </row>
    <row r="11344" spans="3:11">
      <c r="C11344" s="11"/>
      <c r="K11344" s="11"/>
    </row>
    <row r="11345" spans="3:11">
      <c r="C11345" s="11"/>
      <c r="K11345" s="11"/>
    </row>
    <row r="11346" spans="3:11">
      <c r="C11346" s="11"/>
      <c r="K11346" s="11"/>
    </row>
    <row r="11347" spans="3:11">
      <c r="C11347" s="11"/>
      <c r="K11347" s="11"/>
    </row>
    <row r="11348" spans="3:11">
      <c r="C11348" s="11"/>
      <c r="K11348" s="11"/>
    </row>
    <row r="11349" spans="3:11">
      <c r="C11349" s="11"/>
      <c r="K11349" s="11"/>
    </row>
    <row r="11350" spans="3:11">
      <c r="C11350" s="11"/>
      <c r="K11350" s="11"/>
    </row>
    <row r="11351" spans="3:11">
      <c r="C11351" s="11"/>
      <c r="K11351" s="11"/>
    </row>
    <row r="11352" spans="3:11">
      <c r="C11352" s="11"/>
      <c r="K11352" s="11"/>
    </row>
    <row r="11353" spans="3:11">
      <c r="C11353" s="11"/>
      <c r="K11353" s="11"/>
    </row>
    <row r="11354" spans="3:11">
      <c r="C11354" s="11"/>
      <c r="K11354" s="11"/>
    </row>
    <row r="11355" spans="3:11">
      <c r="C11355" s="11"/>
      <c r="K11355" s="11"/>
    </row>
    <row r="11356" spans="3:11">
      <c r="C11356" s="11"/>
      <c r="K11356" s="11"/>
    </row>
    <row r="11357" spans="3:11">
      <c r="C11357" s="11"/>
      <c r="K11357" s="11"/>
    </row>
    <row r="11358" spans="3:11">
      <c r="C11358" s="11"/>
      <c r="K11358" s="11"/>
    </row>
    <row r="11359" spans="3:11">
      <c r="C11359" s="11"/>
      <c r="K11359" s="11"/>
    </row>
    <row r="11360" spans="3:11">
      <c r="C11360" s="11"/>
      <c r="K11360" s="11"/>
    </row>
    <row r="11361" spans="3:11">
      <c r="C11361" s="11"/>
      <c r="K11361" s="11"/>
    </row>
    <row r="11362" spans="3:11">
      <c r="C11362" s="11"/>
      <c r="K11362" s="11"/>
    </row>
    <row r="11363" spans="3:11">
      <c r="C11363" s="11"/>
      <c r="K11363" s="11"/>
    </row>
    <row r="11364" spans="3:11">
      <c r="C11364" s="11"/>
      <c r="K11364" s="11"/>
    </row>
    <row r="11365" spans="3:11">
      <c r="C11365" s="11"/>
      <c r="K11365" s="11"/>
    </row>
    <row r="11366" spans="3:11">
      <c r="C11366" s="11"/>
      <c r="K11366" s="11"/>
    </row>
    <row r="11367" spans="3:11">
      <c r="C11367" s="11"/>
      <c r="K11367" s="11"/>
    </row>
    <row r="11368" spans="3:11">
      <c r="C11368" s="11"/>
      <c r="K11368" s="11"/>
    </row>
    <row r="11369" spans="3:11">
      <c r="C11369" s="11"/>
      <c r="K11369" s="11"/>
    </row>
    <row r="11370" spans="3:11">
      <c r="C11370" s="11"/>
      <c r="K11370" s="11"/>
    </row>
    <row r="11371" spans="3:11">
      <c r="C11371" s="11"/>
      <c r="K11371" s="11"/>
    </row>
    <row r="11372" spans="3:11">
      <c r="C11372" s="11"/>
      <c r="K11372" s="11"/>
    </row>
    <row r="11373" spans="3:11">
      <c r="C11373" s="11"/>
      <c r="K11373" s="11"/>
    </row>
    <row r="11374" spans="3:11">
      <c r="C11374" s="11"/>
      <c r="K11374" s="11"/>
    </row>
    <row r="11375" spans="3:11">
      <c r="C11375" s="11"/>
      <c r="K11375" s="11"/>
    </row>
    <row r="11376" spans="3:11">
      <c r="C11376" s="11"/>
      <c r="K11376" s="11"/>
    </row>
    <row r="11377" spans="3:11">
      <c r="C11377" s="11"/>
      <c r="K11377" s="11"/>
    </row>
    <row r="11378" spans="3:11">
      <c r="C11378" s="11"/>
      <c r="K11378" s="11"/>
    </row>
    <row r="11379" spans="3:11">
      <c r="C11379" s="11"/>
      <c r="K11379" s="11"/>
    </row>
    <row r="11380" spans="3:11">
      <c r="C11380" s="11"/>
      <c r="K11380" s="11"/>
    </row>
    <row r="11381" spans="3:11">
      <c r="C11381" s="11"/>
      <c r="K11381" s="11"/>
    </row>
    <row r="11382" spans="3:11">
      <c r="C11382" s="11"/>
      <c r="K11382" s="11"/>
    </row>
    <row r="11383" spans="3:11">
      <c r="C11383" s="11"/>
      <c r="K11383" s="11"/>
    </row>
    <row r="11384" spans="3:11">
      <c r="C11384" s="11"/>
      <c r="K11384" s="11"/>
    </row>
    <row r="11385" spans="3:11">
      <c r="C11385" s="11"/>
      <c r="K11385" s="11"/>
    </row>
    <row r="11386" spans="3:11">
      <c r="C11386" s="11"/>
      <c r="K11386" s="11"/>
    </row>
    <row r="11387" spans="3:11">
      <c r="C11387" s="11"/>
      <c r="K11387" s="11"/>
    </row>
    <row r="11388" spans="3:11">
      <c r="C11388" s="11"/>
      <c r="K11388" s="11"/>
    </row>
    <row r="11389" spans="3:11">
      <c r="C11389" s="11"/>
      <c r="K11389" s="11"/>
    </row>
    <row r="11390" spans="3:11">
      <c r="C11390" s="11"/>
      <c r="K11390" s="11"/>
    </row>
    <row r="11391" spans="3:11">
      <c r="C11391" s="11"/>
      <c r="K11391" s="11"/>
    </row>
    <row r="11392" spans="3:11">
      <c r="C11392" s="11"/>
      <c r="K11392" s="11"/>
    </row>
    <row r="11393" spans="3:11">
      <c r="C11393" s="11"/>
      <c r="K11393" s="11"/>
    </row>
    <row r="11394" spans="3:11">
      <c r="C11394" s="11"/>
      <c r="K11394" s="11"/>
    </row>
    <row r="11395" spans="3:11">
      <c r="C11395" s="11"/>
      <c r="K11395" s="11"/>
    </row>
    <row r="11396" spans="3:11">
      <c r="C11396" s="11"/>
      <c r="K11396" s="11"/>
    </row>
    <row r="11397" spans="3:11">
      <c r="C11397" s="11"/>
      <c r="K11397" s="11"/>
    </row>
    <row r="11398" spans="3:11">
      <c r="C11398" s="11"/>
      <c r="K11398" s="11"/>
    </row>
    <row r="11399" spans="3:11">
      <c r="C11399" s="11"/>
      <c r="K11399" s="11"/>
    </row>
    <row r="11400" spans="3:11">
      <c r="C11400" s="11"/>
      <c r="K11400" s="11"/>
    </row>
    <row r="11401" spans="3:11">
      <c r="C11401" s="11"/>
      <c r="K11401" s="11"/>
    </row>
    <row r="11402" spans="3:11">
      <c r="C11402" s="11"/>
      <c r="K11402" s="11"/>
    </row>
    <row r="11403" spans="3:11">
      <c r="C11403" s="11"/>
      <c r="K11403" s="11"/>
    </row>
    <row r="11404" spans="3:11">
      <c r="C11404" s="11"/>
      <c r="K11404" s="11"/>
    </row>
    <row r="11405" spans="3:11">
      <c r="C11405" s="11"/>
      <c r="K11405" s="11"/>
    </row>
    <row r="11406" spans="3:11">
      <c r="C11406" s="11"/>
      <c r="K11406" s="11"/>
    </row>
    <row r="11407" spans="3:11">
      <c r="C11407" s="11"/>
      <c r="K11407" s="11"/>
    </row>
    <row r="11408" spans="3:11">
      <c r="C11408" s="11"/>
      <c r="K11408" s="11"/>
    </row>
    <row r="11409" spans="3:11">
      <c r="C11409" s="11"/>
      <c r="K11409" s="11"/>
    </row>
    <row r="11410" spans="3:11">
      <c r="C11410" s="11"/>
      <c r="K11410" s="11"/>
    </row>
    <row r="11411" spans="3:11">
      <c r="C11411" s="11"/>
      <c r="K11411" s="11"/>
    </row>
    <row r="11412" spans="3:11">
      <c r="C11412" s="11"/>
      <c r="K11412" s="11"/>
    </row>
    <row r="11413" spans="3:11">
      <c r="C11413" s="11"/>
      <c r="K11413" s="11"/>
    </row>
    <row r="11414" spans="3:11">
      <c r="C11414" s="11"/>
      <c r="K11414" s="11"/>
    </row>
    <row r="11415" spans="3:11">
      <c r="C11415" s="11"/>
      <c r="K11415" s="11"/>
    </row>
    <row r="11416" spans="3:11">
      <c r="C11416" s="11"/>
      <c r="K11416" s="11"/>
    </row>
    <row r="11417" spans="3:11">
      <c r="C11417" s="11"/>
      <c r="K11417" s="11"/>
    </row>
    <row r="11418" spans="3:11">
      <c r="C11418" s="11"/>
      <c r="K11418" s="11"/>
    </row>
    <row r="11419" spans="3:11">
      <c r="C11419" s="11"/>
      <c r="K11419" s="11"/>
    </row>
    <row r="11420" spans="3:11">
      <c r="C11420" s="11"/>
      <c r="K11420" s="11"/>
    </row>
    <row r="11421" spans="3:11">
      <c r="C11421" s="11"/>
      <c r="K11421" s="11"/>
    </row>
    <row r="11422" spans="3:11">
      <c r="C11422" s="11"/>
      <c r="K11422" s="11"/>
    </row>
    <row r="11423" spans="3:11">
      <c r="C11423" s="11"/>
      <c r="K11423" s="11"/>
    </row>
    <row r="11424" spans="3:11">
      <c r="C11424" s="11"/>
      <c r="K11424" s="11"/>
    </row>
    <row r="11425" spans="3:11">
      <c r="C11425" s="11"/>
      <c r="K11425" s="11"/>
    </row>
    <row r="11426" spans="3:11">
      <c r="C11426" s="11"/>
      <c r="K11426" s="11"/>
    </row>
    <row r="11427" spans="3:11">
      <c r="C11427" s="11"/>
      <c r="K11427" s="11"/>
    </row>
    <row r="11428" spans="3:11">
      <c r="C11428" s="11"/>
      <c r="K11428" s="11"/>
    </row>
    <row r="11429" spans="3:11">
      <c r="C11429" s="11"/>
      <c r="K11429" s="11"/>
    </row>
    <row r="11430" spans="3:11">
      <c r="C11430" s="11"/>
      <c r="K11430" s="11"/>
    </row>
    <row r="11431" spans="3:11">
      <c r="C11431" s="11"/>
      <c r="K11431" s="11"/>
    </row>
    <row r="11432" spans="3:11">
      <c r="C11432" s="11"/>
      <c r="K11432" s="11"/>
    </row>
    <row r="11433" spans="3:11">
      <c r="C11433" s="11"/>
      <c r="K11433" s="11"/>
    </row>
    <row r="11434" spans="3:11">
      <c r="C11434" s="11"/>
      <c r="K11434" s="11"/>
    </row>
    <row r="11435" spans="3:11">
      <c r="C11435" s="11"/>
      <c r="K11435" s="11"/>
    </row>
    <row r="11436" spans="3:11">
      <c r="C11436" s="11"/>
      <c r="K11436" s="11"/>
    </row>
    <row r="11437" spans="3:11">
      <c r="C11437" s="11"/>
      <c r="K11437" s="11"/>
    </row>
    <row r="11438" spans="3:11">
      <c r="C11438" s="11"/>
      <c r="K11438" s="11"/>
    </row>
    <row r="11439" spans="3:11">
      <c r="C11439" s="11"/>
      <c r="K11439" s="11"/>
    </row>
    <row r="11440" spans="3:11">
      <c r="C11440" s="11"/>
      <c r="K11440" s="11"/>
    </row>
    <row r="11441" spans="3:11">
      <c r="C11441" s="11"/>
      <c r="K11441" s="11"/>
    </row>
    <row r="11442" spans="3:11">
      <c r="C11442" s="11"/>
      <c r="K11442" s="11"/>
    </row>
    <row r="11443" spans="3:11">
      <c r="C11443" s="11"/>
      <c r="K11443" s="11"/>
    </row>
    <row r="11444" spans="3:11">
      <c r="C11444" s="11"/>
      <c r="K11444" s="11"/>
    </row>
    <row r="11445" spans="3:11">
      <c r="C11445" s="11"/>
      <c r="K11445" s="11"/>
    </row>
    <row r="11446" spans="3:11">
      <c r="C11446" s="11"/>
      <c r="K11446" s="11"/>
    </row>
    <row r="11447" spans="3:11">
      <c r="C11447" s="11"/>
      <c r="K11447" s="11"/>
    </row>
    <row r="11448" spans="3:11">
      <c r="C11448" s="11"/>
      <c r="K11448" s="11"/>
    </row>
    <row r="11449" spans="3:11">
      <c r="C11449" s="11"/>
      <c r="K11449" s="11"/>
    </row>
    <row r="11450" spans="3:11">
      <c r="C11450" s="11"/>
      <c r="K11450" s="11"/>
    </row>
    <row r="11451" spans="3:11">
      <c r="C11451" s="11"/>
      <c r="K11451" s="11"/>
    </row>
    <row r="11452" spans="3:11">
      <c r="C11452" s="11"/>
      <c r="K11452" s="11"/>
    </row>
    <row r="11453" spans="3:11">
      <c r="C11453" s="11"/>
      <c r="K11453" s="11"/>
    </row>
    <row r="11454" spans="3:11">
      <c r="C11454" s="11"/>
      <c r="K11454" s="11"/>
    </row>
    <row r="11455" spans="3:11">
      <c r="C11455" s="11"/>
      <c r="K11455" s="11"/>
    </row>
    <row r="11456" spans="3:11">
      <c r="C11456" s="11"/>
      <c r="K11456" s="11"/>
    </row>
    <row r="11457" spans="3:11">
      <c r="C11457" s="11"/>
      <c r="K11457" s="11"/>
    </row>
    <row r="11458" spans="3:11">
      <c r="C11458" s="11"/>
      <c r="K11458" s="11"/>
    </row>
    <row r="11459" spans="3:11">
      <c r="C11459" s="11"/>
      <c r="K11459" s="11"/>
    </row>
    <row r="11460" spans="3:11">
      <c r="C11460" s="11"/>
      <c r="K11460" s="11"/>
    </row>
    <row r="11461" spans="3:11">
      <c r="C11461" s="11"/>
      <c r="K11461" s="11"/>
    </row>
    <row r="11462" spans="3:11">
      <c r="C11462" s="11"/>
      <c r="K11462" s="11"/>
    </row>
    <row r="11463" spans="3:11">
      <c r="C11463" s="11"/>
      <c r="K11463" s="11"/>
    </row>
    <row r="11464" spans="3:11">
      <c r="C11464" s="11"/>
      <c r="K11464" s="11"/>
    </row>
    <row r="11465" spans="3:11">
      <c r="C11465" s="11"/>
      <c r="K11465" s="11"/>
    </row>
    <row r="11466" spans="3:11">
      <c r="C11466" s="11"/>
      <c r="K11466" s="11"/>
    </row>
    <row r="11467" spans="3:11">
      <c r="C11467" s="11"/>
      <c r="K11467" s="11"/>
    </row>
    <row r="11468" spans="3:11">
      <c r="C11468" s="11"/>
      <c r="K11468" s="11"/>
    </row>
    <row r="11469" spans="3:11">
      <c r="C11469" s="11"/>
      <c r="K11469" s="11"/>
    </row>
    <row r="11470" spans="3:11">
      <c r="C11470" s="11"/>
      <c r="K11470" s="11"/>
    </row>
    <row r="11471" spans="3:11">
      <c r="C11471" s="11"/>
      <c r="K11471" s="11"/>
    </row>
    <row r="11472" spans="3:11">
      <c r="C11472" s="11"/>
      <c r="K11472" s="11"/>
    </row>
    <row r="11473" spans="3:11">
      <c r="C11473" s="11"/>
      <c r="K11473" s="11"/>
    </row>
    <row r="11474" spans="3:11">
      <c r="C11474" s="11"/>
      <c r="K11474" s="11"/>
    </row>
    <row r="11475" spans="3:11">
      <c r="C11475" s="11"/>
      <c r="K11475" s="11"/>
    </row>
    <row r="11476" spans="3:11">
      <c r="C11476" s="11"/>
      <c r="K11476" s="11"/>
    </row>
    <row r="11477" spans="3:11">
      <c r="C11477" s="11"/>
      <c r="K11477" s="11"/>
    </row>
    <row r="11478" spans="3:11">
      <c r="C11478" s="11"/>
      <c r="K11478" s="11"/>
    </row>
    <row r="11479" spans="3:11">
      <c r="C11479" s="11"/>
      <c r="K11479" s="11"/>
    </row>
    <row r="11480" spans="3:11">
      <c r="C11480" s="11"/>
      <c r="K11480" s="11"/>
    </row>
    <row r="11481" spans="3:11">
      <c r="C11481" s="11"/>
      <c r="K11481" s="11"/>
    </row>
    <row r="11482" spans="3:11">
      <c r="C11482" s="11"/>
      <c r="K11482" s="11"/>
    </row>
    <row r="11483" spans="3:11">
      <c r="C11483" s="11"/>
      <c r="K11483" s="11"/>
    </row>
    <row r="11484" spans="3:11">
      <c r="C11484" s="11"/>
      <c r="K11484" s="11"/>
    </row>
    <row r="11485" spans="3:11">
      <c r="C11485" s="11"/>
      <c r="K11485" s="11"/>
    </row>
    <row r="11486" spans="3:11">
      <c r="C11486" s="11"/>
      <c r="K11486" s="11"/>
    </row>
    <row r="11487" spans="3:11">
      <c r="C11487" s="11"/>
      <c r="K11487" s="11"/>
    </row>
    <row r="11488" spans="3:11">
      <c r="C11488" s="11"/>
      <c r="K11488" s="11"/>
    </row>
    <row r="11489" spans="3:11">
      <c r="C11489" s="11"/>
      <c r="K11489" s="11"/>
    </row>
    <row r="11490" spans="3:11">
      <c r="C11490" s="11"/>
      <c r="K11490" s="11"/>
    </row>
    <row r="11491" spans="3:11">
      <c r="C11491" s="11"/>
      <c r="K11491" s="11"/>
    </row>
    <row r="11492" spans="3:11">
      <c r="C11492" s="11"/>
      <c r="K11492" s="11"/>
    </row>
    <row r="11493" spans="3:11">
      <c r="C11493" s="11"/>
      <c r="K11493" s="11"/>
    </row>
    <row r="11494" spans="3:11">
      <c r="C11494" s="11"/>
      <c r="K11494" s="11"/>
    </row>
    <row r="11495" spans="3:11">
      <c r="C11495" s="11"/>
      <c r="K11495" s="11"/>
    </row>
    <row r="11496" spans="3:11">
      <c r="C11496" s="11"/>
      <c r="K11496" s="11"/>
    </row>
    <row r="11497" spans="3:11">
      <c r="C11497" s="11"/>
      <c r="K11497" s="11"/>
    </row>
    <row r="11498" spans="3:11">
      <c r="C11498" s="11"/>
      <c r="K11498" s="11"/>
    </row>
    <row r="11499" spans="3:11">
      <c r="C11499" s="11"/>
      <c r="K11499" s="11"/>
    </row>
    <row r="11500" spans="3:11">
      <c r="C11500" s="11"/>
      <c r="K11500" s="11"/>
    </row>
    <row r="11501" spans="3:11">
      <c r="C11501" s="11"/>
      <c r="K11501" s="11"/>
    </row>
    <row r="11502" spans="3:11">
      <c r="C11502" s="11"/>
      <c r="K11502" s="11"/>
    </row>
    <row r="11503" spans="3:11">
      <c r="C11503" s="11"/>
      <c r="K11503" s="11"/>
    </row>
    <row r="11504" spans="3:11">
      <c r="C11504" s="11"/>
      <c r="K11504" s="11"/>
    </row>
    <row r="11505" spans="3:11">
      <c r="C11505" s="11"/>
      <c r="K11505" s="11"/>
    </row>
    <row r="11506" spans="3:11">
      <c r="C11506" s="11"/>
      <c r="K11506" s="11"/>
    </row>
    <row r="11507" spans="3:11">
      <c r="C11507" s="11"/>
      <c r="K11507" s="11"/>
    </row>
    <row r="11508" spans="3:11">
      <c r="C11508" s="11"/>
      <c r="K11508" s="11"/>
    </row>
    <row r="11509" spans="3:11">
      <c r="C11509" s="11"/>
      <c r="K11509" s="11"/>
    </row>
    <row r="11510" spans="3:11">
      <c r="C11510" s="11"/>
      <c r="K11510" s="11"/>
    </row>
    <row r="11511" spans="3:11">
      <c r="C11511" s="11"/>
      <c r="K11511" s="11"/>
    </row>
    <row r="11512" spans="3:11">
      <c r="C11512" s="11"/>
      <c r="K11512" s="11"/>
    </row>
    <row r="11513" spans="3:11">
      <c r="C11513" s="11"/>
      <c r="K11513" s="11"/>
    </row>
    <row r="11514" spans="3:11">
      <c r="C11514" s="11"/>
      <c r="K11514" s="11"/>
    </row>
    <row r="11515" spans="3:11">
      <c r="C11515" s="11"/>
      <c r="K11515" s="11"/>
    </row>
    <row r="11516" spans="3:11">
      <c r="C11516" s="11"/>
      <c r="K11516" s="11"/>
    </row>
    <row r="11517" spans="3:11">
      <c r="C11517" s="11"/>
      <c r="K11517" s="11"/>
    </row>
    <row r="11518" spans="3:11">
      <c r="C11518" s="11"/>
      <c r="K11518" s="11"/>
    </row>
    <row r="11519" spans="3:11">
      <c r="C11519" s="11"/>
      <c r="K11519" s="11"/>
    </row>
    <row r="11520" spans="3:11">
      <c r="C11520" s="11"/>
      <c r="K11520" s="11"/>
    </row>
    <row r="11521" spans="3:11">
      <c r="C11521" s="11"/>
      <c r="K11521" s="11"/>
    </row>
    <row r="11522" spans="3:11">
      <c r="C11522" s="11"/>
      <c r="K11522" s="11"/>
    </row>
    <row r="11523" spans="3:11">
      <c r="C11523" s="11"/>
      <c r="K11523" s="11"/>
    </row>
    <row r="11524" spans="3:11">
      <c r="C11524" s="11"/>
      <c r="K11524" s="11"/>
    </row>
    <row r="11525" spans="3:11">
      <c r="C11525" s="11"/>
      <c r="K11525" s="11"/>
    </row>
    <row r="11526" spans="3:11">
      <c r="C11526" s="11"/>
      <c r="K11526" s="11"/>
    </row>
    <row r="11527" spans="3:11">
      <c r="C11527" s="11"/>
      <c r="K11527" s="11"/>
    </row>
    <row r="11528" spans="3:11">
      <c r="C11528" s="11"/>
      <c r="K11528" s="11"/>
    </row>
    <row r="11529" spans="3:11">
      <c r="C11529" s="11"/>
      <c r="K11529" s="11"/>
    </row>
    <row r="11530" spans="3:11">
      <c r="C11530" s="11"/>
      <c r="K11530" s="11"/>
    </row>
    <row r="11531" spans="3:11">
      <c r="C11531" s="11"/>
      <c r="K11531" s="11"/>
    </row>
    <row r="11532" spans="3:11">
      <c r="C11532" s="11"/>
      <c r="K11532" s="11"/>
    </row>
    <row r="11533" spans="3:11">
      <c r="C11533" s="11"/>
      <c r="K11533" s="11"/>
    </row>
    <row r="11534" spans="3:11">
      <c r="C11534" s="11"/>
      <c r="K11534" s="11"/>
    </row>
    <row r="11535" spans="3:11">
      <c r="C11535" s="11"/>
      <c r="K11535" s="11"/>
    </row>
    <row r="11536" spans="3:11">
      <c r="C11536" s="11"/>
      <c r="K11536" s="11"/>
    </row>
    <row r="11537" spans="3:11">
      <c r="C11537" s="11"/>
      <c r="K11537" s="11"/>
    </row>
    <row r="11538" spans="3:11">
      <c r="C11538" s="11"/>
      <c r="K11538" s="11"/>
    </row>
    <row r="11539" spans="3:11">
      <c r="C11539" s="11"/>
      <c r="K11539" s="11"/>
    </row>
    <row r="11540" spans="3:11">
      <c r="C11540" s="11"/>
      <c r="K11540" s="11"/>
    </row>
    <row r="11541" spans="3:11">
      <c r="C11541" s="11"/>
      <c r="K11541" s="11"/>
    </row>
    <row r="11542" spans="3:11">
      <c r="C11542" s="11"/>
      <c r="K11542" s="11"/>
    </row>
    <row r="11543" spans="3:11">
      <c r="C11543" s="11"/>
      <c r="K11543" s="11"/>
    </row>
    <row r="11544" spans="3:11">
      <c r="C11544" s="11"/>
      <c r="K11544" s="11"/>
    </row>
    <row r="11545" spans="3:11">
      <c r="C11545" s="11"/>
      <c r="K11545" s="11"/>
    </row>
    <row r="11546" spans="3:11">
      <c r="C11546" s="11"/>
      <c r="K11546" s="11"/>
    </row>
    <row r="11547" spans="3:11">
      <c r="C11547" s="11"/>
      <c r="K11547" s="11"/>
    </row>
    <row r="11548" spans="3:11">
      <c r="C11548" s="11"/>
      <c r="K11548" s="11"/>
    </row>
    <row r="11549" spans="3:11">
      <c r="C11549" s="11"/>
      <c r="K11549" s="11"/>
    </row>
    <row r="11550" spans="3:11">
      <c r="C11550" s="11"/>
      <c r="K11550" s="11"/>
    </row>
    <row r="11551" spans="3:11">
      <c r="C11551" s="11"/>
      <c r="K11551" s="11"/>
    </row>
    <row r="11552" spans="3:11">
      <c r="C11552" s="11"/>
      <c r="K11552" s="11"/>
    </row>
    <row r="11553" spans="3:11">
      <c r="C11553" s="11"/>
      <c r="K11553" s="11"/>
    </row>
    <row r="11554" spans="3:11">
      <c r="C11554" s="11"/>
      <c r="K11554" s="11"/>
    </row>
    <row r="11555" spans="3:11">
      <c r="C11555" s="11"/>
      <c r="K11555" s="11"/>
    </row>
    <row r="11556" spans="3:11">
      <c r="C11556" s="11"/>
      <c r="K11556" s="11"/>
    </row>
    <row r="11557" spans="3:11">
      <c r="C11557" s="11"/>
      <c r="K11557" s="11"/>
    </row>
    <row r="11558" spans="3:11">
      <c r="C11558" s="11"/>
      <c r="K11558" s="11"/>
    </row>
    <row r="11559" spans="3:11">
      <c r="C11559" s="11"/>
      <c r="K11559" s="11"/>
    </row>
    <row r="11560" spans="3:11">
      <c r="C11560" s="11"/>
      <c r="K11560" s="11"/>
    </row>
    <row r="11561" spans="3:11">
      <c r="C11561" s="11"/>
      <c r="K11561" s="11"/>
    </row>
    <row r="11562" spans="3:11">
      <c r="C11562" s="11"/>
      <c r="K11562" s="11"/>
    </row>
    <row r="11563" spans="3:11">
      <c r="C11563" s="11"/>
      <c r="K11563" s="11"/>
    </row>
    <row r="11564" spans="3:11">
      <c r="C11564" s="11"/>
      <c r="K11564" s="11"/>
    </row>
    <row r="11565" spans="3:11">
      <c r="C11565" s="11"/>
      <c r="K11565" s="11"/>
    </row>
    <row r="11566" spans="3:11">
      <c r="C11566" s="11"/>
      <c r="K11566" s="11"/>
    </row>
    <row r="11567" spans="3:11">
      <c r="C11567" s="11"/>
      <c r="K11567" s="11"/>
    </row>
    <row r="11568" spans="3:11">
      <c r="C11568" s="11"/>
      <c r="K11568" s="11"/>
    </row>
    <row r="11569" spans="3:11">
      <c r="C11569" s="11"/>
      <c r="K11569" s="11"/>
    </row>
    <row r="11570" spans="3:11">
      <c r="C11570" s="11"/>
      <c r="K11570" s="11"/>
    </row>
    <row r="11571" spans="3:11">
      <c r="C11571" s="11"/>
      <c r="K11571" s="11"/>
    </row>
    <row r="11572" spans="3:11">
      <c r="C11572" s="11"/>
      <c r="K11572" s="11"/>
    </row>
    <row r="11573" spans="3:11">
      <c r="C11573" s="11"/>
      <c r="K11573" s="11"/>
    </row>
    <row r="11574" spans="3:11">
      <c r="C11574" s="11"/>
      <c r="K11574" s="11"/>
    </row>
    <row r="11575" spans="3:11">
      <c r="C11575" s="11"/>
      <c r="K11575" s="11"/>
    </row>
    <row r="11576" spans="3:11">
      <c r="C11576" s="11"/>
      <c r="K11576" s="11"/>
    </row>
    <row r="11577" spans="3:11">
      <c r="C11577" s="11"/>
      <c r="K11577" s="11"/>
    </row>
    <row r="11578" spans="3:11">
      <c r="C11578" s="11"/>
      <c r="K11578" s="11"/>
    </row>
    <row r="11579" spans="3:11">
      <c r="C11579" s="11"/>
      <c r="K11579" s="11"/>
    </row>
    <row r="11580" spans="3:11">
      <c r="C11580" s="11"/>
      <c r="K11580" s="11"/>
    </row>
    <row r="11581" spans="3:11">
      <c r="C11581" s="11"/>
      <c r="K11581" s="11"/>
    </row>
    <row r="11582" spans="3:11">
      <c r="C11582" s="11"/>
      <c r="K11582" s="11"/>
    </row>
    <row r="11583" spans="3:11">
      <c r="C11583" s="11"/>
      <c r="K11583" s="11"/>
    </row>
    <row r="11584" spans="3:11">
      <c r="C11584" s="11"/>
      <c r="K11584" s="11"/>
    </row>
    <row r="11585" spans="3:11">
      <c r="C11585" s="11"/>
      <c r="K11585" s="11"/>
    </row>
    <row r="11586" spans="3:11">
      <c r="C11586" s="11"/>
      <c r="K11586" s="11"/>
    </row>
    <row r="11587" spans="3:11">
      <c r="C11587" s="11"/>
      <c r="K11587" s="11"/>
    </row>
    <row r="11588" spans="3:11">
      <c r="C11588" s="11"/>
      <c r="K11588" s="11"/>
    </row>
    <row r="11589" spans="3:11">
      <c r="C11589" s="11"/>
      <c r="K11589" s="11"/>
    </row>
    <row r="11590" spans="3:11">
      <c r="C11590" s="11"/>
      <c r="K11590" s="11"/>
    </row>
    <row r="11591" spans="3:11">
      <c r="C11591" s="11"/>
      <c r="K11591" s="11"/>
    </row>
    <row r="11592" spans="3:11">
      <c r="C11592" s="11"/>
      <c r="K11592" s="11"/>
    </row>
    <row r="11593" spans="3:11">
      <c r="C11593" s="11"/>
      <c r="K11593" s="11"/>
    </row>
    <row r="11594" spans="3:11">
      <c r="C11594" s="11"/>
      <c r="K11594" s="11"/>
    </row>
    <row r="11595" spans="3:11">
      <c r="C11595" s="11"/>
      <c r="K11595" s="11"/>
    </row>
    <row r="11596" spans="3:11">
      <c r="C11596" s="11"/>
      <c r="K11596" s="11"/>
    </row>
    <row r="11597" spans="3:11">
      <c r="C11597" s="11"/>
      <c r="K11597" s="11"/>
    </row>
    <row r="11598" spans="3:11">
      <c r="C11598" s="11"/>
      <c r="K11598" s="11"/>
    </row>
    <row r="11599" spans="3:11">
      <c r="C11599" s="11"/>
      <c r="K11599" s="11"/>
    </row>
    <row r="11600" spans="3:11">
      <c r="C11600" s="11"/>
      <c r="K11600" s="11"/>
    </row>
    <row r="11601" spans="3:11">
      <c r="C11601" s="11"/>
      <c r="K11601" s="11"/>
    </row>
    <row r="11602" spans="3:11">
      <c r="C11602" s="11"/>
      <c r="K11602" s="11"/>
    </row>
    <row r="11603" spans="3:11">
      <c r="C11603" s="11"/>
      <c r="K11603" s="11"/>
    </row>
    <row r="11604" spans="3:11">
      <c r="C11604" s="11"/>
      <c r="K11604" s="11"/>
    </row>
    <row r="11605" spans="3:11">
      <c r="C11605" s="11"/>
      <c r="K11605" s="11"/>
    </row>
    <row r="11606" spans="3:11">
      <c r="C11606" s="11"/>
      <c r="K11606" s="11"/>
    </row>
    <row r="11607" spans="3:11">
      <c r="C11607" s="11"/>
      <c r="K11607" s="11"/>
    </row>
    <row r="11608" spans="3:11">
      <c r="C11608" s="11"/>
      <c r="K11608" s="11"/>
    </row>
    <row r="11609" spans="3:11">
      <c r="C11609" s="11"/>
      <c r="K11609" s="11"/>
    </row>
    <row r="11610" spans="3:11">
      <c r="C11610" s="11"/>
      <c r="K11610" s="11"/>
    </row>
    <row r="11611" spans="3:11">
      <c r="C11611" s="11"/>
      <c r="K11611" s="11"/>
    </row>
    <row r="11612" spans="3:11">
      <c r="C11612" s="11"/>
      <c r="K11612" s="11"/>
    </row>
    <row r="11613" spans="3:11">
      <c r="C11613" s="11"/>
      <c r="K11613" s="11"/>
    </row>
    <row r="11614" spans="3:11">
      <c r="C11614" s="11"/>
      <c r="K11614" s="11"/>
    </row>
    <row r="11615" spans="3:11">
      <c r="C11615" s="11"/>
      <c r="K11615" s="11"/>
    </row>
    <row r="11616" spans="3:11">
      <c r="C11616" s="11"/>
      <c r="K11616" s="11"/>
    </row>
    <row r="11617" spans="3:11">
      <c r="C11617" s="11"/>
      <c r="K11617" s="11"/>
    </row>
    <row r="11618" spans="3:11">
      <c r="C11618" s="11"/>
      <c r="K11618" s="11"/>
    </row>
    <row r="11619" spans="3:11">
      <c r="C11619" s="11"/>
      <c r="K11619" s="11"/>
    </row>
    <row r="11620" spans="3:11">
      <c r="C11620" s="11"/>
      <c r="K11620" s="11"/>
    </row>
    <row r="11621" spans="3:11">
      <c r="C11621" s="11"/>
      <c r="K11621" s="11"/>
    </row>
    <row r="11622" spans="3:11">
      <c r="C11622" s="11"/>
      <c r="K11622" s="11"/>
    </row>
    <row r="11623" spans="3:11">
      <c r="C11623" s="11"/>
      <c r="K11623" s="11"/>
    </row>
    <row r="11624" spans="3:11">
      <c r="C11624" s="11"/>
      <c r="K11624" s="11"/>
    </row>
    <row r="11625" spans="3:11">
      <c r="C11625" s="11"/>
      <c r="K11625" s="11"/>
    </row>
    <row r="11626" spans="3:11">
      <c r="C11626" s="11"/>
      <c r="K11626" s="11"/>
    </row>
    <row r="11627" spans="3:11">
      <c r="C11627" s="11"/>
      <c r="K11627" s="11"/>
    </row>
    <row r="11628" spans="3:11">
      <c r="C11628" s="11"/>
      <c r="K11628" s="11"/>
    </row>
    <row r="11629" spans="3:11">
      <c r="C11629" s="11"/>
      <c r="K11629" s="11"/>
    </row>
    <row r="11630" spans="3:11">
      <c r="C11630" s="11"/>
      <c r="K11630" s="11"/>
    </row>
    <row r="11631" spans="3:11">
      <c r="C11631" s="11"/>
      <c r="K11631" s="11"/>
    </row>
    <row r="11632" spans="3:11">
      <c r="C11632" s="11"/>
      <c r="K11632" s="11"/>
    </row>
    <row r="11633" spans="3:11">
      <c r="C11633" s="11"/>
      <c r="K11633" s="11"/>
    </row>
    <row r="11634" spans="3:11">
      <c r="C11634" s="11"/>
      <c r="K11634" s="11"/>
    </row>
    <row r="11635" spans="3:11">
      <c r="C11635" s="11"/>
      <c r="K11635" s="11"/>
    </row>
    <row r="11636" spans="3:11">
      <c r="C11636" s="11"/>
      <c r="K11636" s="11"/>
    </row>
    <row r="11637" spans="3:11">
      <c r="C11637" s="11"/>
      <c r="K11637" s="11"/>
    </row>
    <row r="11638" spans="3:11">
      <c r="C11638" s="11"/>
      <c r="K11638" s="11"/>
    </row>
    <row r="11639" spans="3:11">
      <c r="C11639" s="11"/>
      <c r="K11639" s="11"/>
    </row>
    <row r="11640" spans="3:11">
      <c r="C11640" s="11"/>
      <c r="K11640" s="11"/>
    </row>
    <row r="11641" spans="3:11">
      <c r="C11641" s="11"/>
      <c r="K11641" s="11"/>
    </row>
    <row r="11642" spans="3:11">
      <c r="C11642" s="11"/>
      <c r="K11642" s="11"/>
    </row>
    <row r="11643" spans="3:11">
      <c r="C11643" s="11"/>
      <c r="K11643" s="11"/>
    </row>
    <row r="11644" spans="3:11">
      <c r="C11644" s="11"/>
      <c r="K11644" s="11"/>
    </row>
    <row r="11645" spans="3:11">
      <c r="C11645" s="11"/>
      <c r="K11645" s="11"/>
    </row>
    <row r="11646" spans="3:11">
      <c r="C11646" s="11"/>
      <c r="K11646" s="11"/>
    </row>
    <row r="11647" spans="3:11">
      <c r="C11647" s="11"/>
      <c r="K11647" s="11"/>
    </row>
    <row r="11648" spans="3:11">
      <c r="C11648" s="11"/>
      <c r="K11648" s="11"/>
    </row>
    <row r="11649" spans="3:11">
      <c r="C11649" s="11"/>
      <c r="K11649" s="11"/>
    </row>
    <row r="11650" spans="3:11">
      <c r="C11650" s="11"/>
      <c r="K11650" s="11"/>
    </row>
    <row r="11651" spans="3:11">
      <c r="C11651" s="11"/>
      <c r="K11651" s="11"/>
    </row>
    <row r="11652" spans="3:11">
      <c r="C11652" s="11"/>
      <c r="K11652" s="11"/>
    </row>
    <row r="11653" spans="3:11">
      <c r="C11653" s="11"/>
      <c r="K11653" s="11"/>
    </row>
    <row r="11654" spans="3:11">
      <c r="C11654" s="11"/>
      <c r="K11654" s="11"/>
    </row>
    <row r="11655" spans="3:11">
      <c r="C11655" s="11"/>
      <c r="K11655" s="11"/>
    </row>
    <row r="11656" spans="3:11">
      <c r="C11656" s="11"/>
      <c r="K11656" s="11"/>
    </row>
    <row r="11657" spans="3:11">
      <c r="C11657" s="11"/>
      <c r="K11657" s="11"/>
    </row>
    <row r="11658" spans="3:11">
      <c r="C11658" s="11"/>
      <c r="K11658" s="11"/>
    </row>
    <row r="11659" spans="3:11">
      <c r="C11659" s="11"/>
      <c r="K11659" s="11"/>
    </row>
    <row r="11660" spans="3:11">
      <c r="C11660" s="11"/>
      <c r="K11660" s="11"/>
    </row>
    <row r="11661" spans="3:11">
      <c r="C11661" s="11"/>
      <c r="K11661" s="11"/>
    </row>
    <row r="11662" spans="3:11">
      <c r="C11662" s="11"/>
      <c r="K11662" s="11"/>
    </row>
    <row r="11663" spans="3:11">
      <c r="C11663" s="11"/>
      <c r="K11663" s="11"/>
    </row>
    <row r="11664" spans="3:11">
      <c r="C11664" s="11"/>
      <c r="K11664" s="11"/>
    </row>
    <row r="11665" spans="3:11">
      <c r="C11665" s="11"/>
      <c r="K11665" s="11"/>
    </row>
    <row r="11666" spans="3:11">
      <c r="C11666" s="11"/>
      <c r="K11666" s="11"/>
    </row>
    <row r="11667" spans="3:11">
      <c r="C11667" s="11"/>
      <c r="K11667" s="11"/>
    </row>
    <row r="11668" spans="3:11">
      <c r="C11668" s="11"/>
      <c r="K11668" s="11"/>
    </row>
    <row r="11669" spans="3:11">
      <c r="C11669" s="11"/>
      <c r="K11669" s="11"/>
    </row>
    <row r="11670" spans="3:11">
      <c r="C11670" s="11"/>
      <c r="K11670" s="11"/>
    </row>
    <row r="11671" spans="3:11">
      <c r="C11671" s="11"/>
      <c r="K11671" s="11"/>
    </row>
    <row r="11672" spans="3:11">
      <c r="C11672" s="11"/>
      <c r="K11672" s="11"/>
    </row>
    <row r="11673" spans="3:11">
      <c r="C11673" s="11"/>
      <c r="K11673" s="11"/>
    </row>
    <row r="11674" spans="3:11">
      <c r="C11674" s="11"/>
      <c r="K11674" s="11"/>
    </row>
    <row r="11675" spans="3:11">
      <c r="C11675" s="11"/>
      <c r="K11675" s="11"/>
    </row>
    <row r="11676" spans="3:11">
      <c r="C11676" s="11"/>
      <c r="K11676" s="11"/>
    </row>
    <row r="11677" spans="3:11">
      <c r="C11677" s="11"/>
      <c r="K11677" s="11"/>
    </row>
    <row r="11678" spans="3:11">
      <c r="C11678" s="11"/>
      <c r="K11678" s="11"/>
    </row>
    <row r="11679" spans="3:11">
      <c r="C11679" s="11"/>
      <c r="K11679" s="11"/>
    </row>
    <row r="11680" spans="3:11">
      <c r="C11680" s="11"/>
      <c r="K11680" s="11"/>
    </row>
    <row r="11681" spans="3:11">
      <c r="C11681" s="11"/>
      <c r="K11681" s="11"/>
    </row>
    <row r="11682" spans="3:11">
      <c r="C11682" s="11"/>
      <c r="K11682" s="11"/>
    </row>
    <row r="11683" spans="3:11">
      <c r="C11683" s="11"/>
      <c r="K11683" s="11"/>
    </row>
    <row r="11684" spans="3:11">
      <c r="C11684" s="11"/>
      <c r="K11684" s="11"/>
    </row>
    <row r="11685" spans="3:11">
      <c r="C11685" s="11"/>
      <c r="K11685" s="11"/>
    </row>
    <row r="11686" spans="3:11">
      <c r="C11686" s="11"/>
      <c r="K11686" s="11"/>
    </row>
    <row r="11687" spans="3:11">
      <c r="C11687" s="11"/>
      <c r="K11687" s="11"/>
    </row>
    <row r="11688" spans="3:11">
      <c r="C11688" s="11"/>
      <c r="K11688" s="11"/>
    </row>
    <row r="11689" spans="3:11">
      <c r="C11689" s="11"/>
      <c r="K11689" s="11"/>
    </row>
    <row r="11690" spans="3:11">
      <c r="C11690" s="11"/>
      <c r="K11690" s="11"/>
    </row>
    <row r="11691" spans="3:11">
      <c r="C11691" s="11"/>
      <c r="K11691" s="11"/>
    </row>
    <row r="11692" spans="3:11">
      <c r="C11692" s="11"/>
      <c r="K11692" s="11"/>
    </row>
    <row r="11693" spans="3:11">
      <c r="C11693" s="11"/>
      <c r="K11693" s="11"/>
    </row>
    <row r="11694" spans="3:11">
      <c r="C11694" s="11"/>
      <c r="K11694" s="11"/>
    </row>
    <row r="11695" spans="3:11">
      <c r="C11695" s="11"/>
      <c r="K11695" s="11"/>
    </row>
    <row r="11696" spans="3:11">
      <c r="C11696" s="11"/>
      <c r="K11696" s="11"/>
    </row>
    <row r="11697" spans="3:11">
      <c r="C11697" s="11"/>
      <c r="K11697" s="11"/>
    </row>
    <row r="11698" spans="3:11">
      <c r="C11698" s="11"/>
      <c r="K11698" s="11"/>
    </row>
    <row r="11699" spans="3:11">
      <c r="C11699" s="11"/>
      <c r="K11699" s="11"/>
    </row>
    <row r="11700" spans="3:11">
      <c r="C11700" s="11"/>
      <c r="K11700" s="11"/>
    </row>
    <row r="11701" spans="3:11">
      <c r="C11701" s="11"/>
      <c r="K11701" s="11"/>
    </row>
    <row r="11702" spans="3:11">
      <c r="C11702" s="11"/>
      <c r="K11702" s="11"/>
    </row>
    <row r="11703" spans="3:11">
      <c r="C11703" s="11"/>
      <c r="K11703" s="11"/>
    </row>
    <row r="11704" spans="3:11">
      <c r="C11704" s="11"/>
      <c r="K11704" s="11"/>
    </row>
    <row r="11705" spans="3:11">
      <c r="C11705" s="11"/>
      <c r="K11705" s="11"/>
    </row>
    <row r="11706" spans="3:11">
      <c r="C11706" s="11"/>
      <c r="K11706" s="11"/>
    </row>
    <row r="11707" spans="3:11">
      <c r="C11707" s="11"/>
      <c r="K11707" s="11"/>
    </row>
    <row r="11708" spans="3:11">
      <c r="C11708" s="11"/>
      <c r="K11708" s="11"/>
    </row>
    <row r="11709" spans="3:11">
      <c r="C11709" s="11"/>
      <c r="K11709" s="11"/>
    </row>
    <row r="11710" spans="3:11">
      <c r="C11710" s="11"/>
      <c r="K11710" s="11"/>
    </row>
    <row r="11711" spans="3:11">
      <c r="C11711" s="11"/>
      <c r="K11711" s="11"/>
    </row>
    <row r="11712" spans="3:11">
      <c r="C11712" s="11"/>
      <c r="K11712" s="11"/>
    </row>
    <row r="11713" spans="3:11">
      <c r="C11713" s="11"/>
      <c r="K11713" s="11"/>
    </row>
    <row r="11714" spans="3:11">
      <c r="C11714" s="11"/>
      <c r="K11714" s="11"/>
    </row>
    <row r="11715" spans="3:11">
      <c r="C11715" s="11"/>
      <c r="K11715" s="11"/>
    </row>
    <row r="11716" spans="3:11">
      <c r="C11716" s="11"/>
      <c r="K11716" s="11"/>
    </row>
    <row r="11717" spans="3:11">
      <c r="C11717" s="11"/>
      <c r="K11717" s="11"/>
    </row>
    <row r="11718" spans="3:11">
      <c r="C11718" s="11"/>
      <c r="K11718" s="11"/>
    </row>
    <row r="11719" spans="3:11">
      <c r="C11719" s="11"/>
      <c r="K11719" s="11"/>
    </row>
    <row r="11720" spans="3:11">
      <c r="C11720" s="11"/>
      <c r="K11720" s="11"/>
    </row>
    <row r="11721" spans="3:11">
      <c r="C11721" s="11"/>
      <c r="K11721" s="11"/>
    </row>
    <row r="11722" spans="3:11">
      <c r="C11722" s="11"/>
      <c r="K11722" s="11"/>
    </row>
    <row r="11723" spans="3:11">
      <c r="C11723" s="11"/>
      <c r="K11723" s="11"/>
    </row>
    <row r="11724" spans="3:11">
      <c r="C11724" s="11"/>
      <c r="K11724" s="11"/>
    </row>
    <row r="11725" spans="3:11">
      <c r="C11725" s="11"/>
      <c r="K11725" s="11"/>
    </row>
    <row r="11726" spans="3:11">
      <c r="C11726" s="11"/>
      <c r="K11726" s="11"/>
    </row>
    <row r="11727" spans="3:11">
      <c r="C11727" s="11"/>
      <c r="K11727" s="11"/>
    </row>
    <row r="11728" spans="3:11">
      <c r="C11728" s="11"/>
      <c r="K11728" s="11"/>
    </row>
    <row r="11729" spans="3:11">
      <c r="C11729" s="11"/>
      <c r="K11729" s="11"/>
    </row>
    <row r="11730" spans="3:11">
      <c r="C11730" s="11"/>
      <c r="K11730" s="11"/>
    </row>
    <row r="11731" spans="3:11">
      <c r="C11731" s="11"/>
      <c r="K11731" s="11"/>
    </row>
    <row r="11732" spans="3:11">
      <c r="C11732" s="11"/>
      <c r="K11732" s="11"/>
    </row>
    <row r="11733" spans="3:11">
      <c r="C11733" s="11"/>
      <c r="K11733" s="11"/>
    </row>
    <row r="11734" spans="3:11">
      <c r="C11734" s="11"/>
      <c r="K11734" s="11"/>
    </row>
    <row r="11735" spans="3:11">
      <c r="C11735" s="11"/>
      <c r="K11735" s="11"/>
    </row>
    <row r="11736" spans="3:11">
      <c r="C11736" s="11"/>
      <c r="K11736" s="11"/>
    </row>
    <row r="11737" spans="3:11">
      <c r="C11737" s="11"/>
      <c r="K11737" s="11"/>
    </row>
    <row r="11738" spans="3:11">
      <c r="C11738" s="11"/>
      <c r="K11738" s="11"/>
    </row>
    <row r="11739" spans="3:11">
      <c r="C11739" s="11"/>
      <c r="K11739" s="11"/>
    </row>
    <row r="11740" spans="3:11">
      <c r="C11740" s="11"/>
      <c r="K11740" s="11"/>
    </row>
    <row r="11741" spans="3:11">
      <c r="C11741" s="11"/>
      <c r="K11741" s="11"/>
    </row>
    <row r="11742" spans="3:11">
      <c r="C11742" s="11"/>
      <c r="K11742" s="11"/>
    </row>
    <row r="11743" spans="3:11">
      <c r="C11743" s="11"/>
      <c r="K11743" s="11"/>
    </row>
    <row r="11744" spans="3:11">
      <c r="C11744" s="11"/>
      <c r="K11744" s="11"/>
    </row>
    <row r="11745" spans="3:11">
      <c r="C11745" s="11"/>
      <c r="K11745" s="11"/>
    </row>
    <row r="11746" spans="3:11">
      <c r="C11746" s="11"/>
      <c r="K11746" s="11"/>
    </row>
    <row r="11747" spans="3:11">
      <c r="C11747" s="11"/>
      <c r="K11747" s="11"/>
    </row>
    <row r="11748" spans="3:11">
      <c r="C11748" s="11"/>
      <c r="K11748" s="11"/>
    </row>
    <row r="11749" spans="3:11">
      <c r="C11749" s="11"/>
      <c r="K11749" s="11"/>
    </row>
    <row r="11750" spans="3:11">
      <c r="C11750" s="11"/>
      <c r="K11750" s="11"/>
    </row>
    <row r="11751" spans="3:11">
      <c r="C11751" s="11"/>
      <c r="K11751" s="11"/>
    </row>
    <row r="11752" spans="3:11">
      <c r="C11752" s="11"/>
      <c r="K11752" s="11"/>
    </row>
    <row r="11753" spans="3:11">
      <c r="C11753" s="11"/>
      <c r="K11753" s="11"/>
    </row>
    <row r="11754" spans="3:11">
      <c r="C11754" s="11"/>
      <c r="K11754" s="11"/>
    </row>
    <row r="11755" spans="3:11">
      <c r="C11755" s="11"/>
      <c r="K11755" s="11"/>
    </row>
    <row r="11756" spans="3:11">
      <c r="C11756" s="11"/>
      <c r="K11756" s="11"/>
    </row>
    <row r="11757" spans="3:11">
      <c r="C11757" s="11"/>
      <c r="K11757" s="11"/>
    </row>
    <row r="11758" spans="3:11">
      <c r="C11758" s="11"/>
      <c r="K11758" s="11"/>
    </row>
    <row r="11759" spans="3:11">
      <c r="C11759" s="11"/>
      <c r="K11759" s="11"/>
    </row>
    <row r="11760" spans="3:11">
      <c r="C11760" s="11"/>
      <c r="K11760" s="11"/>
    </row>
    <row r="11761" spans="3:11">
      <c r="C11761" s="11"/>
      <c r="K11761" s="11"/>
    </row>
    <row r="11762" spans="3:11">
      <c r="C11762" s="11"/>
      <c r="K11762" s="11"/>
    </row>
    <row r="11763" spans="3:11">
      <c r="C11763" s="11"/>
      <c r="K11763" s="11"/>
    </row>
    <row r="11764" spans="3:11">
      <c r="C11764" s="11"/>
      <c r="K11764" s="11"/>
    </row>
    <row r="11765" spans="3:11">
      <c r="C11765" s="11"/>
      <c r="K11765" s="11"/>
    </row>
    <row r="11766" spans="3:11">
      <c r="C11766" s="11"/>
      <c r="K11766" s="11"/>
    </row>
    <row r="11767" spans="3:11">
      <c r="C11767" s="11"/>
      <c r="K11767" s="11"/>
    </row>
    <row r="11768" spans="3:11">
      <c r="C11768" s="11"/>
      <c r="K11768" s="11"/>
    </row>
    <row r="11769" spans="3:11">
      <c r="C11769" s="11"/>
      <c r="K11769" s="11"/>
    </row>
    <row r="11770" spans="3:11">
      <c r="C11770" s="11"/>
      <c r="K11770" s="11"/>
    </row>
    <row r="11771" spans="3:11">
      <c r="C11771" s="11"/>
      <c r="K11771" s="11"/>
    </row>
    <row r="11772" spans="3:11">
      <c r="C11772" s="11"/>
      <c r="K11772" s="11"/>
    </row>
    <row r="11773" spans="3:11">
      <c r="C11773" s="11"/>
      <c r="K11773" s="11"/>
    </row>
    <row r="11774" spans="3:11">
      <c r="C11774" s="11"/>
      <c r="K11774" s="11"/>
    </row>
    <row r="11775" spans="3:11">
      <c r="C11775" s="11"/>
      <c r="K11775" s="11"/>
    </row>
    <row r="11776" spans="3:11">
      <c r="C11776" s="11"/>
      <c r="K11776" s="11"/>
    </row>
    <row r="11777" spans="3:11">
      <c r="C11777" s="11"/>
      <c r="K11777" s="11"/>
    </row>
    <row r="11778" spans="3:11">
      <c r="C11778" s="11"/>
      <c r="K11778" s="11"/>
    </row>
    <row r="11779" spans="3:11">
      <c r="C11779" s="11"/>
      <c r="K11779" s="11"/>
    </row>
    <row r="11780" spans="3:11">
      <c r="C11780" s="11"/>
      <c r="K11780" s="11"/>
    </row>
    <row r="11781" spans="3:11">
      <c r="C11781" s="11"/>
      <c r="K11781" s="11"/>
    </row>
    <row r="11782" spans="3:11">
      <c r="C11782" s="11"/>
      <c r="K11782" s="11"/>
    </row>
    <row r="11783" spans="3:11">
      <c r="C11783" s="11"/>
      <c r="K11783" s="11"/>
    </row>
    <row r="11784" spans="3:11">
      <c r="C11784" s="11"/>
      <c r="K11784" s="11"/>
    </row>
    <row r="11785" spans="3:11">
      <c r="C11785" s="11"/>
      <c r="K11785" s="11"/>
    </row>
    <row r="11786" spans="3:11">
      <c r="C11786" s="11"/>
      <c r="K11786" s="11"/>
    </row>
    <row r="11787" spans="3:11">
      <c r="C11787" s="11"/>
      <c r="K11787" s="11"/>
    </row>
    <row r="11788" spans="3:11">
      <c r="C11788" s="11"/>
      <c r="K11788" s="11"/>
    </row>
    <row r="11789" spans="3:11">
      <c r="C11789" s="11"/>
      <c r="K11789" s="11"/>
    </row>
    <row r="11790" spans="3:11">
      <c r="C11790" s="11"/>
      <c r="K11790" s="11"/>
    </row>
    <row r="11791" spans="3:11">
      <c r="C11791" s="11"/>
      <c r="K11791" s="11"/>
    </row>
    <row r="11792" spans="3:11">
      <c r="C11792" s="11"/>
      <c r="K11792" s="11"/>
    </row>
    <row r="11793" spans="3:11">
      <c r="C11793" s="11"/>
      <c r="K11793" s="11"/>
    </row>
    <row r="11794" spans="3:11">
      <c r="C11794" s="11"/>
      <c r="K11794" s="11"/>
    </row>
    <row r="11795" spans="3:11">
      <c r="C11795" s="11"/>
      <c r="K11795" s="11"/>
    </row>
    <row r="11796" spans="3:11">
      <c r="C11796" s="11"/>
      <c r="K11796" s="11"/>
    </row>
    <row r="11797" spans="3:11">
      <c r="C11797" s="11"/>
      <c r="K11797" s="11"/>
    </row>
    <row r="11798" spans="3:11">
      <c r="C11798" s="11"/>
      <c r="K11798" s="11"/>
    </row>
    <row r="11799" spans="3:11">
      <c r="C11799" s="11"/>
      <c r="K11799" s="11"/>
    </row>
    <row r="11800" spans="3:11">
      <c r="C11800" s="11"/>
      <c r="K11800" s="11"/>
    </row>
    <row r="11801" spans="3:11">
      <c r="C11801" s="11"/>
      <c r="K11801" s="11"/>
    </row>
    <row r="11802" spans="3:11">
      <c r="C11802" s="11"/>
      <c r="K11802" s="11"/>
    </row>
    <row r="11803" spans="3:11">
      <c r="C11803" s="11"/>
      <c r="K11803" s="11"/>
    </row>
    <row r="11804" spans="3:11">
      <c r="C11804" s="11"/>
      <c r="K11804" s="11"/>
    </row>
    <row r="11805" spans="3:11">
      <c r="C11805" s="11"/>
      <c r="K11805" s="11"/>
    </row>
    <row r="11806" spans="3:11">
      <c r="C11806" s="11"/>
      <c r="K11806" s="11"/>
    </row>
    <row r="11807" spans="3:11">
      <c r="C11807" s="11"/>
      <c r="K11807" s="11"/>
    </row>
    <row r="11808" spans="3:11">
      <c r="C11808" s="11"/>
      <c r="K11808" s="11"/>
    </row>
    <row r="11809" spans="3:11">
      <c r="C11809" s="11"/>
      <c r="K11809" s="11"/>
    </row>
    <row r="11810" spans="3:11">
      <c r="C11810" s="11"/>
      <c r="K11810" s="11"/>
    </row>
    <row r="11811" spans="3:11">
      <c r="C11811" s="11"/>
      <c r="K11811" s="11"/>
    </row>
    <row r="11812" spans="3:11">
      <c r="C11812" s="11"/>
      <c r="K11812" s="11"/>
    </row>
    <row r="11813" spans="3:11">
      <c r="C11813" s="11"/>
      <c r="K11813" s="11"/>
    </row>
    <row r="11814" spans="3:11">
      <c r="C11814" s="11"/>
      <c r="K11814" s="11"/>
    </row>
    <row r="11815" spans="3:11">
      <c r="C11815" s="11"/>
      <c r="K11815" s="11"/>
    </row>
    <row r="11816" spans="3:11">
      <c r="C11816" s="11"/>
      <c r="K11816" s="11"/>
    </row>
    <row r="11817" spans="3:11">
      <c r="C11817" s="11"/>
      <c r="K11817" s="11"/>
    </row>
    <row r="11818" spans="3:11">
      <c r="C11818" s="11"/>
      <c r="K11818" s="11"/>
    </row>
    <row r="11819" spans="3:11">
      <c r="C11819" s="11"/>
      <c r="K11819" s="11"/>
    </row>
    <row r="11820" spans="3:11">
      <c r="C11820" s="11"/>
      <c r="K11820" s="11"/>
    </row>
    <row r="11821" spans="3:11">
      <c r="C11821" s="11"/>
      <c r="K11821" s="11"/>
    </row>
    <row r="11822" spans="3:11">
      <c r="C11822" s="11"/>
      <c r="K11822" s="11"/>
    </row>
    <row r="11823" spans="3:11">
      <c r="C11823" s="11"/>
      <c r="K11823" s="11"/>
    </row>
    <row r="11824" spans="3:11">
      <c r="C11824" s="11"/>
      <c r="K11824" s="11"/>
    </row>
    <row r="11825" spans="3:11">
      <c r="C11825" s="11"/>
      <c r="K11825" s="11"/>
    </row>
    <row r="11826" spans="3:11">
      <c r="C11826" s="11"/>
      <c r="K11826" s="11"/>
    </row>
    <row r="11827" spans="3:11">
      <c r="C11827" s="11"/>
      <c r="K11827" s="11"/>
    </row>
    <row r="11828" spans="3:11">
      <c r="C11828" s="11"/>
      <c r="K11828" s="11"/>
    </row>
    <row r="11829" spans="3:11">
      <c r="C11829" s="11"/>
      <c r="K11829" s="11"/>
    </row>
    <row r="11830" spans="3:11">
      <c r="C11830" s="11"/>
      <c r="K11830" s="11"/>
    </row>
    <row r="11831" spans="3:11">
      <c r="C11831" s="11"/>
      <c r="K11831" s="11"/>
    </row>
    <row r="11832" spans="3:11">
      <c r="C11832" s="11"/>
      <c r="K11832" s="11"/>
    </row>
    <row r="11833" spans="3:11">
      <c r="C11833" s="11"/>
      <c r="K11833" s="11"/>
    </row>
    <row r="11834" spans="3:11">
      <c r="C11834" s="11"/>
      <c r="K11834" s="11"/>
    </row>
    <row r="11835" spans="3:11">
      <c r="C11835" s="11"/>
      <c r="K11835" s="11"/>
    </row>
    <row r="11836" spans="3:11">
      <c r="C11836" s="11"/>
      <c r="K11836" s="11"/>
    </row>
    <row r="11837" spans="3:11">
      <c r="C11837" s="11"/>
      <c r="K11837" s="11"/>
    </row>
    <row r="11838" spans="3:11">
      <c r="C11838" s="11"/>
      <c r="K11838" s="11"/>
    </row>
    <row r="11839" spans="3:11">
      <c r="C11839" s="11"/>
      <c r="K11839" s="11"/>
    </row>
    <row r="11840" spans="3:11">
      <c r="C11840" s="11"/>
      <c r="K11840" s="11"/>
    </row>
    <row r="11841" spans="3:11">
      <c r="C11841" s="11"/>
      <c r="K11841" s="11"/>
    </row>
    <row r="11842" spans="3:11">
      <c r="C11842" s="11"/>
      <c r="K11842" s="11"/>
    </row>
    <row r="11843" spans="3:11">
      <c r="C11843" s="11"/>
      <c r="K11843" s="11"/>
    </row>
    <row r="11844" spans="3:11">
      <c r="C11844" s="11"/>
      <c r="K11844" s="11"/>
    </row>
    <row r="11845" spans="3:11">
      <c r="C11845" s="11"/>
      <c r="K11845" s="11"/>
    </row>
    <row r="11846" spans="3:11">
      <c r="C11846" s="11"/>
      <c r="K11846" s="11"/>
    </row>
    <row r="11847" spans="3:11">
      <c r="C11847" s="11"/>
      <c r="K11847" s="11"/>
    </row>
    <row r="11848" spans="3:11">
      <c r="C11848" s="11"/>
      <c r="K11848" s="11"/>
    </row>
    <row r="11849" spans="3:11">
      <c r="C11849" s="11"/>
      <c r="K11849" s="11"/>
    </row>
    <row r="11850" spans="3:11">
      <c r="C11850" s="11"/>
      <c r="K11850" s="11"/>
    </row>
    <row r="11851" spans="3:11">
      <c r="C11851" s="11"/>
      <c r="K11851" s="11"/>
    </row>
    <row r="11852" spans="3:11">
      <c r="C11852" s="11"/>
      <c r="K11852" s="11"/>
    </row>
    <row r="11853" spans="3:11">
      <c r="C11853" s="11"/>
      <c r="K11853" s="11"/>
    </row>
    <row r="11854" spans="3:11">
      <c r="C11854" s="11"/>
      <c r="K11854" s="11"/>
    </row>
    <row r="11855" spans="3:11">
      <c r="C11855" s="11"/>
      <c r="K11855" s="11"/>
    </row>
    <row r="11856" spans="3:11">
      <c r="C11856" s="11"/>
      <c r="K11856" s="11"/>
    </row>
    <row r="11857" spans="3:11">
      <c r="C11857" s="11"/>
      <c r="K11857" s="11"/>
    </row>
    <row r="11858" spans="3:11">
      <c r="C11858" s="11"/>
      <c r="K11858" s="11"/>
    </row>
    <row r="11859" spans="3:11">
      <c r="C11859" s="11"/>
      <c r="K11859" s="11"/>
    </row>
    <row r="11860" spans="3:11">
      <c r="C11860" s="11"/>
      <c r="K11860" s="11"/>
    </row>
    <row r="11861" spans="3:11">
      <c r="C11861" s="11"/>
      <c r="K11861" s="11"/>
    </row>
    <row r="11862" spans="3:11">
      <c r="C11862" s="11"/>
      <c r="K11862" s="11"/>
    </row>
    <row r="11863" spans="3:11">
      <c r="C11863" s="11"/>
      <c r="K11863" s="11"/>
    </row>
    <row r="11864" spans="3:11">
      <c r="C11864" s="11"/>
      <c r="K11864" s="11"/>
    </row>
    <row r="11865" spans="3:11">
      <c r="C11865" s="11"/>
      <c r="K11865" s="11"/>
    </row>
    <row r="11866" spans="3:11">
      <c r="C11866" s="11"/>
      <c r="K11866" s="11"/>
    </row>
    <row r="11867" spans="3:11">
      <c r="C11867" s="11"/>
      <c r="K11867" s="11"/>
    </row>
    <row r="11868" spans="3:11">
      <c r="C11868" s="11"/>
      <c r="K11868" s="11"/>
    </row>
    <row r="11869" spans="3:11">
      <c r="C11869" s="11"/>
      <c r="K11869" s="11"/>
    </row>
    <row r="11870" spans="3:11">
      <c r="C11870" s="11"/>
      <c r="K11870" s="11"/>
    </row>
    <row r="11871" spans="3:11">
      <c r="C11871" s="11"/>
      <c r="K11871" s="11"/>
    </row>
    <row r="11872" spans="3:11">
      <c r="C11872" s="11"/>
      <c r="K11872" s="11"/>
    </row>
    <row r="11873" spans="3:11">
      <c r="C11873" s="11"/>
      <c r="K11873" s="11"/>
    </row>
    <row r="11874" spans="3:11">
      <c r="C11874" s="11"/>
      <c r="K11874" s="11"/>
    </row>
    <row r="11875" spans="3:11">
      <c r="C11875" s="11"/>
      <c r="K11875" s="11"/>
    </row>
    <row r="11876" spans="3:11">
      <c r="C11876" s="11"/>
      <c r="K11876" s="11"/>
    </row>
    <row r="11877" spans="3:11">
      <c r="C11877" s="11"/>
      <c r="K11877" s="11"/>
    </row>
    <row r="11878" spans="3:11">
      <c r="C11878" s="11"/>
      <c r="K11878" s="11"/>
    </row>
    <row r="11879" spans="3:11">
      <c r="C11879" s="11"/>
      <c r="K11879" s="11"/>
    </row>
    <row r="11880" spans="3:11">
      <c r="C11880" s="11"/>
      <c r="K11880" s="11"/>
    </row>
    <row r="11881" spans="3:11">
      <c r="C11881" s="11"/>
      <c r="K11881" s="11"/>
    </row>
    <row r="11882" spans="3:11">
      <c r="C11882" s="11"/>
      <c r="K11882" s="11"/>
    </row>
    <row r="11883" spans="3:11">
      <c r="C11883" s="11"/>
      <c r="K11883" s="11"/>
    </row>
    <row r="11884" spans="3:11">
      <c r="C11884" s="11"/>
      <c r="K11884" s="11"/>
    </row>
    <row r="11885" spans="3:11">
      <c r="C11885" s="11"/>
      <c r="K11885" s="11"/>
    </row>
    <row r="11886" spans="3:11">
      <c r="C11886" s="11"/>
      <c r="K11886" s="11"/>
    </row>
    <row r="11887" spans="3:11">
      <c r="C11887" s="11"/>
      <c r="K11887" s="11"/>
    </row>
    <row r="11888" spans="3:11">
      <c r="C11888" s="11"/>
      <c r="K11888" s="11"/>
    </row>
    <row r="11889" spans="3:11">
      <c r="C11889" s="11"/>
      <c r="K11889" s="11"/>
    </row>
    <row r="11890" spans="3:11">
      <c r="C11890" s="11"/>
      <c r="K11890" s="11"/>
    </row>
    <row r="11891" spans="3:11">
      <c r="C11891" s="11"/>
      <c r="K11891" s="11"/>
    </row>
    <row r="11892" spans="3:11">
      <c r="C11892" s="11"/>
      <c r="K11892" s="11"/>
    </row>
    <row r="11893" spans="3:11">
      <c r="C11893" s="11"/>
      <c r="K11893" s="11"/>
    </row>
    <row r="11894" spans="3:11">
      <c r="C11894" s="11"/>
      <c r="K11894" s="11"/>
    </row>
    <row r="11895" spans="3:11">
      <c r="C11895" s="11"/>
      <c r="K11895" s="11"/>
    </row>
    <row r="11896" spans="3:11">
      <c r="C11896" s="11"/>
      <c r="K11896" s="11"/>
    </row>
    <row r="11897" spans="3:11">
      <c r="C11897" s="11"/>
      <c r="K11897" s="11"/>
    </row>
    <row r="11898" spans="3:11">
      <c r="C11898" s="11"/>
      <c r="K11898" s="11"/>
    </row>
    <row r="11899" spans="3:11">
      <c r="C11899" s="11"/>
      <c r="K11899" s="11"/>
    </row>
    <row r="11900" spans="3:11">
      <c r="C11900" s="11"/>
      <c r="K11900" s="11"/>
    </row>
    <row r="11901" spans="3:11">
      <c r="C11901" s="11"/>
      <c r="K11901" s="11"/>
    </row>
    <row r="11902" spans="3:11">
      <c r="C11902" s="11"/>
      <c r="K11902" s="11"/>
    </row>
    <row r="11903" spans="3:11">
      <c r="C11903" s="11"/>
      <c r="K11903" s="11"/>
    </row>
    <row r="11904" spans="3:11">
      <c r="C11904" s="11"/>
      <c r="K11904" s="11"/>
    </row>
    <row r="11905" spans="3:11">
      <c r="C11905" s="11"/>
      <c r="K11905" s="11"/>
    </row>
    <row r="11906" spans="3:11">
      <c r="C11906" s="11"/>
      <c r="K11906" s="11"/>
    </row>
    <row r="11907" spans="3:11">
      <c r="C11907" s="11"/>
      <c r="K11907" s="11"/>
    </row>
    <row r="11908" spans="3:11">
      <c r="C11908" s="11"/>
      <c r="K11908" s="11"/>
    </row>
    <row r="11909" spans="3:11">
      <c r="C11909" s="11"/>
      <c r="K11909" s="11"/>
    </row>
    <row r="11910" spans="3:11">
      <c r="C11910" s="11"/>
      <c r="K11910" s="11"/>
    </row>
    <row r="11911" spans="3:11">
      <c r="C11911" s="11"/>
      <c r="K11911" s="11"/>
    </row>
    <row r="11912" spans="3:11">
      <c r="C11912" s="11"/>
      <c r="K11912" s="11"/>
    </row>
    <row r="11913" spans="3:11">
      <c r="C11913" s="11"/>
      <c r="K11913" s="11"/>
    </row>
    <row r="11914" spans="3:11">
      <c r="C11914" s="11"/>
      <c r="K11914" s="11"/>
    </row>
    <row r="11915" spans="3:11">
      <c r="C11915" s="11"/>
      <c r="K11915" s="11"/>
    </row>
    <row r="11916" spans="3:11">
      <c r="C11916" s="11"/>
      <c r="K11916" s="11"/>
    </row>
    <row r="11917" spans="3:11">
      <c r="C11917" s="11"/>
      <c r="K11917" s="11"/>
    </row>
    <row r="11918" spans="3:11">
      <c r="C11918" s="11"/>
      <c r="K11918" s="11"/>
    </row>
    <row r="11919" spans="3:11">
      <c r="C11919" s="11"/>
      <c r="K11919" s="11"/>
    </row>
    <row r="11920" spans="3:11">
      <c r="C11920" s="11"/>
      <c r="K11920" s="11"/>
    </row>
    <row r="11921" spans="3:11">
      <c r="C11921" s="11"/>
      <c r="K11921" s="11"/>
    </row>
    <row r="11922" spans="3:11">
      <c r="C11922" s="11"/>
      <c r="K11922" s="11"/>
    </row>
    <row r="11923" spans="3:11">
      <c r="C11923" s="11"/>
      <c r="K11923" s="11"/>
    </row>
    <row r="11924" spans="3:11">
      <c r="C11924" s="11"/>
      <c r="K11924" s="11"/>
    </row>
    <row r="11925" spans="3:11">
      <c r="C11925" s="11"/>
      <c r="K11925" s="11"/>
    </row>
    <row r="11926" spans="3:11">
      <c r="C11926" s="11"/>
      <c r="K11926" s="11"/>
    </row>
    <row r="11927" spans="3:11">
      <c r="C11927" s="11"/>
      <c r="K11927" s="11"/>
    </row>
    <row r="11928" spans="3:11">
      <c r="C11928" s="11"/>
      <c r="K11928" s="11"/>
    </row>
    <row r="11929" spans="3:11">
      <c r="C11929" s="11"/>
      <c r="K11929" s="11"/>
    </row>
    <row r="11930" spans="3:11">
      <c r="C11930" s="11"/>
      <c r="K11930" s="11"/>
    </row>
    <row r="11931" spans="3:11">
      <c r="C11931" s="11"/>
      <c r="K11931" s="11"/>
    </row>
    <row r="11932" spans="3:11">
      <c r="C11932" s="11"/>
      <c r="K11932" s="11"/>
    </row>
    <row r="11933" spans="3:11">
      <c r="C11933" s="11"/>
      <c r="K11933" s="11"/>
    </row>
    <row r="11934" spans="3:11">
      <c r="C11934" s="11"/>
      <c r="K11934" s="11"/>
    </row>
    <row r="11935" spans="3:11">
      <c r="C11935" s="11"/>
      <c r="K11935" s="11"/>
    </row>
    <row r="11936" spans="3:11">
      <c r="C11936" s="11"/>
      <c r="K11936" s="11"/>
    </row>
    <row r="11937" spans="3:11">
      <c r="C11937" s="11"/>
      <c r="K11937" s="11"/>
    </row>
    <row r="11938" spans="3:11">
      <c r="C11938" s="11"/>
      <c r="K11938" s="11"/>
    </row>
    <row r="11939" spans="3:11">
      <c r="C11939" s="11"/>
      <c r="K11939" s="11"/>
    </row>
    <row r="11940" spans="3:11">
      <c r="C11940" s="11"/>
      <c r="K11940" s="11"/>
    </row>
    <row r="11941" spans="3:11">
      <c r="C11941" s="11"/>
      <c r="K11941" s="11"/>
    </row>
    <row r="11942" spans="3:11">
      <c r="C11942" s="11"/>
      <c r="K11942" s="11"/>
    </row>
    <row r="11943" spans="3:11">
      <c r="C11943" s="11"/>
      <c r="K11943" s="11"/>
    </row>
    <row r="11944" spans="3:11">
      <c r="C11944" s="11"/>
      <c r="K11944" s="11"/>
    </row>
    <row r="11945" spans="3:11">
      <c r="C11945" s="11"/>
      <c r="K11945" s="11"/>
    </row>
    <row r="11946" spans="3:11">
      <c r="C11946" s="11"/>
      <c r="K11946" s="11"/>
    </row>
    <row r="11947" spans="3:11">
      <c r="C11947" s="11"/>
      <c r="K11947" s="11"/>
    </row>
    <row r="11948" spans="3:11">
      <c r="C11948" s="11"/>
      <c r="K11948" s="11"/>
    </row>
    <row r="11949" spans="3:11">
      <c r="C11949" s="11"/>
      <c r="K11949" s="11"/>
    </row>
    <row r="11950" spans="3:11">
      <c r="C11950" s="11"/>
      <c r="K11950" s="11"/>
    </row>
    <row r="11951" spans="3:11">
      <c r="C11951" s="11"/>
      <c r="K11951" s="11"/>
    </row>
    <row r="11952" spans="3:11">
      <c r="C11952" s="11"/>
      <c r="K11952" s="11"/>
    </row>
    <row r="11953" spans="3:11">
      <c r="C11953" s="11"/>
      <c r="K11953" s="11"/>
    </row>
    <row r="11954" spans="3:11">
      <c r="C11954" s="11"/>
      <c r="K11954" s="11"/>
    </row>
    <row r="11955" spans="3:11">
      <c r="C11955" s="11"/>
      <c r="K11955" s="11"/>
    </row>
    <row r="11956" spans="3:11">
      <c r="C11956" s="11"/>
      <c r="K11956" s="11"/>
    </row>
    <row r="11957" spans="3:11">
      <c r="C11957" s="11"/>
      <c r="K11957" s="11"/>
    </row>
    <row r="11958" spans="3:11">
      <c r="C11958" s="11"/>
      <c r="K11958" s="11"/>
    </row>
    <row r="11959" spans="3:11">
      <c r="C11959" s="11"/>
      <c r="K11959" s="11"/>
    </row>
    <row r="11960" spans="3:11">
      <c r="C11960" s="11"/>
      <c r="K11960" s="11"/>
    </row>
    <row r="11961" spans="3:11">
      <c r="C11961" s="11"/>
      <c r="K11961" s="11"/>
    </row>
    <row r="11962" spans="3:11">
      <c r="C11962" s="11"/>
      <c r="K11962" s="11"/>
    </row>
    <row r="11963" spans="3:11">
      <c r="C11963" s="11"/>
      <c r="K11963" s="11"/>
    </row>
    <row r="11964" spans="3:11">
      <c r="C11964" s="11"/>
      <c r="K11964" s="11"/>
    </row>
    <row r="11965" spans="3:11">
      <c r="C11965" s="11"/>
      <c r="K11965" s="11"/>
    </row>
    <row r="11966" spans="3:11">
      <c r="C11966" s="11"/>
      <c r="K11966" s="11"/>
    </row>
    <row r="11967" spans="3:11">
      <c r="C11967" s="11"/>
      <c r="K11967" s="11"/>
    </row>
    <row r="11968" spans="3:11">
      <c r="C11968" s="11"/>
      <c r="K11968" s="11"/>
    </row>
    <row r="11969" spans="3:11">
      <c r="C11969" s="11"/>
      <c r="K11969" s="11"/>
    </row>
    <row r="11970" spans="3:11">
      <c r="C11970" s="11"/>
      <c r="K11970" s="11"/>
    </row>
    <row r="11971" spans="3:11">
      <c r="C11971" s="11"/>
      <c r="K11971" s="11"/>
    </row>
    <row r="11972" spans="3:11">
      <c r="C11972" s="11"/>
      <c r="K11972" s="11"/>
    </row>
    <row r="11973" spans="3:11">
      <c r="C11973" s="11"/>
      <c r="K11973" s="11"/>
    </row>
    <row r="11974" spans="3:11">
      <c r="C11974" s="11"/>
      <c r="K11974" s="11"/>
    </row>
    <row r="11975" spans="3:11">
      <c r="C11975" s="11"/>
      <c r="K11975" s="11"/>
    </row>
    <row r="11976" spans="3:11">
      <c r="C11976" s="11"/>
      <c r="K11976" s="11"/>
    </row>
    <row r="11977" spans="3:11">
      <c r="C11977" s="11"/>
      <c r="K11977" s="11"/>
    </row>
    <row r="11978" spans="3:11">
      <c r="C11978" s="11"/>
      <c r="K11978" s="11"/>
    </row>
    <row r="11979" spans="3:11">
      <c r="C11979" s="11"/>
      <c r="K11979" s="11"/>
    </row>
    <row r="11980" spans="3:11">
      <c r="C11980" s="11"/>
      <c r="K11980" s="11"/>
    </row>
    <row r="11981" spans="3:11">
      <c r="C11981" s="11"/>
      <c r="K11981" s="11"/>
    </row>
    <row r="11982" spans="3:11">
      <c r="C11982" s="11"/>
      <c r="K11982" s="11"/>
    </row>
    <row r="11983" spans="3:11">
      <c r="C11983" s="11"/>
      <c r="K11983" s="11"/>
    </row>
    <row r="11984" spans="3:11">
      <c r="C11984" s="11"/>
      <c r="K11984" s="11"/>
    </row>
    <row r="11985" spans="3:11">
      <c r="C11985" s="11"/>
      <c r="K11985" s="11"/>
    </row>
    <row r="11986" spans="3:11">
      <c r="C11986" s="11"/>
      <c r="K11986" s="11"/>
    </row>
    <row r="11987" spans="3:11">
      <c r="C11987" s="11"/>
      <c r="K11987" s="11"/>
    </row>
    <row r="11988" spans="3:11">
      <c r="C11988" s="11"/>
      <c r="K11988" s="11"/>
    </row>
    <row r="11989" spans="3:11">
      <c r="C11989" s="11"/>
      <c r="K11989" s="11"/>
    </row>
    <row r="11990" spans="3:11">
      <c r="C11990" s="11"/>
      <c r="K11990" s="11"/>
    </row>
    <row r="11991" spans="3:11">
      <c r="C11991" s="11"/>
      <c r="K11991" s="11"/>
    </row>
    <row r="11992" spans="3:11">
      <c r="C11992" s="11"/>
      <c r="K11992" s="11"/>
    </row>
    <row r="11993" spans="3:11">
      <c r="C11993" s="11"/>
      <c r="K11993" s="11"/>
    </row>
    <row r="11994" spans="3:11">
      <c r="C11994" s="11"/>
      <c r="K11994" s="11"/>
    </row>
    <row r="11995" spans="3:11">
      <c r="C11995" s="11"/>
      <c r="K11995" s="11"/>
    </row>
    <row r="11996" spans="3:11">
      <c r="C11996" s="11"/>
      <c r="K11996" s="11"/>
    </row>
    <row r="11997" spans="3:11">
      <c r="C11997" s="11"/>
      <c r="K11997" s="11"/>
    </row>
    <row r="11998" spans="3:11">
      <c r="C11998" s="11"/>
      <c r="K11998" s="11"/>
    </row>
    <row r="11999" spans="3:11">
      <c r="C11999" s="11"/>
      <c r="K11999" s="11"/>
    </row>
    <row r="12000" spans="3:11">
      <c r="C12000" s="11"/>
      <c r="K12000" s="11"/>
    </row>
    <row r="12001" spans="3:11">
      <c r="C12001" s="11"/>
      <c r="K12001" s="11"/>
    </row>
    <row r="12002" spans="3:11">
      <c r="C12002" s="11"/>
      <c r="K12002" s="11"/>
    </row>
    <row r="12003" spans="3:11">
      <c r="C12003" s="11"/>
      <c r="K12003" s="11"/>
    </row>
    <row r="12004" spans="3:11">
      <c r="C12004" s="11"/>
      <c r="K12004" s="11"/>
    </row>
    <row r="12005" spans="3:11">
      <c r="C12005" s="11"/>
      <c r="K12005" s="11"/>
    </row>
    <row r="12006" spans="3:11">
      <c r="C12006" s="11"/>
      <c r="K12006" s="11"/>
    </row>
    <row r="12007" spans="3:11">
      <c r="C12007" s="11"/>
      <c r="K12007" s="11"/>
    </row>
    <row r="12008" spans="3:11">
      <c r="C12008" s="11"/>
      <c r="K12008" s="11"/>
    </row>
    <row r="12009" spans="3:11">
      <c r="C12009" s="11"/>
      <c r="K12009" s="11"/>
    </row>
    <row r="12010" spans="3:11">
      <c r="C12010" s="11"/>
      <c r="K12010" s="11"/>
    </row>
    <row r="12011" spans="3:11">
      <c r="C12011" s="11"/>
      <c r="K12011" s="11"/>
    </row>
    <row r="12012" spans="3:11">
      <c r="C12012" s="11"/>
      <c r="K12012" s="11"/>
    </row>
    <row r="12013" spans="3:11">
      <c r="C12013" s="11"/>
      <c r="K12013" s="11"/>
    </row>
    <row r="12014" spans="3:11">
      <c r="C12014" s="11"/>
      <c r="K12014" s="11"/>
    </row>
    <row r="12015" spans="3:11">
      <c r="C12015" s="11"/>
      <c r="K12015" s="11"/>
    </row>
    <row r="12016" spans="3:11">
      <c r="C12016" s="11"/>
      <c r="K12016" s="11"/>
    </row>
    <row r="12017" spans="3:11">
      <c r="C12017" s="11"/>
      <c r="K12017" s="11"/>
    </row>
    <row r="12018" spans="3:11">
      <c r="C12018" s="11"/>
      <c r="K12018" s="11"/>
    </row>
    <row r="12019" spans="3:11">
      <c r="C12019" s="11"/>
      <c r="K12019" s="11"/>
    </row>
    <row r="12020" spans="3:11">
      <c r="C12020" s="11"/>
      <c r="K12020" s="11"/>
    </row>
    <row r="12021" spans="3:11">
      <c r="C12021" s="11"/>
      <c r="K12021" s="11"/>
    </row>
    <row r="12022" spans="3:11">
      <c r="C12022" s="11"/>
      <c r="K12022" s="11"/>
    </row>
    <row r="12023" spans="3:11">
      <c r="C12023" s="11"/>
      <c r="K12023" s="11"/>
    </row>
    <row r="12024" spans="3:11">
      <c r="C12024" s="11"/>
      <c r="K12024" s="11"/>
    </row>
    <row r="12025" spans="3:11">
      <c r="C12025" s="11"/>
      <c r="K12025" s="11"/>
    </row>
    <row r="12026" spans="3:11">
      <c r="C12026" s="11"/>
      <c r="K12026" s="11"/>
    </row>
    <row r="12027" spans="3:11">
      <c r="C12027" s="11"/>
      <c r="K12027" s="11"/>
    </row>
    <row r="12028" spans="3:11">
      <c r="C12028" s="11"/>
      <c r="K12028" s="11"/>
    </row>
    <row r="12029" spans="3:11">
      <c r="C12029" s="11"/>
      <c r="K12029" s="11"/>
    </row>
    <row r="12030" spans="3:11">
      <c r="C12030" s="11"/>
      <c r="K12030" s="11"/>
    </row>
    <row r="12031" spans="3:11">
      <c r="C12031" s="11"/>
      <c r="K12031" s="11"/>
    </row>
    <row r="12032" spans="3:11">
      <c r="C12032" s="11"/>
      <c r="K12032" s="11"/>
    </row>
    <row r="12033" spans="3:11">
      <c r="C12033" s="11"/>
      <c r="K12033" s="11"/>
    </row>
    <row r="12034" spans="3:11">
      <c r="C12034" s="11"/>
      <c r="K12034" s="11"/>
    </row>
    <row r="12035" spans="3:11">
      <c r="C12035" s="11"/>
      <c r="K12035" s="11"/>
    </row>
    <row r="12036" spans="3:11">
      <c r="C12036" s="11"/>
      <c r="K12036" s="11"/>
    </row>
    <row r="12037" spans="3:11">
      <c r="C12037" s="11"/>
      <c r="K12037" s="11"/>
    </row>
    <row r="12038" spans="3:11">
      <c r="C12038" s="11"/>
      <c r="K12038" s="11"/>
    </row>
    <row r="12039" spans="3:11">
      <c r="C12039" s="11"/>
      <c r="K12039" s="11"/>
    </row>
    <row r="12040" spans="3:11">
      <c r="C12040" s="11"/>
      <c r="K12040" s="11"/>
    </row>
    <row r="12041" spans="3:11">
      <c r="C12041" s="11"/>
      <c r="K12041" s="11"/>
    </row>
    <row r="12042" spans="3:11">
      <c r="C12042" s="11"/>
      <c r="K12042" s="11"/>
    </row>
    <row r="12043" spans="3:11">
      <c r="C12043" s="11"/>
      <c r="K12043" s="11"/>
    </row>
    <row r="12044" spans="3:11">
      <c r="C12044" s="11"/>
      <c r="K12044" s="11"/>
    </row>
    <row r="12045" spans="3:11">
      <c r="C12045" s="11"/>
      <c r="K12045" s="11"/>
    </row>
    <row r="12046" spans="3:11">
      <c r="C12046" s="11"/>
      <c r="K12046" s="11"/>
    </row>
    <row r="12047" spans="3:11">
      <c r="C12047" s="11"/>
      <c r="K12047" s="11"/>
    </row>
    <row r="12048" spans="3:11">
      <c r="C12048" s="11"/>
      <c r="K12048" s="11"/>
    </row>
    <row r="12049" spans="3:11">
      <c r="C12049" s="11"/>
      <c r="K12049" s="11"/>
    </row>
    <row r="12050" spans="3:11">
      <c r="C12050" s="11"/>
      <c r="K12050" s="11"/>
    </row>
    <row r="12051" spans="3:11">
      <c r="C12051" s="11"/>
      <c r="K12051" s="11"/>
    </row>
    <row r="12052" spans="3:11">
      <c r="C12052" s="11"/>
      <c r="K12052" s="11"/>
    </row>
    <row r="12053" spans="3:11">
      <c r="C12053" s="11"/>
      <c r="K12053" s="11"/>
    </row>
    <row r="12054" spans="3:11">
      <c r="C12054" s="11"/>
      <c r="K12054" s="11"/>
    </row>
    <row r="12055" spans="3:11">
      <c r="C12055" s="11"/>
      <c r="K12055" s="11"/>
    </row>
    <row r="12056" spans="3:11">
      <c r="C12056" s="11"/>
      <c r="K12056" s="11"/>
    </row>
    <row r="12057" spans="3:11">
      <c r="C12057" s="11"/>
      <c r="K12057" s="11"/>
    </row>
    <row r="12058" spans="3:11">
      <c r="C12058" s="11"/>
      <c r="K12058" s="11"/>
    </row>
    <row r="12059" spans="3:11">
      <c r="C12059" s="11"/>
      <c r="K12059" s="11"/>
    </row>
    <row r="12060" spans="3:11">
      <c r="C12060" s="11"/>
      <c r="K12060" s="11"/>
    </row>
    <row r="12061" spans="3:11">
      <c r="C12061" s="11"/>
      <c r="K12061" s="11"/>
    </row>
    <row r="12062" spans="3:11">
      <c r="C12062" s="11"/>
      <c r="K12062" s="11"/>
    </row>
    <row r="12063" spans="3:11">
      <c r="C12063" s="11"/>
      <c r="K12063" s="11"/>
    </row>
    <row r="12064" spans="3:11">
      <c r="C12064" s="11"/>
      <c r="K12064" s="11"/>
    </row>
    <row r="12065" spans="3:11">
      <c r="C12065" s="11"/>
      <c r="K12065" s="11"/>
    </row>
    <row r="12066" spans="3:11">
      <c r="C12066" s="11"/>
      <c r="K12066" s="11"/>
    </row>
    <row r="12067" spans="3:11">
      <c r="C12067" s="11"/>
      <c r="K12067" s="11"/>
    </row>
    <row r="12068" spans="3:11">
      <c r="C12068" s="11"/>
      <c r="K12068" s="11"/>
    </row>
    <row r="12069" spans="3:11">
      <c r="C12069" s="11"/>
      <c r="K12069" s="11"/>
    </row>
    <row r="12070" spans="3:11">
      <c r="C12070" s="11"/>
      <c r="K12070" s="11"/>
    </row>
    <row r="12071" spans="3:11">
      <c r="C12071" s="11"/>
      <c r="K12071" s="11"/>
    </row>
    <row r="12072" spans="3:11">
      <c r="C12072" s="11"/>
      <c r="K12072" s="11"/>
    </row>
    <row r="12073" spans="3:11">
      <c r="C12073" s="11"/>
      <c r="K12073" s="11"/>
    </row>
    <row r="12074" spans="3:11">
      <c r="C12074" s="11"/>
      <c r="K12074" s="11"/>
    </row>
    <row r="12075" spans="3:11">
      <c r="C12075" s="11"/>
      <c r="K12075" s="11"/>
    </row>
    <row r="12076" spans="3:11">
      <c r="C12076" s="11"/>
      <c r="K12076" s="11"/>
    </row>
    <row r="12077" spans="3:11">
      <c r="C12077" s="11"/>
      <c r="K12077" s="11"/>
    </row>
    <row r="12078" spans="3:11">
      <c r="C12078" s="11"/>
      <c r="K12078" s="11"/>
    </row>
    <row r="12079" spans="3:11">
      <c r="C12079" s="11"/>
      <c r="K12079" s="11"/>
    </row>
    <row r="12080" spans="3:11">
      <c r="C12080" s="11"/>
      <c r="K12080" s="11"/>
    </row>
    <row r="12081" spans="3:11">
      <c r="C12081" s="11"/>
      <c r="K12081" s="11"/>
    </row>
    <row r="12082" spans="3:11">
      <c r="C12082" s="11"/>
      <c r="K12082" s="11"/>
    </row>
    <row r="12083" spans="3:11">
      <c r="C12083" s="11"/>
      <c r="K12083" s="11"/>
    </row>
    <row r="12084" spans="3:11">
      <c r="C12084" s="11"/>
      <c r="K12084" s="11"/>
    </row>
    <row r="12085" spans="3:11">
      <c r="C12085" s="11"/>
      <c r="K12085" s="11"/>
    </row>
    <row r="12086" spans="3:11">
      <c r="C12086" s="11"/>
      <c r="K12086" s="11"/>
    </row>
    <row r="12087" spans="3:11">
      <c r="C12087" s="11"/>
      <c r="K12087" s="11"/>
    </row>
    <row r="12088" spans="3:11">
      <c r="C12088" s="11"/>
      <c r="K12088" s="11"/>
    </row>
    <row r="12089" spans="3:11">
      <c r="C12089" s="11"/>
      <c r="K12089" s="11"/>
    </row>
    <row r="12090" spans="3:11">
      <c r="C12090" s="11"/>
      <c r="K12090" s="11"/>
    </row>
    <row r="12091" spans="3:11">
      <c r="C12091" s="11"/>
      <c r="K12091" s="11"/>
    </row>
    <row r="12092" spans="3:11">
      <c r="C12092" s="11"/>
      <c r="K12092" s="11"/>
    </row>
    <row r="12093" spans="3:11">
      <c r="C12093" s="11"/>
      <c r="K12093" s="11"/>
    </row>
    <row r="12094" spans="3:11">
      <c r="C12094" s="11"/>
      <c r="K12094" s="11"/>
    </row>
    <row r="12095" spans="3:11">
      <c r="C12095" s="11"/>
      <c r="K12095" s="11"/>
    </row>
    <row r="12096" spans="3:11">
      <c r="C12096" s="11"/>
      <c r="K12096" s="11"/>
    </row>
    <row r="12097" spans="3:11">
      <c r="C12097" s="11"/>
      <c r="K12097" s="11"/>
    </row>
    <row r="12098" spans="3:11">
      <c r="C12098" s="11"/>
      <c r="K12098" s="11"/>
    </row>
    <row r="12099" spans="3:11">
      <c r="C12099" s="11"/>
      <c r="K12099" s="11"/>
    </row>
    <row r="12100" spans="3:11">
      <c r="C12100" s="11"/>
      <c r="K12100" s="11"/>
    </row>
    <row r="12101" spans="3:11">
      <c r="C12101" s="11"/>
      <c r="K12101" s="11"/>
    </row>
    <row r="12102" spans="3:11">
      <c r="C12102" s="11"/>
      <c r="K12102" s="11"/>
    </row>
    <row r="12103" spans="3:11">
      <c r="C12103" s="11"/>
      <c r="K12103" s="11"/>
    </row>
    <row r="12104" spans="3:11">
      <c r="C12104" s="11"/>
      <c r="K12104" s="11"/>
    </row>
    <row r="12105" spans="3:11">
      <c r="C12105" s="11"/>
      <c r="K12105" s="11"/>
    </row>
    <row r="12106" spans="3:11">
      <c r="C12106" s="11"/>
      <c r="K12106" s="11"/>
    </row>
    <row r="12107" spans="3:11">
      <c r="C12107" s="11"/>
      <c r="K12107" s="11"/>
    </row>
    <row r="12108" spans="3:11">
      <c r="C12108" s="11"/>
      <c r="K12108" s="11"/>
    </row>
    <row r="12109" spans="3:11">
      <c r="C12109" s="11"/>
      <c r="K12109" s="11"/>
    </row>
    <row r="12110" spans="3:11">
      <c r="C12110" s="11"/>
      <c r="K12110" s="11"/>
    </row>
    <row r="12111" spans="3:11">
      <c r="C12111" s="11"/>
      <c r="K12111" s="11"/>
    </row>
    <row r="12112" spans="3:11">
      <c r="C12112" s="11"/>
      <c r="K12112" s="11"/>
    </row>
    <row r="12113" spans="3:11">
      <c r="C12113" s="11"/>
      <c r="K12113" s="11"/>
    </row>
    <row r="12114" spans="3:11">
      <c r="C12114" s="11"/>
      <c r="K12114" s="11"/>
    </row>
    <row r="12115" spans="3:11">
      <c r="C12115" s="11"/>
      <c r="K12115" s="11"/>
    </row>
    <row r="12116" spans="3:11">
      <c r="C12116" s="11"/>
      <c r="K12116" s="11"/>
    </row>
    <row r="12117" spans="3:11">
      <c r="C12117" s="11"/>
      <c r="K12117" s="11"/>
    </row>
    <row r="12118" spans="3:11">
      <c r="C12118" s="11"/>
      <c r="K12118" s="11"/>
    </row>
    <row r="12119" spans="3:11">
      <c r="C12119" s="11"/>
      <c r="K12119" s="11"/>
    </row>
    <row r="12120" spans="3:11">
      <c r="C12120" s="11"/>
      <c r="K12120" s="11"/>
    </row>
    <row r="12121" spans="3:11">
      <c r="C12121" s="11"/>
      <c r="K12121" s="11"/>
    </row>
    <row r="12122" spans="3:11">
      <c r="C12122" s="11"/>
      <c r="K12122" s="11"/>
    </row>
    <row r="12123" spans="3:11">
      <c r="C12123" s="11"/>
      <c r="K12123" s="11"/>
    </row>
    <row r="12124" spans="3:11">
      <c r="C12124" s="11"/>
      <c r="K12124" s="11"/>
    </row>
    <row r="12125" spans="3:11">
      <c r="C12125" s="11"/>
      <c r="K12125" s="11"/>
    </row>
    <row r="12126" spans="3:11">
      <c r="C12126" s="11"/>
      <c r="K12126" s="11"/>
    </row>
    <row r="12127" spans="3:11">
      <c r="C12127" s="11"/>
      <c r="K12127" s="11"/>
    </row>
    <row r="12128" spans="3:11">
      <c r="C12128" s="11"/>
      <c r="K12128" s="11"/>
    </row>
    <row r="12129" spans="3:11">
      <c r="C12129" s="11"/>
      <c r="K12129" s="11"/>
    </row>
    <row r="12130" spans="3:11">
      <c r="C12130" s="11"/>
      <c r="K12130" s="11"/>
    </row>
    <row r="12131" spans="3:11">
      <c r="C12131" s="11"/>
      <c r="K12131" s="11"/>
    </row>
    <row r="12132" spans="3:11">
      <c r="C12132" s="11"/>
      <c r="K12132" s="11"/>
    </row>
    <row r="12133" spans="3:11">
      <c r="C12133" s="11"/>
      <c r="K12133" s="11"/>
    </row>
    <row r="12134" spans="3:11">
      <c r="C12134" s="11"/>
      <c r="K12134" s="11"/>
    </row>
    <row r="12135" spans="3:11">
      <c r="C12135" s="11"/>
      <c r="K12135" s="11"/>
    </row>
    <row r="12136" spans="3:11">
      <c r="C12136" s="11"/>
      <c r="K12136" s="11"/>
    </row>
    <row r="12137" spans="3:11">
      <c r="C12137" s="11"/>
      <c r="K12137" s="11"/>
    </row>
    <row r="12138" spans="3:11">
      <c r="C12138" s="11"/>
      <c r="K12138" s="11"/>
    </row>
    <row r="12139" spans="3:11">
      <c r="C12139" s="11"/>
      <c r="K12139" s="11"/>
    </row>
    <row r="12140" spans="3:11">
      <c r="C12140" s="11"/>
      <c r="K12140" s="11"/>
    </row>
    <row r="12141" spans="3:11">
      <c r="C12141" s="11"/>
      <c r="K12141" s="11"/>
    </row>
    <row r="12142" spans="3:11">
      <c r="C12142" s="11"/>
      <c r="K12142" s="11"/>
    </row>
    <row r="12143" spans="3:11">
      <c r="C12143" s="11"/>
      <c r="K12143" s="11"/>
    </row>
    <row r="12144" spans="3:11">
      <c r="C12144" s="11"/>
      <c r="K12144" s="11"/>
    </row>
    <row r="12145" spans="3:11">
      <c r="C12145" s="11"/>
      <c r="K12145" s="11"/>
    </row>
    <row r="12146" spans="3:11">
      <c r="C12146" s="11"/>
      <c r="K12146" s="11"/>
    </row>
    <row r="12147" spans="3:11">
      <c r="C12147" s="11"/>
      <c r="K12147" s="11"/>
    </row>
    <row r="12148" spans="3:11">
      <c r="C12148" s="11"/>
      <c r="K12148" s="11"/>
    </row>
    <row r="12149" spans="3:11">
      <c r="C12149" s="11"/>
      <c r="K12149" s="11"/>
    </row>
    <row r="12150" spans="3:11">
      <c r="C12150" s="11"/>
      <c r="K12150" s="11"/>
    </row>
    <row r="12151" spans="3:11">
      <c r="C12151" s="11"/>
      <c r="K12151" s="11"/>
    </row>
    <row r="12152" spans="3:11">
      <c r="C12152" s="11"/>
      <c r="K12152" s="11"/>
    </row>
    <row r="12153" spans="3:11">
      <c r="C12153" s="11"/>
      <c r="K12153" s="11"/>
    </row>
    <row r="12154" spans="3:11">
      <c r="C12154" s="11"/>
      <c r="K12154" s="11"/>
    </row>
    <row r="12155" spans="3:11">
      <c r="C12155" s="11"/>
      <c r="K12155" s="11"/>
    </row>
    <row r="12156" spans="3:11">
      <c r="C12156" s="11"/>
      <c r="K12156" s="11"/>
    </row>
    <row r="12157" spans="3:11">
      <c r="C12157" s="11"/>
      <c r="K12157" s="11"/>
    </row>
    <row r="12158" spans="3:11">
      <c r="C12158" s="11"/>
      <c r="K12158" s="11"/>
    </row>
    <row r="12159" spans="3:11">
      <c r="C12159" s="11"/>
      <c r="K12159" s="11"/>
    </row>
    <row r="12160" spans="3:11">
      <c r="C12160" s="11"/>
      <c r="K12160" s="11"/>
    </row>
    <row r="12161" spans="3:11">
      <c r="C12161" s="11"/>
      <c r="K12161" s="11"/>
    </row>
    <row r="12162" spans="3:11">
      <c r="C12162" s="11"/>
      <c r="K12162" s="11"/>
    </row>
    <row r="12163" spans="3:11">
      <c r="C12163" s="11"/>
      <c r="K12163" s="11"/>
    </row>
    <row r="12164" spans="3:11">
      <c r="C12164" s="11"/>
      <c r="K12164" s="11"/>
    </row>
    <row r="12165" spans="3:11">
      <c r="C12165" s="11"/>
      <c r="K12165" s="11"/>
    </row>
    <row r="12166" spans="3:11">
      <c r="C12166" s="11"/>
      <c r="K12166" s="11"/>
    </row>
    <row r="12167" spans="3:11">
      <c r="C12167" s="11"/>
      <c r="K12167" s="11"/>
    </row>
    <row r="12168" spans="3:11">
      <c r="C12168" s="11"/>
      <c r="K12168" s="11"/>
    </row>
    <row r="12169" spans="3:11">
      <c r="C12169" s="11"/>
      <c r="K12169" s="11"/>
    </row>
    <row r="12170" spans="3:11">
      <c r="C12170" s="11"/>
      <c r="K12170" s="11"/>
    </row>
    <row r="12171" spans="3:11">
      <c r="C12171" s="11"/>
      <c r="K12171" s="11"/>
    </row>
    <row r="12172" spans="3:11">
      <c r="C12172" s="11"/>
      <c r="K12172" s="11"/>
    </row>
    <row r="12173" spans="3:11">
      <c r="C12173" s="11"/>
      <c r="K12173" s="11"/>
    </row>
    <row r="12174" spans="3:11">
      <c r="C12174" s="11"/>
      <c r="K12174" s="11"/>
    </row>
    <row r="12175" spans="3:11">
      <c r="C12175" s="11"/>
      <c r="K12175" s="11"/>
    </row>
    <row r="12176" spans="3:11">
      <c r="C12176" s="11"/>
      <c r="K12176" s="11"/>
    </row>
    <row r="12177" spans="3:11">
      <c r="C12177" s="11"/>
      <c r="K12177" s="11"/>
    </row>
    <row r="12178" spans="3:11">
      <c r="C12178" s="11"/>
      <c r="K12178" s="11"/>
    </row>
    <row r="12179" spans="3:11">
      <c r="C12179" s="11"/>
      <c r="K12179" s="11"/>
    </row>
    <row r="12180" spans="3:11">
      <c r="C12180" s="11"/>
      <c r="K12180" s="11"/>
    </row>
    <row r="12181" spans="3:11">
      <c r="C12181" s="11"/>
      <c r="K12181" s="11"/>
    </row>
    <row r="12182" spans="3:11">
      <c r="C12182" s="11"/>
      <c r="K12182" s="11"/>
    </row>
    <row r="12183" spans="3:11">
      <c r="C12183" s="11"/>
      <c r="K12183" s="11"/>
    </row>
    <row r="12184" spans="3:11">
      <c r="C12184" s="11"/>
      <c r="K12184" s="11"/>
    </row>
    <row r="12185" spans="3:11">
      <c r="C12185" s="11"/>
      <c r="K12185" s="11"/>
    </row>
    <row r="12186" spans="3:11">
      <c r="C12186" s="11"/>
      <c r="K12186" s="11"/>
    </row>
    <row r="12187" spans="3:11">
      <c r="C12187" s="11"/>
      <c r="K12187" s="11"/>
    </row>
    <row r="12188" spans="3:11">
      <c r="C12188" s="11"/>
      <c r="K12188" s="11"/>
    </row>
    <row r="12189" spans="3:11">
      <c r="C12189" s="11"/>
      <c r="K12189" s="11"/>
    </row>
    <row r="12190" spans="3:11">
      <c r="C12190" s="11"/>
      <c r="K12190" s="11"/>
    </row>
    <row r="12191" spans="3:11">
      <c r="C12191" s="11"/>
      <c r="K12191" s="11"/>
    </row>
    <row r="12192" spans="3:11">
      <c r="C12192" s="11"/>
      <c r="K12192" s="11"/>
    </row>
    <row r="12193" spans="3:11">
      <c r="C12193" s="11"/>
      <c r="K12193" s="11"/>
    </row>
    <row r="12194" spans="3:11">
      <c r="C12194" s="11"/>
      <c r="K12194" s="11"/>
    </row>
    <row r="12195" spans="3:11">
      <c r="C12195" s="11"/>
      <c r="K12195" s="11"/>
    </row>
    <row r="12196" spans="3:11">
      <c r="C12196" s="11"/>
      <c r="K12196" s="11"/>
    </row>
    <row r="12197" spans="3:11">
      <c r="C12197" s="11"/>
      <c r="K12197" s="11"/>
    </row>
    <row r="12198" spans="3:11">
      <c r="C12198" s="11"/>
      <c r="K12198" s="11"/>
    </row>
    <row r="12199" spans="3:11">
      <c r="C12199" s="11"/>
      <c r="K12199" s="11"/>
    </row>
    <row r="12200" spans="3:11">
      <c r="C12200" s="11"/>
      <c r="K12200" s="11"/>
    </row>
    <row r="12201" spans="3:11">
      <c r="C12201" s="11"/>
      <c r="K12201" s="11"/>
    </row>
    <row r="12202" spans="3:11">
      <c r="C12202" s="11"/>
      <c r="K12202" s="11"/>
    </row>
    <row r="12203" spans="3:11">
      <c r="C12203" s="11"/>
      <c r="K12203" s="11"/>
    </row>
    <row r="12204" spans="3:11">
      <c r="C12204" s="11"/>
      <c r="K12204" s="11"/>
    </row>
    <row r="12205" spans="3:11">
      <c r="C12205" s="11"/>
      <c r="K12205" s="11"/>
    </row>
    <row r="12206" spans="3:11">
      <c r="C12206" s="11"/>
      <c r="K12206" s="11"/>
    </row>
    <row r="12207" spans="3:11">
      <c r="C12207" s="11"/>
      <c r="K12207" s="11"/>
    </row>
    <row r="12208" spans="3:11">
      <c r="C12208" s="11"/>
      <c r="K12208" s="11"/>
    </row>
    <row r="12209" spans="3:11">
      <c r="C12209" s="11"/>
      <c r="K12209" s="11"/>
    </row>
    <row r="12210" spans="3:11">
      <c r="C12210" s="11"/>
      <c r="K12210" s="11"/>
    </row>
    <row r="12211" spans="3:11">
      <c r="C12211" s="11"/>
      <c r="K12211" s="11"/>
    </row>
    <row r="12212" spans="3:11">
      <c r="C12212" s="11"/>
      <c r="K12212" s="11"/>
    </row>
    <row r="12213" spans="3:11">
      <c r="C12213" s="11"/>
      <c r="K12213" s="11"/>
    </row>
    <row r="12214" spans="3:11">
      <c r="C12214" s="11"/>
      <c r="K12214" s="11"/>
    </row>
    <row r="12215" spans="3:11">
      <c r="C12215" s="11"/>
      <c r="K12215" s="11"/>
    </row>
    <row r="12216" spans="3:11">
      <c r="C12216" s="11"/>
      <c r="K12216" s="11"/>
    </row>
    <row r="12217" spans="3:11">
      <c r="C12217" s="11"/>
      <c r="K12217" s="11"/>
    </row>
    <row r="12218" spans="3:11">
      <c r="C12218" s="11"/>
      <c r="K12218" s="11"/>
    </row>
    <row r="12219" spans="3:11">
      <c r="C12219" s="11"/>
      <c r="K12219" s="11"/>
    </row>
    <row r="12220" spans="3:11">
      <c r="C12220" s="11"/>
      <c r="K12220" s="11"/>
    </row>
    <row r="12221" spans="3:11">
      <c r="C12221" s="11"/>
      <c r="K12221" s="11"/>
    </row>
    <row r="12222" spans="3:11">
      <c r="C12222" s="11"/>
      <c r="K12222" s="11"/>
    </row>
    <row r="12223" spans="3:11">
      <c r="C12223" s="11"/>
      <c r="K12223" s="11"/>
    </row>
    <row r="12224" spans="3:11">
      <c r="C12224" s="11"/>
      <c r="K12224" s="11"/>
    </row>
    <row r="12225" spans="3:11">
      <c r="C12225" s="11"/>
      <c r="K12225" s="11"/>
    </row>
    <row r="12226" spans="3:11">
      <c r="C12226" s="11"/>
      <c r="K12226" s="11"/>
    </row>
    <row r="12227" spans="3:11">
      <c r="C12227" s="11"/>
      <c r="K12227" s="11"/>
    </row>
    <row r="12228" spans="3:11">
      <c r="C12228" s="11"/>
      <c r="K12228" s="11"/>
    </row>
    <row r="12229" spans="3:11">
      <c r="C12229" s="11"/>
      <c r="K12229" s="11"/>
    </row>
    <row r="12230" spans="3:11">
      <c r="C12230" s="11"/>
      <c r="K12230" s="11"/>
    </row>
    <row r="12231" spans="3:11">
      <c r="C12231" s="11"/>
      <c r="K12231" s="11"/>
    </row>
    <row r="12232" spans="3:11">
      <c r="C12232" s="11"/>
      <c r="K12232" s="11"/>
    </row>
    <row r="12233" spans="3:11">
      <c r="C12233" s="11"/>
      <c r="K12233" s="11"/>
    </row>
    <row r="12234" spans="3:11">
      <c r="C12234" s="11"/>
      <c r="K12234" s="11"/>
    </row>
    <row r="12235" spans="3:11">
      <c r="C12235" s="11"/>
      <c r="K12235" s="11"/>
    </row>
    <row r="12236" spans="3:11">
      <c r="C12236" s="11"/>
      <c r="K12236" s="11"/>
    </row>
    <row r="12237" spans="3:11">
      <c r="C12237" s="11"/>
      <c r="K12237" s="11"/>
    </row>
    <row r="12238" spans="3:11">
      <c r="C12238" s="11"/>
      <c r="K12238" s="11"/>
    </row>
    <row r="12239" spans="3:11">
      <c r="C12239" s="11"/>
      <c r="K12239" s="11"/>
    </row>
    <row r="12240" spans="3:11">
      <c r="C12240" s="11"/>
      <c r="K12240" s="11"/>
    </row>
    <row r="12241" spans="3:11">
      <c r="C12241" s="11"/>
      <c r="K12241" s="11"/>
    </row>
    <row r="12242" spans="3:11">
      <c r="C12242" s="11"/>
      <c r="K12242" s="11"/>
    </row>
    <row r="12243" spans="3:11">
      <c r="C12243" s="11"/>
      <c r="K12243" s="11"/>
    </row>
    <row r="12244" spans="3:11">
      <c r="C12244" s="11"/>
      <c r="K12244" s="11"/>
    </row>
    <row r="12245" spans="3:11">
      <c r="C12245" s="11"/>
      <c r="K12245" s="11"/>
    </row>
    <row r="12246" spans="3:11">
      <c r="C12246" s="11"/>
      <c r="K12246" s="11"/>
    </row>
    <row r="12247" spans="3:11">
      <c r="C12247" s="11"/>
      <c r="K12247" s="11"/>
    </row>
    <row r="12248" spans="3:11">
      <c r="C12248" s="11"/>
      <c r="K12248" s="11"/>
    </row>
    <row r="12249" spans="3:11">
      <c r="C12249" s="11"/>
      <c r="K12249" s="11"/>
    </row>
    <row r="12250" spans="3:11">
      <c r="C12250" s="11"/>
      <c r="K12250" s="11"/>
    </row>
    <row r="12251" spans="3:11">
      <c r="C12251" s="11"/>
      <c r="K12251" s="11"/>
    </row>
    <row r="12252" spans="3:11">
      <c r="C12252" s="11"/>
      <c r="K12252" s="11"/>
    </row>
    <row r="12253" spans="3:11">
      <c r="C12253" s="11"/>
      <c r="K12253" s="11"/>
    </row>
    <row r="12254" spans="3:11">
      <c r="C12254" s="11"/>
      <c r="K12254" s="11"/>
    </row>
    <row r="12255" spans="3:11">
      <c r="C12255" s="11"/>
      <c r="K12255" s="11"/>
    </row>
    <row r="12256" spans="3:11">
      <c r="C12256" s="11"/>
      <c r="K12256" s="11"/>
    </row>
    <row r="12257" spans="3:11">
      <c r="C12257" s="11"/>
      <c r="K12257" s="11"/>
    </row>
    <row r="12258" spans="3:11">
      <c r="C12258" s="11"/>
      <c r="K12258" s="11"/>
    </row>
    <row r="12259" spans="3:11">
      <c r="C12259" s="11"/>
      <c r="K12259" s="11"/>
    </row>
    <row r="12260" spans="3:11">
      <c r="C12260" s="11"/>
      <c r="K12260" s="11"/>
    </row>
    <row r="12261" spans="3:11">
      <c r="C12261" s="11"/>
      <c r="K12261" s="11"/>
    </row>
    <row r="12262" spans="3:11">
      <c r="C12262" s="11"/>
      <c r="K12262" s="11"/>
    </row>
    <row r="12263" spans="3:11">
      <c r="C12263" s="11"/>
      <c r="K12263" s="11"/>
    </row>
    <row r="12264" spans="3:11">
      <c r="C12264" s="11"/>
      <c r="K12264" s="11"/>
    </row>
    <row r="12265" spans="3:11">
      <c r="C12265" s="11"/>
      <c r="K12265" s="11"/>
    </row>
    <row r="12266" spans="3:11">
      <c r="C12266" s="11"/>
      <c r="K12266" s="11"/>
    </row>
    <row r="12267" spans="3:11">
      <c r="C12267" s="11"/>
      <c r="K12267" s="11"/>
    </row>
    <row r="12268" spans="3:11">
      <c r="C12268" s="11"/>
      <c r="K12268" s="11"/>
    </row>
    <row r="12269" spans="3:11">
      <c r="C12269" s="11"/>
      <c r="K12269" s="11"/>
    </row>
    <row r="12270" spans="3:11">
      <c r="C12270" s="11"/>
      <c r="K12270" s="11"/>
    </row>
    <row r="12271" spans="3:11">
      <c r="C12271" s="11"/>
      <c r="K12271" s="11"/>
    </row>
    <row r="12272" spans="3:11">
      <c r="C12272" s="11"/>
      <c r="K12272" s="11"/>
    </row>
    <row r="12273" spans="3:11">
      <c r="C12273" s="11"/>
      <c r="K12273" s="11"/>
    </row>
    <row r="12274" spans="3:11">
      <c r="C12274" s="11"/>
      <c r="K12274" s="11"/>
    </row>
    <row r="12275" spans="3:11">
      <c r="C12275" s="11"/>
      <c r="K12275" s="11"/>
    </row>
    <row r="12276" spans="3:11">
      <c r="C12276" s="11"/>
      <c r="K12276" s="11"/>
    </row>
    <row r="12277" spans="3:11">
      <c r="C12277" s="11"/>
      <c r="K12277" s="11"/>
    </row>
    <row r="12278" spans="3:11">
      <c r="C12278" s="11"/>
      <c r="K12278" s="11"/>
    </row>
    <row r="12279" spans="3:11">
      <c r="C12279" s="11"/>
      <c r="K12279" s="11"/>
    </row>
    <row r="12280" spans="3:11">
      <c r="C12280" s="11"/>
      <c r="K12280" s="11"/>
    </row>
    <row r="12281" spans="3:11">
      <c r="C12281" s="11"/>
      <c r="K12281" s="11"/>
    </row>
    <row r="12282" spans="3:11">
      <c r="C12282" s="11"/>
      <c r="K12282" s="11"/>
    </row>
    <row r="12283" spans="3:11">
      <c r="C12283" s="11"/>
      <c r="K12283" s="11"/>
    </row>
    <row r="12284" spans="3:11">
      <c r="C12284" s="11"/>
      <c r="K12284" s="11"/>
    </row>
    <row r="12285" spans="3:11">
      <c r="C12285" s="11"/>
      <c r="K12285" s="11"/>
    </row>
    <row r="12286" spans="3:11">
      <c r="C12286" s="11"/>
      <c r="K12286" s="11"/>
    </row>
    <row r="12287" spans="3:11">
      <c r="C12287" s="11"/>
      <c r="K12287" s="11"/>
    </row>
    <row r="12288" spans="3:11">
      <c r="C12288" s="11"/>
      <c r="K12288" s="11"/>
    </row>
    <row r="12289" spans="3:11">
      <c r="C12289" s="11"/>
      <c r="K12289" s="11"/>
    </row>
    <row r="12290" spans="3:11">
      <c r="C12290" s="11"/>
      <c r="K12290" s="11"/>
    </row>
    <row r="12291" spans="3:11">
      <c r="C12291" s="11"/>
      <c r="K12291" s="11"/>
    </row>
    <row r="12292" spans="3:11">
      <c r="C12292" s="11"/>
      <c r="K12292" s="11"/>
    </row>
    <row r="12293" spans="3:11">
      <c r="C12293" s="11"/>
      <c r="K12293" s="11"/>
    </row>
    <row r="12294" spans="3:11">
      <c r="C12294" s="11"/>
      <c r="K12294" s="11"/>
    </row>
    <row r="12295" spans="3:11">
      <c r="C12295" s="11"/>
      <c r="K12295" s="11"/>
    </row>
    <row r="12296" spans="3:11">
      <c r="C12296" s="11"/>
      <c r="K12296" s="11"/>
    </row>
    <row r="12297" spans="3:11">
      <c r="C12297" s="11"/>
      <c r="K12297" s="11"/>
    </row>
    <row r="12298" spans="3:11">
      <c r="C12298" s="11"/>
      <c r="K12298" s="11"/>
    </row>
    <row r="12299" spans="3:11">
      <c r="C12299" s="11"/>
      <c r="K12299" s="11"/>
    </row>
    <row r="12300" spans="3:11">
      <c r="C12300" s="11"/>
      <c r="K12300" s="11"/>
    </row>
    <row r="12301" spans="3:11">
      <c r="C12301" s="11"/>
      <c r="K12301" s="11"/>
    </row>
    <row r="12302" spans="3:11">
      <c r="C12302" s="11"/>
      <c r="K12302" s="11"/>
    </row>
    <row r="12303" spans="3:11">
      <c r="C12303" s="11"/>
      <c r="K12303" s="11"/>
    </row>
    <row r="12304" spans="3:11">
      <c r="C12304" s="11"/>
      <c r="K12304" s="11"/>
    </row>
    <row r="12305" spans="3:11">
      <c r="C12305" s="11"/>
      <c r="K12305" s="11"/>
    </row>
    <row r="12306" spans="3:11">
      <c r="C12306" s="11"/>
      <c r="K12306" s="11"/>
    </row>
    <row r="12307" spans="3:11">
      <c r="C12307" s="11"/>
      <c r="K12307" s="11"/>
    </row>
    <row r="12308" spans="3:11">
      <c r="C12308" s="11"/>
      <c r="K12308" s="11"/>
    </row>
    <row r="12309" spans="3:11">
      <c r="C12309" s="11"/>
      <c r="K12309" s="11"/>
    </row>
    <row r="12310" spans="3:11">
      <c r="C12310" s="11"/>
      <c r="K12310" s="11"/>
    </row>
    <row r="12311" spans="3:11">
      <c r="C12311" s="11"/>
      <c r="K12311" s="11"/>
    </row>
    <row r="12312" spans="3:11">
      <c r="C12312" s="11"/>
      <c r="K12312" s="11"/>
    </row>
    <row r="12313" spans="3:11">
      <c r="C12313" s="11"/>
      <c r="K12313" s="11"/>
    </row>
    <row r="12314" spans="3:11">
      <c r="C12314" s="11"/>
      <c r="K12314" s="11"/>
    </row>
    <row r="12315" spans="3:11">
      <c r="C12315" s="11"/>
      <c r="K12315" s="11"/>
    </row>
    <row r="12316" spans="3:11">
      <c r="C12316" s="11"/>
      <c r="K12316" s="11"/>
    </row>
    <row r="12317" spans="3:11">
      <c r="C12317" s="11"/>
      <c r="K12317" s="11"/>
    </row>
    <row r="12318" spans="3:11">
      <c r="C12318" s="11"/>
      <c r="K12318" s="11"/>
    </row>
    <row r="12319" spans="3:11">
      <c r="C12319" s="11"/>
      <c r="K12319" s="11"/>
    </row>
    <row r="12320" spans="3:11">
      <c r="C12320" s="11"/>
      <c r="K12320" s="11"/>
    </row>
    <row r="12321" spans="3:11">
      <c r="C12321" s="11"/>
      <c r="K12321" s="11"/>
    </row>
    <row r="12322" spans="3:11">
      <c r="C12322" s="11"/>
      <c r="K12322" s="11"/>
    </row>
    <row r="12323" spans="3:11">
      <c r="C12323" s="11"/>
      <c r="K12323" s="11"/>
    </row>
    <row r="12324" spans="3:11">
      <c r="C12324" s="11"/>
      <c r="K12324" s="11"/>
    </row>
    <row r="12325" spans="3:11">
      <c r="C12325" s="11"/>
      <c r="K12325" s="11"/>
    </row>
    <row r="12326" spans="3:11">
      <c r="C12326" s="11"/>
      <c r="K12326" s="11"/>
    </row>
    <row r="12327" spans="3:11">
      <c r="C12327" s="11"/>
      <c r="K12327" s="11"/>
    </row>
    <row r="12328" spans="3:11">
      <c r="C12328" s="11"/>
      <c r="K12328" s="11"/>
    </row>
    <row r="12329" spans="3:11">
      <c r="C12329" s="11"/>
      <c r="K12329" s="11"/>
    </row>
    <row r="12330" spans="3:11">
      <c r="C12330" s="11"/>
      <c r="K12330" s="11"/>
    </row>
    <row r="12331" spans="3:11">
      <c r="C12331" s="11"/>
      <c r="K12331" s="11"/>
    </row>
    <row r="12332" spans="3:11">
      <c r="C12332" s="11"/>
      <c r="K12332" s="11"/>
    </row>
    <row r="12333" spans="3:11">
      <c r="C12333" s="11"/>
      <c r="K12333" s="11"/>
    </row>
    <row r="12334" spans="3:11">
      <c r="C12334" s="11"/>
      <c r="K12334" s="11"/>
    </row>
    <row r="12335" spans="3:11">
      <c r="C12335" s="11"/>
      <c r="K12335" s="11"/>
    </row>
    <row r="12336" spans="3:11">
      <c r="C12336" s="11"/>
      <c r="K12336" s="11"/>
    </row>
    <row r="12337" spans="3:11">
      <c r="C12337" s="11"/>
      <c r="K12337" s="11"/>
    </row>
    <row r="12338" spans="3:11">
      <c r="C12338" s="11"/>
      <c r="K12338" s="11"/>
    </row>
    <row r="12339" spans="3:11">
      <c r="C12339" s="11"/>
      <c r="K12339" s="11"/>
    </row>
    <row r="12340" spans="3:11">
      <c r="C12340" s="11"/>
      <c r="K12340" s="11"/>
    </row>
    <row r="12341" spans="3:11">
      <c r="C12341" s="11"/>
      <c r="K12341" s="11"/>
    </row>
    <row r="12342" spans="3:11">
      <c r="C12342" s="11"/>
      <c r="K12342" s="11"/>
    </row>
    <row r="12343" spans="3:11">
      <c r="C12343" s="11"/>
      <c r="K12343" s="11"/>
    </row>
    <row r="12344" spans="3:11">
      <c r="C12344" s="11"/>
      <c r="K12344" s="11"/>
    </row>
    <row r="12345" spans="3:11">
      <c r="C12345" s="11"/>
      <c r="K12345" s="11"/>
    </row>
    <row r="12346" spans="3:11">
      <c r="C12346" s="11"/>
      <c r="K12346" s="11"/>
    </row>
    <row r="12347" spans="3:11">
      <c r="C12347" s="11"/>
      <c r="K12347" s="11"/>
    </row>
    <row r="12348" spans="3:11">
      <c r="C12348" s="11"/>
      <c r="K12348" s="11"/>
    </row>
    <row r="12349" spans="3:11">
      <c r="C12349" s="11"/>
      <c r="K12349" s="11"/>
    </row>
    <row r="12350" spans="3:11">
      <c r="C12350" s="11"/>
      <c r="K12350" s="11"/>
    </row>
    <row r="12351" spans="3:11">
      <c r="C12351" s="11"/>
      <c r="K12351" s="11"/>
    </row>
    <row r="12352" spans="3:11">
      <c r="C12352" s="11"/>
      <c r="K12352" s="11"/>
    </row>
    <row r="12353" spans="3:11">
      <c r="C12353" s="11"/>
      <c r="K12353" s="11"/>
    </row>
    <row r="12354" spans="3:11">
      <c r="C12354" s="11"/>
      <c r="K12354" s="11"/>
    </row>
    <row r="12355" spans="3:11">
      <c r="C12355" s="11"/>
      <c r="K12355" s="11"/>
    </row>
    <row r="12356" spans="3:11">
      <c r="C12356" s="11"/>
      <c r="K12356" s="11"/>
    </row>
    <row r="12357" spans="3:11">
      <c r="C12357" s="11"/>
      <c r="K12357" s="11"/>
    </row>
    <row r="12358" spans="3:11">
      <c r="C12358" s="11"/>
      <c r="K12358" s="11"/>
    </row>
    <row r="12359" spans="3:11">
      <c r="C12359" s="11"/>
      <c r="K12359" s="11"/>
    </row>
    <row r="12360" spans="3:11">
      <c r="C12360" s="11"/>
      <c r="K12360" s="11"/>
    </row>
    <row r="12361" spans="3:11">
      <c r="C12361" s="11"/>
      <c r="K12361" s="11"/>
    </row>
    <row r="12362" spans="3:11">
      <c r="C12362" s="11"/>
      <c r="K12362" s="11"/>
    </row>
    <row r="12363" spans="3:11">
      <c r="C12363" s="11"/>
      <c r="K12363" s="11"/>
    </row>
    <row r="12364" spans="3:11">
      <c r="C12364" s="11"/>
      <c r="K12364" s="11"/>
    </row>
    <row r="12365" spans="3:11">
      <c r="C12365" s="11"/>
      <c r="K12365" s="11"/>
    </row>
    <row r="12366" spans="3:11">
      <c r="C12366" s="11"/>
      <c r="K12366" s="11"/>
    </row>
    <row r="12367" spans="3:11">
      <c r="C12367" s="11"/>
      <c r="K12367" s="11"/>
    </row>
    <row r="12368" spans="3:11">
      <c r="C12368" s="11"/>
      <c r="K12368" s="11"/>
    </row>
    <row r="12369" spans="3:11">
      <c r="C12369" s="11"/>
      <c r="K12369" s="11"/>
    </row>
    <row r="12370" spans="3:11">
      <c r="C12370" s="11"/>
      <c r="K12370" s="11"/>
    </row>
    <row r="12371" spans="3:11">
      <c r="C12371" s="11"/>
      <c r="K12371" s="11"/>
    </row>
    <row r="12372" spans="3:11">
      <c r="C12372" s="11"/>
      <c r="K12372" s="11"/>
    </row>
    <row r="12373" spans="3:11">
      <c r="C12373" s="11"/>
      <c r="K12373" s="11"/>
    </row>
    <row r="12374" spans="3:11">
      <c r="C12374" s="11"/>
      <c r="K12374" s="11"/>
    </row>
    <row r="12375" spans="3:11">
      <c r="C12375" s="11"/>
      <c r="K12375" s="11"/>
    </row>
    <row r="12376" spans="3:11">
      <c r="C12376" s="11"/>
      <c r="K12376" s="11"/>
    </row>
    <row r="12377" spans="3:11">
      <c r="C12377" s="11"/>
      <c r="K12377" s="11"/>
    </row>
    <row r="12378" spans="3:11">
      <c r="C12378" s="11"/>
      <c r="K12378" s="11"/>
    </row>
    <row r="12379" spans="3:11">
      <c r="C12379" s="11"/>
      <c r="K12379" s="11"/>
    </row>
    <row r="12380" spans="3:11">
      <c r="C12380" s="11"/>
      <c r="K12380" s="11"/>
    </row>
    <row r="12381" spans="3:11">
      <c r="C12381" s="11"/>
      <c r="K12381" s="11"/>
    </row>
    <row r="12382" spans="3:11">
      <c r="C12382" s="11"/>
      <c r="K12382" s="11"/>
    </row>
    <row r="12383" spans="3:11">
      <c r="C12383" s="11"/>
      <c r="K12383" s="11"/>
    </row>
    <row r="12384" spans="3:11">
      <c r="C12384" s="11"/>
      <c r="K12384" s="11"/>
    </row>
    <row r="12385" spans="3:11">
      <c r="C12385" s="11"/>
      <c r="K12385" s="11"/>
    </row>
    <row r="12386" spans="3:11">
      <c r="C12386" s="11"/>
      <c r="K12386" s="11"/>
    </row>
    <row r="12387" spans="3:11">
      <c r="C12387" s="11"/>
      <c r="K12387" s="11"/>
    </row>
    <row r="12388" spans="3:11">
      <c r="C12388" s="11"/>
      <c r="K12388" s="11"/>
    </row>
    <row r="12389" spans="3:11">
      <c r="C12389" s="11"/>
      <c r="K12389" s="11"/>
    </row>
    <row r="12390" spans="3:11">
      <c r="C12390" s="11"/>
      <c r="K12390" s="11"/>
    </row>
    <row r="12391" spans="3:11">
      <c r="C12391" s="11"/>
      <c r="K12391" s="11"/>
    </row>
    <row r="12392" spans="3:11">
      <c r="C12392" s="11"/>
      <c r="K12392" s="11"/>
    </row>
    <row r="12393" spans="3:11">
      <c r="C12393" s="11"/>
      <c r="K12393" s="11"/>
    </row>
    <row r="12394" spans="3:11">
      <c r="C12394" s="11"/>
      <c r="K12394" s="11"/>
    </row>
    <row r="12395" spans="3:11">
      <c r="C12395" s="11"/>
      <c r="K12395" s="11"/>
    </row>
    <row r="12396" spans="3:11">
      <c r="C12396" s="11"/>
      <c r="K12396" s="11"/>
    </row>
    <row r="12397" spans="3:11">
      <c r="C12397" s="11"/>
      <c r="K12397" s="11"/>
    </row>
    <row r="12398" spans="3:11">
      <c r="C12398" s="11"/>
      <c r="K12398" s="11"/>
    </row>
    <row r="12399" spans="3:11">
      <c r="C12399" s="11"/>
      <c r="K12399" s="11"/>
    </row>
    <row r="12400" spans="3:11">
      <c r="C12400" s="11"/>
      <c r="K12400" s="11"/>
    </row>
    <row r="12401" spans="3:11">
      <c r="C12401" s="11"/>
      <c r="K12401" s="11"/>
    </row>
    <row r="12402" spans="3:11">
      <c r="C12402" s="11"/>
      <c r="K12402" s="11"/>
    </row>
    <row r="12403" spans="3:11">
      <c r="C12403" s="11"/>
      <c r="K12403" s="11"/>
    </row>
    <row r="12404" spans="3:11">
      <c r="C12404" s="11"/>
      <c r="K12404" s="11"/>
    </row>
    <row r="12405" spans="3:11">
      <c r="C12405" s="11"/>
      <c r="K12405" s="11"/>
    </row>
    <row r="12406" spans="3:11">
      <c r="C12406" s="11"/>
      <c r="K12406" s="11"/>
    </row>
    <row r="12407" spans="3:11">
      <c r="C12407" s="11"/>
      <c r="K12407" s="11"/>
    </row>
    <row r="12408" spans="3:11">
      <c r="C12408" s="11"/>
      <c r="K12408" s="11"/>
    </row>
    <row r="12409" spans="3:11">
      <c r="C12409" s="11"/>
      <c r="K12409" s="11"/>
    </row>
    <row r="12410" spans="3:11">
      <c r="C12410" s="11"/>
      <c r="K12410" s="11"/>
    </row>
    <row r="12411" spans="3:11">
      <c r="C12411" s="11"/>
      <c r="K12411" s="11"/>
    </row>
    <row r="12412" spans="3:11">
      <c r="C12412" s="11"/>
      <c r="K12412" s="11"/>
    </row>
    <row r="12413" spans="3:11">
      <c r="C12413" s="11"/>
      <c r="K12413" s="11"/>
    </row>
    <row r="12414" spans="3:11">
      <c r="C12414" s="11"/>
      <c r="K12414" s="11"/>
    </row>
    <row r="12415" spans="3:11">
      <c r="C12415" s="11"/>
      <c r="K12415" s="11"/>
    </row>
    <row r="12416" spans="3:11">
      <c r="C12416" s="11"/>
      <c r="K12416" s="11"/>
    </row>
    <row r="12417" spans="3:11">
      <c r="C12417" s="11"/>
      <c r="K12417" s="11"/>
    </row>
    <row r="12418" spans="3:11">
      <c r="C12418" s="11"/>
      <c r="K12418" s="11"/>
    </row>
    <row r="12419" spans="3:11">
      <c r="C12419" s="11"/>
      <c r="K12419" s="11"/>
    </row>
    <row r="12420" spans="3:11">
      <c r="C12420" s="11"/>
      <c r="K12420" s="11"/>
    </row>
    <row r="12421" spans="3:11">
      <c r="C12421" s="11"/>
      <c r="K12421" s="11"/>
    </row>
    <row r="12422" spans="3:11">
      <c r="C12422" s="11"/>
      <c r="K12422" s="11"/>
    </row>
    <row r="12423" spans="3:11">
      <c r="C12423" s="11"/>
      <c r="K12423" s="11"/>
    </row>
    <row r="12424" spans="3:11">
      <c r="C12424" s="11"/>
      <c r="K12424" s="11"/>
    </row>
    <row r="12425" spans="3:11">
      <c r="C12425" s="11"/>
      <c r="K12425" s="11"/>
    </row>
    <row r="12426" spans="3:11">
      <c r="C12426" s="11"/>
      <c r="K12426" s="11"/>
    </row>
    <row r="12427" spans="3:11">
      <c r="C12427" s="11"/>
      <c r="K12427" s="11"/>
    </row>
    <row r="12428" spans="3:11">
      <c r="C12428" s="11"/>
      <c r="K12428" s="11"/>
    </row>
    <row r="12429" spans="3:11">
      <c r="C12429" s="11"/>
      <c r="K12429" s="11"/>
    </row>
    <row r="12430" spans="3:11">
      <c r="C12430" s="11"/>
      <c r="K12430" s="11"/>
    </row>
    <row r="12431" spans="3:11">
      <c r="C12431" s="11"/>
      <c r="K12431" s="11"/>
    </row>
    <row r="12432" spans="3:11">
      <c r="C12432" s="11"/>
      <c r="K12432" s="11"/>
    </row>
    <row r="12433" spans="3:11">
      <c r="C12433" s="11"/>
      <c r="K12433" s="11"/>
    </row>
    <row r="12434" spans="3:11">
      <c r="C12434" s="11"/>
      <c r="K12434" s="11"/>
    </row>
    <row r="12435" spans="3:11">
      <c r="C12435" s="11"/>
      <c r="K12435" s="11"/>
    </row>
    <row r="12436" spans="3:11">
      <c r="C12436" s="11"/>
      <c r="K12436" s="11"/>
    </row>
    <row r="12437" spans="3:11">
      <c r="C12437" s="11"/>
      <c r="K12437" s="11"/>
    </row>
    <row r="12438" spans="3:11">
      <c r="C12438" s="11"/>
      <c r="K12438" s="11"/>
    </row>
    <row r="12439" spans="3:11">
      <c r="C12439" s="11"/>
      <c r="K12439" s="11"/>
    </row>
    <row r="12440" spans="3:11">
      <c r="C12440" s="11"/>
      <c r="K12440" s="11"/>
    </row>
    <row r="12441" spans="3:11">
      <c r="C12441" s="11"/>
      <c r="K12441" s="11"/>
    </row>
    <row r="12442" spans="3:11">
      <c r="C12442" s="11"/>
      <c r="K12442" s="11"/>
    </row>
    <row r="12443" spans="3:11">
      <c r="C12443" s="11"/>
      <c r="K12443" s="11"/>
    </row>
    <row r="12444" spans="3:11">
      <c r="C12444" s="11"/>
      <c r="K12444" s="11"/>
    </row>
    <row r="12445" spans="3:11">
      <c r="C12445" s="11"/>
      <c r="K12445" s="11"/>
    </row>
    <row r="12446" spans="3:11">
      <c r="C12446" s="11"/>
      <c r="K12446" s="11"/>
    </row>
    <row r="12447" spans="3:11">
      <c r="C12447" s="11"/>
      <c r="K12447" s="11"/>
    </row>
    <row r="12448" spans="3:11">
      <c r="C12448" s="11"/>
      <c r="K12448" s="11"/>
    </row>
    <row r="12449" spans="3:11">
      <c r="C12449" s="11"/>
      <c r="K12449" s="11"/>
    </row>
    <row r="12450" spans="3:11">
      <c r="C12450" s="11"/>
      <c r="K12450" s="11"/>
    </row>
    <row r="12451" spans="3:11">
      <c r="C12451" s="11"/>
      <c r="K12451" s="11"/>
    </row>
    <row r="12452" spans="3:11">
      <c r="C12452" s="11"/>
      <c r="K12452" s="11"/>
    </row>
    <row r="12453" spans="3:11">
      <c r="C12453" s="11"/>
      <c r="K12453" s="11"/>
    </row>
    <row r="12454" spans="3:11">
      <c r="C12454" s="11"/>
      <c r="K12454" s="11"/>
    </row>
    <row r="12455" spans="3:11">
      <c r="C12455" s="11"/>
      <c r="K12455" s="11"/>
    </row>
    <row r="12456" spans="3:11">
      <c r="C12456" s="11"/>
      <c r="K12456" s="11"/>
    </row>
    <row r="12457" spans="3:11">
      <c r="C12457" s="11"/>
      <c r="K12457" s="11"/>
    </row>
    <row r="12458" spans="3:11">
      <c r="C12458" s="11"/>
      <c r="K12458" s="11"/>
    </row>
    <row r="12459" spans="3:11">
      <c r="C12459" s="11"/>
      <c r="K12459" s="11"/>
    </row>
    <row r="12460" spans="3:11">
      <c r="C12460" s="11"/>
      <c r="K12460" s="11"/>
    </row>
    <row r="12461" spans="3:11">
      <c r="C12461" s="11"/>
      <c r="K12461" s="11"/>
    </row>
    <row r="12462" spans="3:11">
      <c r="C12462" s="11"/>
      <c r="K12462" s="11"/>
    </row>
    <row r="12463" spans="3:11">
      <c r="C12463" s="11"/>
      <c r="K12463" s="11"/>
    </row>
    <row r="12464" spans="3:11">
      <c r="C12464" s="11"/>
      <c r="K12464" s="11"/>
    </row>
    <row r="12465" spans="3:11">
      <c r="C12465" s="11"/>
      <c r="K12465" s="11"/>
    </row>
    <row r="12466" spans="3:11">
      <c r="C12466" s="11"/>
      <c r="K12466" s="11"/>
    </row>
    <row r="12467" spans="3:11">
      <c r="C12467" s="11"/>
      <c r="K12467" s="11"/>
    </row>
    <row r="12468" spans="3:11">
      <c r="C12468" s="11"/>
      <c r="K12468" s="11"/>
    </row>
    <row r="12469" spans="3:11">
      <c r="C12469" s="11"/>
      <c r="K12469" s="11"/>
    </row>
    <row r="12470" spans="3:11">
      <c r="C12470" s="11"/>
      <c r="K12470" s="11"/>
    </row>
    <row r="12471" spans="3:11">
      <c r="C12471" s="11"/>
      <c r="K12471" s="11"/>
    </row>
    <row r="12472" spans="3:11">
      <c r="C12472" s="11"/>
      <c r="K12472" s="11"/>
    </row>
    <row r="12473" spans="3:11">
      <c r="C12473" s="11"/>
      <c r="K12473" s="11"/>
    </row>
    <row r="12474" spans="3:11">
      <c r="C12474" s="11"/>
      <c r="K12474" s="11"/>
    </row>
    <row r="12475" spans="3:11">
      <c r="C12475" s="11"/>
      <c r="K12475" s="11"/>
    </row>
    <row r="12476" spans="3:11">
      <c r="C12476" s="11"/>
      <c r="K12476" s="11"/>
    </row>
    <row r="12477" spans="3:11">
      <c r="C12477" s="11"/>
      <c r="K12477" s="11"/>
    </row>
    <row r="12478" spans="3:11">
      <c r="C12478" s="11"/>
      <c r="K12478" s="11"/>
    </row>
    <row r="12479" spans="3:11">
      <c r="C12479" s="11"/>
      <c r="K12479" s="11"/>
    </row>
    <row r="12480" spans="3:11">
      <c r="C12480" s="11"/>
      <c r="K12480" s="11"/>
    </row>
    <row r="12481" spans="3:11">
      <c r="C12481" s="11"/>
      <c r="K12481" s="11"/>
    </row>
    <row r="12482" spans="3:11">
      <c r="C12482" s="11"/>
      <c r="K12482" s="11"/>
    </row>
    <row r="12483" spans="3:11">
      <c r="C12483" s="11"/>
      <c r="K12483" s="11"/>
    </row>
    <row r="12484" spans="3:11">
      <c r="C12484" s="11"/>
      <c r="K12484" s="11"/>
    </row>
    <row r="12485" spans="3:11">
      <c r="C12485" s="11"/>
      <c r="K12485" s="11"/>
    </row>
    <row r="12486" spans="3:11">
      <c r="C12486" s="11"/>
      <c r="K12486" s="11"/>
    </row>
    <row r="12487" spans="3:11">
      <c r="C12487" s="11"/>
      <c r="K12487" s="11"/>
    </row>
    <row r="12488" spans="3:11">
      <c r="C12488" s="11"/>
      <c r="K12488" s="11"/>
    </row>
    <row r="12489" spans="3:11">
      <c r="C12489" s="11"/>
      <c r="K12489" s="11"/>
    </row>
    <row r="12490" spans="3:11">
      <c r="C12490" s="11"/>
      <c r="K12490" s="11"/>
    </row>
    <row r="12491" spans="3:11">
      <c r="C12491" s="11"/>
      <c r="K12491" s="11"/>
    </row>
    <row r="12492" spans="3:11">
      <c r="C12492" s="11"/>
      <c r="K12492" s="11"/>
    </row>
    <row r="12493" spans="3:11">
      <c r="C12493" s="11"/>
      <c r="K12493" s="11"/>
    </row>
    <row r="12494" spans="3:11">
      <c r="C12494" s="11"/>
      <c r="K12494" s="11"/>
    </row>
    <row r="12495" spans="3:11">
      <c r="C12495" s="11"/>
      <c r="K12495" s="11"/>
    </row>
    <row r="12496" spans="3:11">
      <c r="C12496" s="11"/>
      <c r="K12496" s="11"/>
    </row>
    <row r="12497" spans="3:11">
      <c r="C12497" s="11"/>
      <c r="K12497" s="11"/>
    </row>
    <row r="12498" spans="3:11">
      <c r="C12498" s="11"/>
      <c r="K12498" s="11"/>
    </row>
    <row r="12499" spans="3:11">
      <c r="C12499" s="11"/>
      <c r="K12499" s="11"/>
    </row>
    <row r="12500" spans="3:11">
      <c r="C12500" s="11"/>
      <c r="K12500" s="11"/>
    </row>
    <row r="12501" spans="3:11">
      <c r="C12501" s="11"/>
      <c r="K12501" s="11"/>
    </row>
    <row r="12502" spans="3:11">
      <c r="C12502" s="11"/>
      <c r="K12502" s="11"/>
    </row>
    <row r="12503" spans="3:11">
      <c r="C12503" s="11"/>
      <c r="K12503" s="11"/>
    </row>
    <row r="12504" spans="3:11">
      <c r="C12504" s="11"/>
      <c r="K12504" s="11"/>
    </row>
    <row r="12505" spans="3:11">
      <c r="C12505" s="11"/>
      <c r="K12505" s="11"/>
    </row>
    <row r="12506" spans="3:11">
      <c r="C12506" s="11"/>
      <c r="K12506" s="11"/>
    </row>
    <row r="12507" spans="3:11">
      <c r="C12507" s="11"/>
      <c r="K12507" s="11"/>
    </row>
    <row r="12508" spans="3:11">
      <c r="C12508" s="11"/>
      <c r="K12508" s="11"/>
    </row>
    <row r="12509" spans="3:11">
      <c r="C12509" s="11"/>
      <c r="K12509" s="11"/>
    </row>
    <row r="12510" spans="3:11">
      <c r="C12510" s="11"/>
      <c r="K12510" s="11"/>
    </row>
    <row r="12511" spans="3:11">
      <c r="C12511" s="11"/>
      <c r="K12511" s="11"/>
    </row>
    <row r="12512" spans="3:11">
      <c r="C12512" s="11"/>
      <c r="K12512" s="11"/>
    </row>
    <row r="12513" spans="3:11">
      <c r="C12513" s="11"/>
      <c r="K12513" s="11"/>
    </row>
    <row r="12514" spans="3:11">
      <c r="C12514" s="11"/>
      <c r="K12514" s="11"/>
    </row>
    <row r="12515" spans="3:11">
      <c r="C12515" s="11"/>
      <c r="K12515" s="11"/>
    </row>
    <row r="12516" spans="3:11">
      <c r="C12516" s="11"/>
      <c r="K12516" s="11"/>
    </row>
    <row r="12517" spans="3:11">
      <c r="C12517" s="11"/>
      <c r="K12517" s="11"/>
    </row>
    <row r="12518" spans="3:11">
      <c r="C12518" s="11"/>
      <c r="K12518" s="11"/>
    </row>
    <row r="12519" spans="3:11">
      <c r="C12519" s="11"/>
      <c r="K12519" s="11"/>
    </row>
    <row r="12520" spans="3:11">
      <c r="C12520" s="11"/>
      <c r="K12520" s="11"/>
    </row>
    <row r="12521" spans="3:11">
      <c r="C12521" s="11"/>
      <c r="K12521" s="11"/>
    </row>
    <row r="12522" spans="3:11">
      <c r="C12522" s="11"/>
      <c r="K12522" s="11"/>
    </row>
    <row r="12523" spans="3:11">
      <c r="C12523" s="11"/>
      <c r="K12523" s="11"/>
    </row>
    <row r="12524" spans="3:11">
      <c r="C12524" s="11"/>
      <c r="K12524" s="11"/>
    </row>
    <row r="12525" spans="3:11">
      <c r="C12525" s="11"/>
      <c r="K12525" s="11"/>
    </row>
    <row r="12526" spans="3:11">
      <c r="C12526" s="11"/>
      <c r="K12526" s="11"/>
    </row>
    <row r="12527" spans="3:11">
      <c r="C12527" s="11"/>
      <c r="K12527" s="11"/>
    </row>
    <row r="12528" spans="3:11">
      <c r="C12528" s="11"/>
      <c r="K12528" s="11"/>
    </row>
    <row r="12529" spans="3:11">
      <c r="C12529" s="11"/>
      <c r="K12529" s="11"/>
    </row>
    <row r="12530" spans="3:11">
      <c r="C12530" s="11"/>
      <c r="K12530" s="11"/>
    </row>
    <row r="12531" spans="3:11">
      <c r="C12531" s="11"/>
      <c r="K12531" s="11"/>
    </row>
    <row r="12532" spans="3:11">
      <c r="C12532" s="11"/>
      <c r="K12532" s="11"/>
    </row>
    <row r="12533" spans="3:11">
      <c r="C12533" s="11"/>
      <c r="K12533" s="11"/>
    </row>
    <row r="12534" spans="3:11">
      <c r="C12534" s="11"/>
      <c r="K12534" s="11"/>
    </row>
    <row r="12535" spans="3:11">
      <c r="C12535" s="11"/>
      <c r="K12535" s="11"/>
    </row>
    <row r="12536" spans="3:11">
      <c r="C12536" s="11"/>
      <c r="K12536" s="11"/>
    </row>
    <row r="12537" spans="3:11">
      <c r="C12537" s="11"/>
      <c r="K12537" s="11"/>
    </row>
    <row r="12538" spans="3:11">
      <c r="C12538" s="11"/>
      <c r="K12538" s="11"/>
    </row>
    <row r="12539" spans="3:11">
      <c r="C12539" s="11"/>
      <c r="K12539" s="11"/>
    </row>
    <row r="12540" spans="3:11">
      <c r="C12540" s="11"/>
      <c r="K12540" s="11"/>
    </row>
    <row r="12541" spans="3:11">
      <c r="C12541" s="11"/>
      <c r="K12541" s="11"/>
    </row>
    <row r="12542" spans="3:11">
      <c r="C12542" s="11"/>
      <c r="K12542" s="11"/>
    </row>
    <row r="12543" spans="3:11">
      <c r="C12543" s="11"/>
      <c r="K12543" s="11"/>
    </row>
    <row r="12544" spans="3:11">
      <c r="C12544" s="11"/>
      <c r="K12544" s="11"/>
    </row>
    <row r="12545" spans="3:11">
      <c r="C12545" s="11"/>
      <c r="K12545" s="11"/>
    </row>
    <row r="12546" spans="3:11">
      <c r="C12546" s="11"/>
      <c r="K12546" s="11"/>
    </row>
    <row r="12547" spans="3:11">
      <c r="C12547" s="11"/>
      <c r="K12547" s="11"/>
    </row>
    <row r="12548" spans="3:11">
      <c r="C12548" s="11"/>
      <c r="K12548" s="11"/>
    </row>
    <row r="12549" spans="3:11">
      <c r="C12549" s="11"/>
      <c r="K12549" s="11"/>
    </row>
    <row r="12550" spans="3:11">
      <c r="C12550" s="11"/>
      <c r="K12550" s="11"/>
    </row>
    <row r="12551" spans="3:11">
      <c r="C12551" s="11"/>
      <c r="K12551" s="11"/>
    </row>
    <row r="12552" spans="3:11">
      <c r="C12552" s="11"/>
      <c r="K12552" s="11"/>
    </row>
    <row r="12553" spans="3:11">
      <c r="C12553" s="11"/>
      <c r="K12553" s="11"/>
    </row>
    <row r="12554" spans="3:11">
      <c r="C12554" s="11"/>
      <c r="K12554" s="11"/>
    </row>
    <row r="12555" spans="3:11">
      <c r="C12555" s="11"/>
      <c r="K12555" s="11"/>
    </row>
    <row r="12556" spans="3:11">
      <c r="C12556" s="11"/>
      <c r="K12556" s="11"/>
    </row>
    <row r="12557" spans="3:11">
      <c r="C12557" s="11"/>
      <c r="K12557" s="11"/>
    </row>
    <row r="12558" spans="3:11">
      <c r="C12558" s="11"/>
      <c r="K12558" s="11"/>
    </row>
    <row r="12559" spans="3:11">
      <c r="C12559" s="11"/>
      <c r="K12559" s="11"/>
    </row>
    <row r="12560" spans="3:11">
      <c r="C12560" s="11"/>
      <c r="K12560" s="11"/>
    </row>
    <row r="12561" spans="3:11">
      <c r="C12561" s="11"/>
      <c r="K12561" s="11"/>
    </row>
    <row r="12562" spans="3:11">
      <c r="C12562" s="11"/>
      <c r="K12562" s="11"/>
    </row>
    <row r="12563" spans="3:11">
      <c r="C12563" s="11"/>
      <c r="K12563" s="11"/>
    </row>
    <row r="12564" spans="3:11">
      <c r="C12564" s="11"/>
      <c r="K12564" s="11"/>
    </row>
    <row r="12565" spans="3:11">
      <c r="C12565" s="11"/>
      <c r="K12565" s="11"/>
    </row>
    <row r="12566" spans="3:11">
      <c r="C12566" s="11"/>
      <c r="K12566" s="11"/>
    </row>
    <row r="12567" spans="3:11">
      <c r="C12567" s="11"/>
      <c r="K12567" s="11"/>
    </row>
    <row r="12568" spans="3:11">
      <c r="C12568" s="11"/>
      <c r="K12568" s="11"/>
    </row>
    <row r="12569" spans="3:11">
      <c r="C12569" s="11"/>
      <c r="K12569" s="11"/>
    </row>
    <row r="12570" spans="3:11">
      <c r="C12570" s="11"/>
      <c r="K12570" s="11"/>
    </row>
    <row r="12571" spans="3:11">
      <c r="C12571" s="11"/>
      <c r="K12571" s="11"/>
    </row>
    <row r="12572" spans="3:11">
      <c r="C12572" s="11"/>
      <c r="K12572" s="11"/>
    </row>
    <row r="12573" spans="3:11">
      <c r="C12573" s="11"/>
      <c r="K12573" s="11"/>
    </row>
    <row r="12574" spans="3:11">
      <c r="C12574" s="11"/>
      <c r="K12574" s="11"/>
    </row>
    <row r="12575" spans="3:11">
      <c r="C12575" s="11"/>
      <c r="K12575" s="11"/>
    </row>
    <row r="12576" spans="3:11">
      <c r="C12576" s="11"/>
      <c r="K12576" s="11"/>
    </row>
    <row r="12577" spans="3:11">
      <c r="C12577" s="11"/>
      <c r="K12577" s="11"/>
    </row>
    <row r="12578" spans="3:11">
      <c r="C12578" s="11"/>
      <c r="K12578" s="11"/>
    </row>
    <row r="12579" spans="3:11">
      <c r="C12579" s="11"/>
      <c r="K12579" s="11"/>
    </row>
    <row r="12580" spans="3:11">
      <c r="C12580" s="11"/>
      <c r="K12580" s="11"/>
    </row>
    <row r="12581" spans="3:11">
      <c r="C12581" s="11"/>
      <c r="K12581" s="11"/>
    </row>
    <row r="12582" spans="3:11">
      <c r="C12582" s="11"/>
      <c r="K12582" s="11"/>
    </row>
    <row r="12583" spans="3:11">
      <c r="C12583" s="11"/>
      <c r="K12583" s="11"/>
    </row>
    <row r="12584" spans="3:11">
      <c r="C12584" s="11"/>
      <c r="K12584" s="11"/>
    </row>
    <row r="12585" spans="3:11">
      <c r="C12585" s="11"/>
      <c r="K12585" s="11"/>
    </row>
    <row r="12586" spans="3:11">
      <c r="C12586" s="11"/>
      <c r="K12586" s="11"/>
    </row>
    <row r="12587" spans="3:11">
      <c r="C12587" s="11"/>
      <c r="K12587" s="11"/>
    </row>
    <row r="12588" spans="3:11">
      <c r="C12588" s="11"/>
      <c r="K12588" s="11"/>
    </row>
    <row r="12589" spans="3:11">
      <c r="C12589" s="11"/>
      <c r="K12589" s="11"/>
    </row>
    <row r="12590" spans="3:11">
      <c r="C12590" s="11"/>
      <c r="K12590" s="11"/>
    </row>
    <row r="12591" spans="3:11">
      <c r="C12591" s="11"/>
      <c r="K12591" s="11"/>
    </row>
    <row r="12592" spans="3:11">
      <c r="C12592" s="11"/>
      <c r="K12592" s="11"/>
    </row>
    <row r="12593" spans="3:11">
      <c r="C12593" s="11"/>
      <c r="K12593" s="11"/>
    </row>
    <row r="12594" spans="3:11">
      <c r="C12594" s="11"/>
      <c r="K12594" s="11"/>
    </row>
    <row r="12595" spans="3:11">
      <c r="C12595" s="11"/>
      <c r="K12595" s="11"/>
    </row>
    <row r="12596" spans="3:11">
      <c r="C12596" s="11"/>
      <c r="K12596" s="11"/>
    </row>
    <row r="12597" spans="3:11">
      <c r="C12597" s="11"/>
      <c r="K12597" s="11"/>
    </row>
    <row r="12598" spans="3:11">
      <c r="C12598" s="11"/>
      <c r="K12598" s="11"/>
    </row>
    <row r="12599" spans="3:11">
      <c r="C12599" s="11"/>
      <c r="K12599" s="11"/>
    </row>
    <row r="12600" spans="3:11">
      <c r="C12600" s="11"/>
      <c r="K12600" s="11"/>
    </row>
    <row r="12601" spans="3:11">
      <c r="C12601" s="11"/>
      <c r="K12601" s="11"/>
    </row>
    <row r="12602" spans="3:11">
      <c r="C12602" s="11"/>
      <c r="K12602" s="11"/>
    </row>
    <row r="12603" spans="3:11">
      <c r="C12603" s="11"/>
      <c r="K12603" s="11"/>
    </row>
    <row r="12604" spans="3:11">
      <c r="C12604" s="11"/>
      <c r="K12604" s="11"/>
    </row>
    <row r="12605" spans="3:11">
      <c r="C12605" s="11"/>
      <c r="K12605" s="11"/>
    </row>
    <row r="12606" spans="3:11">
      <c r="C12606" s="11"/>
      <c r="K12606" s="11"/>
    </row>
    <row r="12607" spans="3:11">
      <c r="C12607" s="11"/>
      <c r="K12607" s="11"/>
    </row>
    <row r="12608" spans="3:11">
      <c r="C12608" s="11"/>
      <c r="K12608" s="11"/>
    </row>
    <row r="12609" spans="3:11">
      <c r="C12609" s="11"/>
      <c r="K12609" s="11"/>
    </row>
    <row r="12610" spans="3:11">
      <c r="C12610" s="11"/>
      <c r="K12610" s="11"/>
    </row>
    <row r="12611" spans="3:11">
      <c r="C12611" s="11"/>
      <c r="K12611" s="11"/>
    </row>
    <row r="12612" spans="3:11">
      <c r="C12612" s="11"/>
      <c r="K12612" s="11"/>
    </row>
    <row r="12613" spans="3:11">
      <c r="C12613" s="11"/>
      <c r="K12613" s="11"/>
    </row>
    <row r="12614" spans="3:11">
      <c r="C12614" s="11"/>
      <c r="K12614" s="11"/>
    </row>
    <row r="12615" spans="3:11">
      <c r="C12615" s="11"/>
      <c r="K12615" s="11"/>
    </row>
    <row r="12616" spans="3:11">
      <c r="C12616" s="11"/>
      <c r="K12616" s="11"/>
    </row>
    <row r="12617" spans="3:11">
      <c r="C12617" s="11"/>
      <c r="K12617" s="11"/>
    </row>
    <row r="12618" spans="3:11">
      <c r="C12618" s="11"/>
      <c r="K12618" s="11"/>
    </row>
    <row r="12619" spans="3:11">
      <c r="C12619" s="11"/>
      <c r="K12619" s="11"/>
    </row>
    <row r="12620" spans="3:11">
      <c r="C12620" s="11"/>
      <c r="K12620" s="11"/>
    </row>
    <row r="12621" spans="3:11">
      <c r="C12621" s="11"/>
      <c r="K12621" s="11"/>
    </row>
    <row r="12622" spans="3:11">
      <c r="C12622" s="11"/>
      <c r="K12622" s="11"/>
    </row>
    <row r="12623" spans="3:11">
      <c r="C12623" s="11"/>
      <c r="K12623" s="11"/>
    </row>
    <row r="12624" spans="3:11">
      <c r="C12624" s="11"/>
      <c r="K12624" s="11"/>
    </row>
    <row r="12625" spans="3:11">
      <c r="C12625" s="11"/>
      <c r="K12625" s="11"/>
    </row>
    <row r="12626" spans="3:11">
      <c r="C12626" s="11"/>
      <c r="K12626" s="11"/>
    </row>
    <row r="12627" spans="3:11">
      <c r="C12627" s="11"/>
      <c r="K12627" s="11"/>
    </row>
    <row r="12628" spans="3:11">
      <c r="C12628" s="11"/>
      <c r="K12628" s="11"/>
    </row>
    <row r="12629" spans="3:11">
      <c r="C12629" s="11"/>
      <c r="K12629" s="11"/>
    </row>
    <row r="12630" spans="3:11">
      <c r="C12630" s="11"/>
      <c r="K12630" s="11"/>
    </row>
    <row r="12631" spans="3:11">
      <c r="C12631" s="11"/>
      <c r="K12631" s="11"/>
    </row>
    <row r="12632" spans="3:11">
      <c r="C12632" s="11"/>
      <c r="K12632" s="11"/>
    </row>
    <row r="12633" spans="3:11">
      <c r="C12633" s="11"/>
      <c r="K12633" s="11"/>
    </row>
    <row r="12634" spans="3:11">
      <c r="C12634" s="11"/>
      <c r="K12634" s="11"/>
    </row>
    <row r="12635" spans="3:11">
      <c r="C12635" s="11"/>
      <c r="K12635" s="11"/>
    </row>
    <row r="12636" spans="3:11">
      <c r="C12636" s="11"/>
      <c r="K12636" s="11"/>
    </row>
    <row r="12637" spans="3:11">
      <c r="C12637" s="11"/>
      <c r="K12637" s="11"/>
    </row>
    <row r="12638" spans="3:11">
      <c r="C12638" s="11"/>
      <c r="K12638" s="11"/>
    </row>
    <row r="12639" spans="3:11">
      <c r="C12639" s="11"/>
      <c r="K12639" s="11"/>
    </row>
    <row r="12640" spans="3:11">
      <c r="C12640" s="11"/>
      <c r="K12640" s="11"/>
    </row>
    <row r="12641" spans="3:11">
      <c r="C12641" s="11"/>
      <c r="K12641" s="11"/>
    </row>
    <row r="12642" spans="3:11">
      <c r="C12642" s="11"/>
      <c r="K12642" s="11"/>
    </row>
    <row r="12643" spans="3:11">
      <c r="C12643" s="11"/>
      <c r="K12643" s="11"/>
    </row>
    <row r="12644" spans="3:11">
      <c r="C12644" s="11"/>
      <c r="K12644" s="11"/>
    </row>
    <row r="12645" spans="3:11">
      <c r="C12645" s="11"/>
      <c r="K12645" s="11"/>
    </row>
    <row r="12646" spans="3:11">
      <c r="C12646" s="11"/>
      <c r="K12646" s="11"/>
    </row>
    <row r="12647" spans="3:11">
      <c r="C12647" s="11"/>
      <c r="K12647" s="11"/>
    </row>
    <row r="12648" spans="3:11">
      <c r="C12648" s="11"/>
      <c r="K12648" s="11"/>
    </row>
    <row r="12649" spans="3:11">
      <c r="C12649" s="11"/>
      <c r="K12649" s="11"/>
    </row>
    <row r="12650" spans="3:11">
      <c r="C12650" s="11"/>
      <c r="K12650" s="11"/>
    </row>
    <row r="12651" spans="3:11">
      <c r="C12651" s="11"/>
      <c r="K12651" s="11"/>
    </row>
    <row r="12652" spans="3:11">
      <c r="C12652" s="11"/>
      <c r="K12652" s="11"/>
    </row>
    <row r="12653" spans="3:11">
      <c r="C12653" s="11"/>
      <c r="K12653" s="11"/>
    </row>
    <row r="12654" spans="3:11">
      <c r="C12654" s="11"/>
      <c r="K12654" s="11"/>
    </row>
    <row r="12655" spans="3:11">
      <c r="C12655" s="11"/>
      <c r="K12655" s="11"/>
    </row>
    <row r="12656" spans="3:11">
      <c r="C12656" s="11"/>
      <c r="K12656" s="11"/>
    </row>
    <row r="12657" spans="3:11">
      <c r="C12657" s="11"/>
      <c r="K12657" s="11"/>
    </row>
    <row r="12658" spans="3:11">
      <c r="C12658" s="11"/>
      <c r="K12658" s="11"/>
    </row>
    <row r="12659" spans="3:11">
      <c r="C12659" s="11"/>
      <c r="K12659" s="11"/>
    </row>
    <row r="12660" spans="3:11">
      <c r="C12660" s="11"/>
      <c r="K12660" s="11"/>
    </row>
    <row r="12661" spans="3:11">
      <c r="C12661" s="11"/>
      <c r="K12661" s="11"/>
    </row>
    <row r="12662" spans="3:11">
      <c r="C12662" s="11"/>
      <c r="K12662" s="11"/>
    </row>
    <row r="12663" spans="3:11">
      <c r="C12663" s="11"/>
      <c r="K12663" s="11"/>
    </row>
    <row r="12664" spans="3:11">
      <c r="C12664" s="11"/>
      <c r="K12664" s="11"/>
    </row>
    <row r="12665" spans="3:11">
      <c r="C12665" s="11"/>
      <c r="K12665" s="11"/>
    </row>
    <row r="12666" spans="3:11">
      <c r="C12666" s="11"/>
      <c r="K12666" s="11"/>
    </row>
    <row r="12667" spans="3:11">
      <c r="C12667" s="11"/>
      <c r="K12667" s="11"/>
    </row>
    <row r="12668" spans="3:11">
      <c r="C12668" s="11"/>
      <c r="K12668" s="11"/>
    </row>
    <row r="12669" spans="3:11">
      <c r="C12669" s="11"/>
      <c r="K12669" s="11"/>
    </row>
    <row r="12670" spans="3:11">
      <c r="C12670" s="11"/>
      <c r="K12670" s="11"/>
    </row>
    <row r="12671" spans="3:11">
      <c r="C12671" s="11"/>
      <c r="K12671" s="11"/>
    </row>
    <row r="12672" spans="3:11">
      <c r="C12672" s="11"/>
      <c r="K12672" s="11"/>
    </row>
    <row r="12673" spans="3:11">
      <c r="C12673" s="11"/>
      <c r="K12673" s="11"/>
    </row>
    <row r="12674" spans="3:11">
      <c r="C12674" s="11"/>
      <c r="K12674" s="11"/>
    </row>
    <row r="12675" spans="3:11">
      <c r="C12675" s="11"/>
      <c r="K12675" s="11"/>
    </row>
    <row r="12676" spans="3:11">
      <c r="C12676" s="11"/>
      <c r="K12676" s="11"/>
    </row>
    <row r="12677" spans="3:11">
      <c r="C12677" s="11"/>
      <c r="K12677" s="11"/>
    </row>
    <row r="12678" spans="3:11">
      <c r="C12678" s="11"/>
      <c r="K12678" s="11"/>
    </row>
    <row r="12679" spans="3:11">
      <c r="C12679" s="11"/>
      <c r="K12679" s="11"/>
    </row>
    <row r="12680" spans="3:11">
      <c r="C12680" s="11"/>
      <c r="K12680" s="11"/>
    </row>
    <row r="12681" spans="3:11">
      <c r="C12681" s="11"/>
      <c r="K12681" s="11"/>
    </row>
    <row r="12682" spans="3:11">
      <c r="C12682" s="11"/>
      <c r="K12682" s="11"/>
    </row>
    <row r="12683" spans="3:11">
      <c r="C12683" s="11"/>
      <c r="K12683" s="11"/>
    </row>
    <row r="12684" spans="3:11">
      <c r="C12684" s="11"/>
      <c r="K12684" s="11"/>
    </row>
    <row r="12685" spans="3:11">
      <c r="C12685" s="11"/>
      <c r="K12685" s="11"/>
    </row>
    <row r="12686" spans="3:11">
      <c r="C12686" s="11"/>
      <c r="K12686" s="11"/>
    </row>
    <row r="12687" spans="3:11">
      <c r="C12687" s="11"/>
      <c r="K12687" s="11"/>
    </row>
    <row r="12688" spans="3:11">
      <c r="C12688" s="11"/>
      <c r="K12688" s="11"/>
    </row>
    <row r="12689" spans="3:11">
      <c r="C12689" s="11"/>
      <c r="K12689" s="11"/>
    </row>
    <row r="12690" spans="3:11">
      <c r="C12690" s="11"/>
      <c r="K12690" s="11"/>
    </row>
    <row r="12691" spans="3:11">
      <c r="C12691" s="11"/>
      <c r="K12691" s="11"/>
    </row>
    <row r="12692" spans="3:11">
      <c r="C12692" s="11"/>
      <c r="K12692" s="11"/>
    </row>
    <row r="12693" spans="3:11">
      <c r="C12693" s="11"/>
      <c r="K12693" s="11"/>
    </row>
    <row r="12694" spans="3:11">
      <c r="C12694" s="11"/>
      <c r="K12694" s="11"/>
    </row>
    <row r="12695" spans="3:11">
      <c r="C12695" s="11"/>
      <c r="K12695" s="11"/>
    </row>
    <row r="12696" spans="3:11">
      <c r="C12696" s="11"/>
      <c r="K12696" s="11"/>
    </row>
    <row r="12697" spans="3:11">
      <c r="C12697" s="11"/>
      <c r="K12697" s="11"/>
    </row>
    <row r="12698" spans="3:11">
      <c r="C12698" s="11"/>
      <c r="K12698" s="11"/>
    </row>
    <row r="12699" spans="3:11">
      <c r="C12699" s="11"/>
      <c r="K12699" s="11"/>
    </row>
    <row r="12700" spans="3:11">
      <c r="C12700" s="11"/>
      <c r="K12700" s="11"/>
    </row>
    <row r="12701" spans="3:11">
      <c r="C12701" s="11"/>
      <c r="K12701" s="11"/>
    </row>
    <row r="12702" spans="3:11">
      <c r="C12702" s="11"/>
      <c r="K12702" s="11"/>
    </row>
    <row r="12703" spans="3:11">
      <c r="C12703" s="11"/>
      <c r="K12703" s="11"/>
    </row>
    <row r="12704" spans="3:11">
      <c r="C12704" s="11"/>
      <c r="K12704" s="11"/>
    </row>
    <row r="12705" spans="3:11">
      <c r="C12705" s="11"/>
      <c r="K12705" s="11"/>
    </row>
    <row r="12706" spans="3:11">
      <c r="C12706" s="11"/>
      <c r="K12706" s="11"/>
    </row>
    <row r="12707" spans="3:11">
      <c r="C12707" s="11"/>
      <c r="K12707" s="11"/>
    </row>
    <row r="12708" spans="3:11">
      <c r="C12708" s="11"/>
      <c r="K12708" s="11"/>
    </row>
    <row r="12709" spans="3:11">
      <c r="C12709" s="11"/>
      <c r="K12709" s="11"/>
    </row>
    <row r="12710" spans="3:11">
      <c r="C12710" s="11"/>
      <c r="K12710" s="11"/>
    </row>
    <row r="12711" spans="3:11">
      <c r="C12711" s="11"/>
      <c r="K12711" s="11"/>
    </row>
    <row r="12712" spans="3:11">
      <c r="C12712" s="11"/>
      <c r="K12712" s="11"/>
    </row>
    <row r="12713" spans="3:11">
      <c r="C12713" s="11"/>
      <c r="K12713" s="11"/>
    </row>
    <row r="12714" spans="3:11">
      <c r="C12714" s="11"/>
      <c r="K12714" s="11"/>
    </row>
    <row r="12715" spans="3:11">
      <c r="C12715" s="11"/>
      <c r="K12715" s="11"/>
    </row>
    <row r="12716" spans="3:11">
      <c r="C12716" s="11"/>
      <c r="K12716" s="11"/>
    </row>
    <row r="12717" spans="3:11">
      <c r="C12717" s="11"/>
      <c r="K12717" s="11"/>
    </row>
    <row r="12718" spans="3:11">
      <c r="C12718" s="11"/>
      <c r="K12718" s="11"/>
    </row>
    <row r="12719" spans="3:11">
      <c r="C12719" s="11"/>
      <c r="K12719" s="11"/>
    </row>
    <row r="12720" spans="3:11">
      <c r="C12720" s="11"/>
      <c r="K12720" s="11"/>
    </row>
    <row r="12721" spans="3:11">
      <c r="C12721" s="11"/>
      <c r="K12721" s="11"/>
    </row>
    <row r="12722" spans="3:11">
      <c r="C12722" s="11"/>
      <c r="K12722" s="11"/>
    </row>
    <row r="12723" spans="3:11">
      <c r="C12723" s="11"/>
      <c r="K12723" s="11"/>
    </row>
    <row r="12724" spans="3:11">
      <c r="C12724" s="11"/>
      <c r="K12724" s="11"/>
    </row>
    <row r="12725" spans="3:11">
      <c r="C12725" s="11"/>
      <c r="K12725" s="11"/>
    </row>
    <row r="12726" spans="3:11">
      <c r="C12726" s="11"/>
      <c r="K12726" s="11"/>
    </row>
    <row r="12727" spans="3:11">
      <c r="C12727" s="11"/>
      <c r="K12727" s="11"/>
    </row>
    <row r="12728" spans="3:11">
      <c r="C12728" s="11"/>
      <c r="K12728" s="11"/>
    </row>
    <row r="12729" spans="3:11">
      <c r="C12729" s="11"/>
      <c r="K12729" s="11"/>
    </row>
    <row r="12730" spans="3:11">
      <c r="C12730" s="11"/>
      <c r="K12730" s="11"/>
    </row>
    <row r="12731" spans="3:11">
      <c r="C12731" s="11"/>
      <c r="K12731" s="11"/>
    </row>
    <row r="12732" spans="3:11">
      <c r="C12732" s="11"/>
      <c r="K12732" s="11"/>
    </row>
    <row r="12733" spans="3:11">
      <c r="C12733" s="11"/>
      <c r="K12733" s="11"/>
    </row>
    <row r="12734" spans="3:11">
      <c r="C12734" s="11"/>
      <c r="K12734" s="11"/>
    </row>
    <row r="12735" spans="3:11">
      <c r="C12735" s="11"/>
      <c r="K12735" s="11"/>
    </row>
    <row r="12736" spans="3:11">
      <c r="C12736" s="11"/>
      <c r="K12736" s="11"/>
    </row>
    <row r="12737" spans="3:11">
      <c r="C12737" s="11"/>
      <c r="K12737" s="11"/>
    </row>
    <row r="12738" spans="3:11">
      <c r="C12738" s="11"/>
      <c r="K12738" s="11"/>
    </row>
    <row r="12739" spans="3:11">
      <c r="C12739" s="11"/>
      <c r="K12739" s="11"/>
    </row>
    <row r="12740" spans="3:11">
      <c r="C12740" s="11"/>
      <c r="K12740" s="11"/>
    </row>
    <row r="12741" spans="3:11">
      <c r="C12741" s="11"/>
      <c r="K12741" s="11"/>
    </row>
    <row r="12742" spans="3:11">
      <c r="C12742" s="11"/>
      <c r="K12742" s="11"/>
    </row>
    <row r="12743" spans="3:11">
      <c r="C12743" s="11"/>
      <c r="K12743" s="11"/>
    </row>
    <row r="12744" spans="3:11">
      <c r="C12744" s="11"/>
      <c r="K12744" s="11"/>
    </row>
    <row r="12745" spans="3:11">
      <c r="C12745" s="11"/>
      <c r="K12745" s="11"/>
    </row>
    <row r="12746" spans="3:11">
      <c r="C12746" s="11"/>
      <c r="K12746" s="11"/>
    </row>
    <row r="12747" spans="3:11">
      <c r="C12747" s="11"/>
      <c r="K12747" s="11"/>
    </row>
    <row r="12748" spans="3:11">
      <c r="C12748" s="11"/>
      <c r="K12748" s="11"/>
    </row>
    <row r="12749" spans="3:11">
      <c r="C12749" s="11"/>
      <c r="K12749" s="11"/>
    </row>
    <row r="12750" spans="3:11">
      <c r="C12750" s="11"/>
      <c r="K12750" s="11"/>
    </row>
    <row r="12751" spans="3:11">
      <c r="C12751" s="11"/>
      <c r="K12751" s="11"/>
    </row>
    <row r="12752" spans="3:11">
      <c r="C12752" s="11"/>
      <c r="K12752" s="11"/>
    </row>
    <row r="12753" spans="3:11">
      <c r="C12753" s="11"/>
      <c r="K12753" s="11"/>
    </row>
    <row r="12754" spans="3:11">
      <c r="C12754" s="11"/>
      <c r="K12754" s="11"/>
    </row>
    <row r="12755" spans="3:11">
      <c r="C12755" s="11"/>
      <c r="K12755" s="11"/>
    </row>
    <row r="12756" spans="3:11">
      <c r="C12756" s="11"/>
      <c r="K12756" s="11"/>
    </row>
    <row r="12757" spans="3:11">
      <c r="C12757" s="11"/>
      <c r="K12757" s="11"/>
    </row>
    <row r="12758" spans="3:11">
      <c r="C12758" s="11"/>
      <c r="K12758" s="11"/>
    </row>
    <row r="12759" spans="3:11">
      <c r="C12759" s="11"/>
      <c r="K12759" s="11"/>
    </row>
    <row r="12760" spans="3:11">
      <c r="C12760" s="11"/>
      <c r="K12760" s="11"/>
    </row>
    <row r="12761" spans="3:11">
      <c r="C12761" s="11"/>
      <c r="K12761" s="11"/>
    </row>
    <row r="12762" spans="3:11">
      <c r="C12762" s="11"/>
      <c r="K12762" s="11"/>
    </row>
    <row r="12763" spans="3:11">
      <c r="C12763" s="11"/>
      <c r="K12763" s="11"/>
    </row>
    <row r="12764" spans="3:11">
      <c r="C12764" s="11"/>
      <c r="K12764" s="11"/>
    </row>
    <row r="12765" spans="3:11">
      <c r="C12765" s="11"/>
      <c r="K12765" s="11"/>
    </row>
    <row r="12766" spans="3:11">
      <c r="C12766" s="11"/>
      <c r="K12766" s="11"/>
    </row>
    <row r="12767" spans="3:11">
      <c r="C12767" s="11"/>
      <c r="K12767" s="11"/>
    </row>
    <row r="12768" spans="3:11">
      <c r="C12768" s="11"/>
      <c r="K12768" s="11"/>
    </row>
    <row r="12769" spans="3:11">
      <c r="C12769" s="11"/>
      <c r="K12769" s="11"/>
    </row>
    <row r="12770" spans="3:11">
      <c r="C12770" s="11"/>
      <c r="K12770" s="11"/>
    </row>
    <row r="12771" spans="3:11">
      <c r="C12771" s="11"/>
      <c r="K12771" s="11"/>
    </row>
    <row r="12772" spans="3:11">
      <c r="C12772" s="11"/>
      <c r="K12772" s="11"/>
    </row>
    <row r="12773" spans="3:11">
      <c r="C12773" s="11"/>
      <c r="K12773" s="11"/>
    </row>
    <row r="12774" spans="3:11">
      <c r="C12774" s="11"/>
      <c r="K12774" s="11"/>
    </row>
    <row r="12775" spans="3:11">
      <c r="C12775" s="11"/>
      <c r="K12775" s="11"/>
    </row>
    <row r="12776" spans="3:11">
      <c r="C12776" s="11"/>
      <c r="K12776" s="11"/>
    </row>
    <row r="12777" spans="3:11">
      <c r="C12777" s="11"/>
      <c r="K12777" s="11"/>
    </row>
    <row r="12778" spans="3:11">
      <c r="C12778" s="11"/>
      <c r="K12778" s="11"/>
    </row>
    <row r="12779" spans="3:11">
      <c r="C12779" s="11"/>
      <c r="K12779" s="11"/>
    </row>
    <row r="12780" spans="3:11">
      <c r="C12780" s="11"/>
      <c r="K12780" s="11"/>
    </row>
    <row r="12781" spans="3:11">
      <c r="C12781" s="11"/>
      <c r="K12781" s="11"/>
    </row>
    <row r="12782" spans="3:11">
      <c r="C12782" s="11"/>
      <c r="K12782" s="11"/>
    </row>
    <row r="12783" spans="3:11">
      <c r="C12783" s="11"/>
      <c r="K12783" s="11"/>
    </row>
    <row r="12784" spans="3:11">
      <c r="C12784" s="11"/>
      <c r="K12784" s="11"/>
    </row>
    <row r="12785" spans="3:11">
      <c r="C12785" s="11"/>
      <c r="K12785" s="11"/>
    </row>
    <row r="12786" spans="3:11">
      <c r="C12786" s="11"/>
      <c r="K12786" s="11"/>
    </row>
    <row r="12787" spans="3:11">
      <c r="C12787" s="11"/>
      <c r="K12787" s="11"/>
    </row>
    <row r="12788" spans="3:11">
      <c r="C12788" s="11"/>
      <c r="K12788" s="11"/>
    </row>
    <row r="12789" spans="3:11">
      <c r="C12789" s="11"/>
      <c r="K12789" s="11"/>
    </row>
    <row r="12790" spans="3:11">
      <c r="C12790" s="11"/>
      <c r="K12790" s="11"/>
    </row>
    <row r="12791" spans="3:11">
      <c r="C12791" s="11"/>
      <c r="K12791" s="11"/>
    </row>
    <row r="12792" spans="3:11">
      <c r="C12792" s="11"/>
      <c r="K12792" s="11"/>
    </row>
    <row r="12793" spans="3:11">
      <c r="C12793" s="11"/>
      <c r="K12793" s="11"/>
    </row>
    <row r="12794" spans="3:11">
      <c r="C12794" s="11"/>
      <c r="K12794" s="11"/>
    </row>
    <row r="12795" spans="3:11">
      <c r="C12795" s="11"/>
      <c r="K12795" s="11"/>
    </row>
    <row r="12796" spans="3:11">
      <c r="C12796" s="11"/>
      <c r="K12796" s="11"/>
    </row>
    <row r="12797" spans="3:11">
      <c r="C12797" s="11"/>
      <c r="K12797" s="11"/>
    </row>
    <row r="12798" spans="3:11">
      <c r="C12798" s="11"/>
      <c r="K12798" s="11"/>
    </row>
    <row r="12799" spans="3:11">
      <c r="C12799" s="11"/>
      <c r="K12799" s="11"/>
    </row>
    <row r="12800" spans="3:11">
      <c r="C12800" s="11"/>
      <c r="K12800" s="11"/>
    </row>
    <row r="12801" spans="3:11">
      <c r="C12801" s="11"/>
      <c r="K12801" s="11"/>
    </row>
    <row r="12802" spans="3:11">
      <c r="C12802" s="11"/>
      <c r="K12802" s="11"/>
    </row>
    <row r="12803" spans="3:11">
      <c r="C12803" s="11"/>
      <c r="K12803" s="11"/>
    </row>
    <row r="12804" spans="3:11">
      <c r="C12804" s="11"/>
      <c r="K12804" s="11"/>
    </row>
    <row r="12805" spans="3:11">
      <c r="C12805" s="11"/>
      <c r="K12805" s="11"/>
    </row>
    <row r="12806" spans="3:11">
      <c r="C12806" s="11"/>
      <c r="K12806" s="11"/>
    </row>
    <row r="12807" spans="3:11">
      <c r="C12807" s="11"/>
      <c r="K12807" s="11"/>
    </row>
    <row r="12808" spans="3:11">
      <c r="C12808" s="11"/>
      <c r="K12808" s="11"/>
    </row>
    <row r="12809" spans="3:11">
      <c r="C12809" s="11"/>
      <c r="K12809" s="11"/>
    </row>
    <row r="12810" spans="3:11">
      <c r="C12810" s="11"/>
      <c r="K12810" s="11"/>
    </row>
    <row r="12811" spans="3:11">
      <c r="C12811" s="11"/>
      <c r="K12811" s="11"/>
    </row>
    <row r="12812" spans="3:11">
      <c r="C12812" s="11"/>
      <c r="K12812" s="11"/>
    </row>
    <row r="12813" spans="3:11">
      <c r="C12813" s="11"/>
      <c r="K12813" s="11"/>
    </row>
    <row r="12814" spans="3:11">
      <c r="C12814" s="11"/>
      <c r="K12814" s="11"/>
    </row>
    <row r="12815" spans="3:11">
      <c r="C12815" s="11"/>
      <c r="K12815" s="11"/>
    </row>
    <row r="12816" spans="3:11">
      <c r="C12816" s="11"/>
      <c r="K12816" s="11"/>
    </row>
    <row r="12817" spans="3:11">
      <c r="C12817" s="11"/>
      <c r="K12817" s="11"/>
    </row>
    <row r="12818" spans="3:11">
      <c r="C12818" s="11"/>
      <c r="K12818" s="11"/>
    </row>
    <row r="12819" spans="3:11">
      <c r="C12819" s="11"/>
      <c r="K12819" s="11"/>
    </row>
    <row r="12820" spans="3:11">
      <c r="C12820" s="11"/>
      <c r="K12820" s="11"/>
    </row>
    <row r="12821" spans="3:11">
      <c r="C12821" s="11"/>
      <c r="K12821" s="11"/>
    </row>
    <row r="12822" spans="3:11">
      <c r="C12822" s="11"/>
      <c r="K12822" s="11"/>
    </row>
    <row r="12823" spans="3:11">
      <c r="C12823" s="11"/>
      <c r="K12823" s="11"/>
    </row>
    <row r="12824" spans="3:11">
      <c r="C12824" s="11"/>
      <c r="K12824" s="11"/>
    </row>
    <row r="12825" spans="3:11">
      <c r="C12825" s="11"/>
      <c r="K12825" s="11"/>
    </row>
    <row r="12826" spans="3:11">
      <c r="C12826" s="11"/>
      <c r="K12826" s="11"/>
    </row>
    <row r="12827" spans="3:11">
      <c r="C12827" s="11"/>
      <c r="K12827" s="11"/>
    </row>
    <row r="12828" spans="3:11">
      <c r="C12828" s="11"/>
      <c r="K12828" s="11"/>
    </row>
    <row r="12829" spans="3:11">
      <c r="C12829" s="11"/>
      <c r="K12829" s="11"/>
    </row>
    <row r="12830" spans="3:11">
      <c r="C12830" s="11"/>
      <c r="K12830" s="11"/>
    </row>
    <row r="12831" spans="3:11">
      <c r="C12831" s="11"/>
      <c r="K12831" s="11"/>
    </row>
    <row r="12832" spans="3:11">
      <c r="C12832" s="11"/>
      <c r="K12832" s="11"/>
    </row>
    <row r="12833" spans="3:11">
      <c r="C12833" s="11"/>
      <c r="K12833" s="11"/>
    </row>
    <row r="12834" spans="3:11">
      <c r="C12834" s="11"/>
      <c r="K12834" s="11"/>
    </row>
    <row r="12835" spans="3:11">
      <c r="C12835" s="11"/>
      <c r="K12835" s="11"/>
    </row>
    <row r="12836" spans="3:11">
      <c r="C12836" s="11"/>
      <c r="K12836" s="11"/>
    </row>
    <row r="12837" spans="3:11">
      <c r="C12837" s="11"/>
      <c r="K12837" s="11"/>
    </row>
    <row r="12838" spans="3:11">
      <c r="C12838" s="11"/>
      <c r="K12838" s="11"/>
    </row>
    <row r="12839" spans="3:11">
      <c r="C12839" s="11"/>
      <c r="K12839" s="11"/>
    </row>
    <row r="12840" spans="3:11">
      <c r="C12840" s="11"/>
      <c r="K12840" s="11"/>
    </row>
    <row r="12841" spans="3:11">
      <c r="C12841" s="11"/>
      <c r="K12841" s="11"/>
    </row>
    <row r="12842" spans="3:11">
      <c r="C12842" s="11"/>
      <c r="K12842" s="11"/>
    </row>
    <row r="12843" spans="3:11">
      <c r="C12843" s="11"/>
      <c r="K12843" s="11"/>
    </row>
    <row r="12844" spans="3:11">
      <c r="C12844" s="11"/>
      <c r="K12844" s="11"/>
    </row>
    <row r="12845" spans="3:11">
      <c r="C12845" s="11"/>
      <c r="K12845" s="11"/>
    </row>
    <row r="12846" spans="3:11">
      <c r="C12846" s="11"/>
      <c r="K12846" s="11"/>
    </row>
    <row r="12847" spans="3:11">
      <c r="C12847" s="11"/>
      <c r="K12847" s="11"/>
    </row>
    <row r="12848" spans="3:11">
      <c r="C12848" s="11"/>
      <c r="K12848" s="11"/>
    </row>
    <row r="12849" spans="3:11">
      <c r="C12849" s="11"/>
      <c r="K12849" s="11"/>
    </row>
    <row r="12850" spans="3:11">
      <c r="C12850" s="11"/>
      <c r="K12850" s="11"/>
    </row>
    <row r="12851" spans="3:11">
      <c r="C12851" s="11"/>
      <c r="K12851" s="11"/>
    </row>
    <row r="12852" spans="3:11">
      <c r="C12852" s="11"/>
      <c r="K12852" s="11"/>
    </row>
    <row r="12853" spans="3:11">
      <c r="C12853" s="11"/>
      <c r="K12853" s="11"/>
    </row>
    <row r="12854" spans="3:11">
      <c r="C12854" s="11"/>
      <c r="K12854" s="11"/>
    </row>
    <row r="12855" spans="3:11">
      <c r="C12855" s="11"/>
      <c r="K12855" s="11"/>
    </row>
    <row r="12856" spans="3:11">
      <c r="C12856" s="11"/>
      <c r="K12856" s="11"/>
    </row>
    <row r="12857" spans="3:11">
      <c r="C12857" s="11"/>
      <c r="K12857" s="11"/>
    </row>
    <row r="12858" spans="3:11">
      <c r="C12858" s="11"/>
      <c r="K12858" s="11"/>
    </row>
    <row r="12859" spans="3:11">
      <c r="C12859" s="11"/>
      <c r="K12859" s="11"/>
    </row>
    <row r="12860" spans="3:11">
      <c r="C12860" s="11"/>
      <c r="K12860" s="11"/>
    </row>
    <row r="12861" spans="3:11">
      <c r="C12861" s="11"/>
      <c r="K12861" s="11"/>
    </row>
    <row r="12862" spans="3:11">
      <c r="C12862" s="11"/>
      <c r="K12862" s="11"/>
    </row>
    <row r="12863" spans="3:11">
      <c r="C12863" s="11"/>
      <c r="K12863" s="11"/>
    </row>
    <row r="12864" spans="3:11">
      <c r="C12864" s="11"/>
      <c r="K12864" s="11"/>
    </row>
    <row r="12865" spans="3:11">
      <c r="C12865" s="11"/>
      <c r="K12865" s="11"/>
    </row>
    <row r="12866" spans="3:11">
      <c r="C12866" s="11"/>
      <c r="K12866" s="11"/>
    </row>
    <row r="12867" spans="3:11">
      <c r="C12867" s="11"/>
      <c r="K12867" s="11"/>
    </row>
    <row r="12868" spans="3:11">
      <c r="C12868" s="11"/>
      <c r="K12868" s="11"/>
    </row>
    <row r="12869" spans="3:11">
      <c r="C12869" s="11"/>
      <c r="K12869" s="11"/>
    </row>
    <row r="12870" spans="3:11">
      <c r="C12870" s="11"/>
      <c r="K12870" s="11"/>
    </row>
    <row r="12871" spans="3:11">
      <c r="C12871" s="11"/>
      <c r="K12871" s="11"/>
    </row>
    <row r="12872" spans="3:11">
      <c r="C12872" s="11"/>
      <c r="K12872" s="11"/>
    </row>
    <row r="12873" spans="3:11">
      <c r="C12873" s="11"/>
      <c r="K12873" s="11"/>
    </row>
    <row r="12874" spans="3:11">
      <c r="C12874" s="11"/>
      <c r="K12874" s="11"/>
    </row>
    <row r="12875" spans="3:11">
      <c r="C12875" s="11"/>
      <c r="K12875" s="11"/>
    </row>
    <row r="12876" spans="3:11">
      <c r="C12876" s="11"/>
      <c r="K12876" s="11"/>
    </row>
    <row r="12877" spans="3:11">
      <c r="C12877" s="11"/>
      <c r="K12877" s="11"/>
    </row>
    <row r="12878" spans="3:11">
      <c r="C12878" s="11"/>
      <c r="K12878" s="11"/>
    </row>
    <row r="12879" spans="3:11">
      <c r="C12879" s="11"/>
      <c r="K12879" s="11"/>
    </row>
    <row r="12880" spans="3:11">
      <c r="C12880" s="11"/>
      <c r="K12880" s="11"/>
    </row>
    <row r="12881" spans="3:11">
      <c r="C12881" s="11"/>
      <c r="K12881" s="11"/>
    </row>
    <row r="12882" spans="3:11">
      <c r="C12882" s="11"/>
      <c r="K12882" s="11"/>
    </row>
    <row r="12883" spans="3:11">
      <c r="C12883" s="11"/>
      <c r="K12883" s="11"/>
    </row>
    <row r="12884" spans="3:11">
      <c r="C12884" s="11"/>
      <c r="K12884" s="11"/>
    </row>
    <row r="12885" spans="3:11">
      <c r="C12885" s="11"/>
      <c r="K12885" s="11"/>
    </row>
    <row r="12886" spans="3:11">
      <c r="C12886" s="11"/>
      <c r="K12886" s="11"/>
    </row>
    <row r="12887" spans="3:11">
      <c r="C12887" s="11"/>
      <c r="K12887" s="11"/>
    </row>
    <row r="12888" spans="3:11">
      <c r="C12888" s="11"/>
      <c r="K12888" s="11"/>
    </row>
    <row r="12889" spans="3:11">
      <c r="C12889" s="11"/>
      <c r="K12889" s="11"/>
    </row>
    <row r="12890" spans="3:11">
      <c r="C12890" s="11"/>
      <c r="K12890" s="11"/>
    </row>
    <row r="12891" spans="3:11">
      <c r="C12891" s="11"/>
      <c r="K12891" s="11"/>
    </row>
    <row r="12892" spans="3:11">
      <c r="C12892" s="11"/>
      <c r="K12892" s="11"/>
    </row>
    <row r="12893" spans="3:11">
      <c r="C12893" s="11"/>
      <c r="K12893" s="11"/>
    </row>
    <row r="12894" spans="3:11">
      <c r="C12894" s="11"/>
      <c r="K12894" s="11"/>
    </row>
    <row r="12895" spans="3:11">
      <c r="C12895" s="11"/>
      <c r="K12895" s="11"/>
    </row>
    <row r="12896" spans="3:11">
      <c r="C12896" s="11"/>
      <c r="K12896" s="11"/>
    </row>
    <row r="12897" spans="3:11">
      <c r="C12897" s="11"/>
      <c r="K12897" s="11"/>
    </row>
    <row r="12898" spans="3:11">
      <c r="C12898" s="11"/>
      <c r="K12898" s="11"/>
    </row>
    <row r="12899" spans="3:11">
      <c r="C12899" s="11"/>
      <c r="K12899" s="11"/>
    </row>
    <row r="12900" spans="3:11">
      <c r="C12900" s="11"/>
      <c r="K12900" s="11"/>
    </row>
    <row r="12901" spans="3:11">
      <c r="C12901" s="11"/>
      <c r="K12901" s="11"/>
    </row>
    <row r="12902" spans="3:11">
      <c r="C12902" s="11"/>
      <c r="K12902" s="11"/>
    </row>
    <row r="12903" spans="3:11">
      <c r="C12903" s="11"/>
      <c r="K12903" s="11"/>
    </row>
    <row r="12904" spans="3:11">
      <c r="C12904" s="11"/>
      <c r="K12904" s="11"/>
    </row>
    <row r="12905" spans="3:11">
      <c r="C12905" s="11"/>
      <c r="K12905" s="11"/>
    </row>
    <row r="12906" spans="3:11">
      <c r="C12906" s="11"/>
      <c r="K12906" s="11"/>
    </row>
    <row r="12907" spans="3:11">
      <c r="C12907" s="11"/>
      <c r="K12907" s="11"/>
    </row>
    <row r="12908" spans="3:11">
      <c r="C12908" s="11"/>
      <c r="K12908" s="11"/>
    </row>
    <row r="12909" spans="3:11">
      <c r="C12909" s="11"/>
      <c r="K12909" s="11"/>
    </row>
    <row r="12910" spans="3:11">
      <c r="C12910" s="11"/>
      <c r="K12910" s="11"/>
    </row>
    <row r="12911" spans="3:11">
      <c r="C12911" s="11"/>
      <c r="K12911" s="11"/>
    </row>
    <row r="12912" spans="3:11">
      <c r="C12912" s="11"/>
      <c r="K12912" s="11"/>
    </row>
    <row r="12913" spans="3:11">
      <c r="C12913" s="11"/>
      <c r="K12913" s="11"/>
    </row>
    <row r="12914" spans="3:11">
      <c r="C12914" s="11"/>
      <c r="K12914" s="11"/>
    </row>
    <row r="12915" spans="3:11">
      <c r="C12915" s="11"/>
      <c r="K12915" s="11"/>
    </row>
    <row r="12916" spans="3:11">
      <c r="C12916" s="11"/>
      <c r="K12916" s="11"/>
    </row>
    <row r="12917" spans="3:11">
      <c r="C12917" s="11"/>
      <c r="K12917" s="11"/>
    </row>
    <row r="12918" spans="3:11">
      <c r="C12918" s="11"/>
      <c r="K12918" s="11"/>
    </row>
    <row r="12919" spans="3:11">
      <c r="C12919" s="11"/>
      <c r="K12919" s="11"/>
    </row>
    <row r="12920" spans="3:11">
      <c r="C12920" s="11"/>
      <c r="K12920" s="11"/>
    </row>
    <row r="12921" spans="3:11">
      <c r="C12921" s="11"/>
      <c r="K12921" s="11"/>
    </row>
    <row r="12922" spans="3:11">
      <c r="C12922" s="11"/>
      <c r="K12922" s="11"/>
    </row>
    <row r="12923" spans="3:11">
      <c r="C12923" s="11"/>
      <c r="K12923" s="11"/>
    </row>
    <row r="12924" spans="3:11">
      <c r="C12924" s="11"/>
      <c r="K12924" s="11"/>
    </row>
    <row r="12925" spans="3:11">
      <c r="C12925" s="11"/>
      <c r="K12925" s="11"/>
    </row>
    <row r="12926" spans="3:11">
      <c r="C12926" s="11"/>
      <c r="K12926" s="11"/>
    </row>
    <row r="12927" spans="3:11">
      <c r="C12927" s="11"/>
      <c r="K12927" s="11"/>
    </row>
    <row r="12928" spans="3:11">
      <c r="C12928" s="11"/>
      <c r="K12928" s="11"/>
    </row>
    <row r="12929" spans="3:11">
      <c r="C12929" s="11"/>
      <c r="K12929" s="11"/>
    </row>
    <row r="12930" spans="3:11">
      <c r="C12930" s="11"/>
      <c r="K12930" s="11"/>
    </row>
    <row r="12931" spans="3:11">
      <c r="C12931" s="11"/>
      <c r="K12931" s="11"/>
    </row>
    <row r="12932" spans="3:11">
      <c r="C12932" s="11"/>
      <c r="K12932" s="11"/>
    </row>
    <row r="12933" spans="3:11">
      <c r="C12933" s="11"/>
      <c r="K12933" s="11"/>
    </row>
    <row r="12934" spans="3:11">
      <c r="C12934" s="11"/>
      <c r="K12934" s="11"/>
    </row>
    <row r="12935" spans="3:11">
      <c r="C12935" s="11"/>
      <c r="K12935" s="11"/>
    </row>
    <row r="12936" spans="3:11">
      <c r="C12936" s="11"/>
      <c r="K12936" s="11"/>
    </row>
    <row r="12937" spans="3:11">
      <c r="C12937" s="11"/>
      <c r="K12937" s="11"/>
    </row>
    <row r="12938" spans="3:11">
      <c r="C12938" s="11"/>
      <c r="K12938" s="11"/>
    </row>
    <row r="12939" spans="3:11">
      <c r="C12939" s="11"/>
      <c r="K12939" s="11"/>
    </row>
    <row r="12940" spans="3:11">
      <c r="C12940" s="11"/>
      <c r="K12940" s="11"/>
    </row>
    <row r="12941" spans="3:11">
      <c r="C12941" s="11"/>
      <c r="K12941" s="11"/>
    </row>
    <row r="12942" spans="3:11">
      <c r="C12942" s="11"/>
      <c r="K12942" s="11"/>
    </row>
    <row r="12943" spans="3:11">
      <c r="C12943" s="11"/>
      <c r="K12943" s="11"/>
    </row>
    <row r="12944" spans="3:11">
      <c r="C12944" s="11"/>
      <c r="K12944" s="11"/>
    </row>
    <row r="12945" spans="3:11">
      <c r="C12945" s="11"/>
      <c r="K12945" s="11"/>
    </row>
    <row r="12946" spans="3:11">
      <c r="C12946" s="11"/>
      <c r="K12946" s="11"/>
    </row>
    <row r="12947" spans="3:11">
      <c r="C12947" s="11"/>
      <c r="K12947" s="11"/>
    </row>
    <row r="12948" spans="3:11">
      <c r="C12948" s="11"/>
      <c r="K12948" s="11"/>
    </row>
    <row r="12949" spans="3:11">
      <c r="C12949" s="11"/>
      <c r="K12949" s="11"/>
    </row>
    <row r="12950" spans="3:11">
      <c r="C12950" s="11"/>
      <c r="K12950" s="11"/>
    </row>
    <row r="12951" spans="3:11">
      <c r="C12951" s="11"/>
      <c r="K12951" s="11"/>
    </row>
    <row r="12952" spans="3:11">
      <c r="C12952" s="11"/>
      <c r="K12952" s="11"/>
    </row>
    <row r="12953" spans="3:11">
      <c r="C12953" s="11"/>
      <c r="K12953" s="11"/>
    </row>
    <row r="12954" spans="3:11">
      <c r="C12954" s="11"/>
      <c r="K12954" s="11"/>
    </row>
    <row r="12955" spans="3:11">
      <c r="C12955" s="11"/>
      <c r="K12955" s="11"/>
    </row>
    <row r="12956" spans="3:11">
      <c r="C12956" s="11"/>
      <c r="K12956" s="11"/>
    </row>
    <row r="12957" spans="3:11">
      <c r="C12957" s="11"/>
      <c r="K12957" s="11"/>
    </row>
    <row r="12958" spans="3:11">
      <c r="C12958" s="11"/>
      <c r="K12958" s="11"/>
    </row>
    <row r="12959" spans="3:11">
      <c r="C12959" s="11"/>
      <c r="K12959" s="11"/>
    </row>
    <row r="12960" spans="3:11">
      <c r="C12960" s="11"/>
      <c r="K12960" s="11"/>
    </row>
    <row r="12961" spans="3:11">
      <c r="C12961" s="11"/>
      <c r="K12961" s="11"/>
    </row>
    <row r="12962" spans="3:11">
      <c r="C12962" s="11"/>
      <c r="K12962" s="11"/>
    </row>
    <row r="12963" spans="3:11">
      <c r="C12963" s="11"/>
      <c r="K12963" s="11"/>
    </row>
    <row r="12964" spans="3:11">
      <c r="C12964" s="11"/>
      <c r="K12964" s="11"/>
    </row>
    <row r="12965" spans="3:11">
      <c r="C12965" s="11"/>
      <c r="K12965" s="11"/>
    </row>
    <row r="12966" spans="3:11">
      <c r="C12966" s="11"/>
      <c r="K12966" s="11"/>
    </row>
    <row r="12967" spans="3:11">
      <c r="C12967" s="11"/>
      <c r="K12967" s="11"/>
    </row>
    <row r="12968" spans="3:11">
      <c r="C12968" s="11"/>
      <c r="K12968" s="11"/>
    </row>
    <row r="12969" spans="3:11">
      <c r="C12969" s="11"/>
      <c r="K12969" s="11"/>
    </row>
    <row r="12970" spans="3:11">
      <c r="C12970" s="11"/>
      <c r="K12970" s="11"/>
    </row>
    <row r="12971" spans="3:11">
      <c r="C12971" s="11"/>
      <c r="K12971" s="11"/>
    </row>
    <row r="12972" spans="3:11">
      <c r="C12972" s="11"/>
      <c r="K12972" s="11"/>
    </row>
    <row r="12973" spans="3:11">
      <c r="C12973" s="11"/>
      <c r="K12973" s="11"/>
    </row>
    <row r="12974" spans="3:11">
      <c r="C12974" s="11"/>
      <c r="K12974" s="11"/>
    </row>
    <row r="12975" spans="3:11">
      <c r="C12975" s="11"/>
      <c r="K12975" s="11"/>
    </row>
    <row r="12976" spans="3:11">
      <c r="C12976" s="11"/>
      <c r="K12976" s="11"/>
    </row>
    <row r="12977" spans="3:11">
      <c r="C12977" s="11"/>
      <c r="K12977" s="11"/>
    </row>
    <row r="12978" spans="3:11">
      <c r="C12978" s="11"/>
      <c r="K12978" s="11"/>
    </row>
    <row r="12979" spans="3:11">
      <c r="C12979" s="11"/>
      <c r="K12979" s="11"/>
    </row>
    <row r="12980" spans="3:11">
      <c r="C12980" s="11"/>
      <c r="K12980" s="11"/>
    </row>
    <row r="12981" spans="3:11">
      <c r="C12981" s="11"/>
      <c r="K12981" s="11"/>
    </row>
    <row r="12982" spans="3:11">
      <c r="C12982" s="11"/>
      <c r="K12982" s="11"/>
    </row>
    <row r="12983" spans="3:11">
      <c r="C12983" s="11"/>
      <c r="K12983" s="11"/>
    </row>
    <row r="12984" spans="3:11">
      <c r="C12984" s="11"/>
      <c r="K12984" s="11"/>
    </row>
    <row r="12985" spans="3:11">
      <c r="C12985" s="11"/>
      <c r="K12985" s="11"/>
    </row>
    <row r="12986" spans="3:11">
      <c r="C12986" s="11"/>
      <c r="K12986" s="11"/>
    </row>
    <row r="12987" spans="3:11">
      <c r="C12987" s="11"/>
      <c r="K12987" s="11"/>
    </row>
    <row r="12988" spans="3:11">
      <c r="C12988" s="11"/>
      <c r="K12988" s="11"/>
    </row>
    <row r="12989" spans="3:11">
      <c r="C12989" s="11"/>
      <c r="K12989" s="11"/>
    </row>
    <row r="12990" spans="3:11">
      <c r="C12990" s="11"/>
      <c r="K12990" s="11"/>
    </row>
    <row r="12991" spans="3:11">
      <c r="C12991" s="11"/>
      <c r="K12991" s="11"/>
    </row>
    <row r="12992" spans="3:11">
      <c r="C12992" s="11"/>
      <c r="K12992" s="11"/>
    </row>
    <row r="12993" spans="3:11">
      <c r="C12993" s="11"/>
      <c r="K12993" s="11"/>
    </row>
    <row r="12994" spans="3:11">
      <c r="C12994" s="11"/>
      <c r="K12994" s="11"/>
    </row>
    <row r="12995" spans="3:11">
      <c r="C12995" s="11"/>
      <c r="K12995" s="11"/>
    </row>
    <row r="12996" spans="3:11">
      <c r="C12996" s="11"/>
      <c r="K12996" s="11"/>
    </row>
    <row r="12997" spans="3:11">
      <c r="C12997" s="11"/>
      <c r="K12997" s="11"/>
    </row>
    <row r="12998" spans="3:11">
      <c r="C12998" s="11"/>
      <c r="K12998" s="11"/>
    </row>
    <row r="12999" spans="3:11">
      <c r="C12999" s="11"/>
      <c r="K12999" s="11"/>
    </row>
    <row r="13000" spans="3:11">
      <c r="C13000" s="11"/>
      <c r="K13000" s="11"/>
    </row>
    <row r="13001" spans="3:11">
      <c r="C13001" s="11"/>
      <c r="K13001" s="11"/>
    </row>
    <row r="13002" spans="3:11">
      <c r="C13002" s="11"/>
      <c r="K13002" s="11"/>
    </row>
    <row r="13003" spans="3:11">
      <c r="C13003" s="11"/>
      <c r="K13003" s="11"/>
    </row>
    <row r="13004" spans="3:11">
      <c r="C13004" s="11"/>
      <c r="K13004" s="11"/>
    </row>
    <row r="13005" spans="3:11">
      <c r="C13005" s="11"/>
      <c r="K13005" s="11"/>
    </row>
    <row r="13006" spans="3:11">
      <c r="C13006" s="11"/>
      <c r="K13006" s="11"/>
    </row>
    <row r="13007" spans="3:11">
      <c r="C13007" s="11"/>
      <c r="K13007" s="11"/>
    </row>
    <row r="13008" spans="3:11">
      <c r="C13008" s="11"/>
      <c r="K13008" s="11"/>
    </row>
    <row r="13009" spans="3:11">
      <c r="C13009" s="11"/>
      <c r="K13009" s="11"/>
    </row>
    <row r="13010" spans="3:11">
      <c r="C13010" s="11"/>
      <c r="K13010" s="11"/>
    </row>
    <row r="13011" spans="3:11">
      <c r="C13011" s="11"/>
      <c r="K13011" s="11"/>
    </row>
    <row r="13012" spans="3:11">
      <c r="C13012" s="11"/>
      <c r="K13012" s="11"/>
    </row>
    <row r="13013" spans="3:11">
      <c r="C13013" s="11"/>
      <c r="K13013" s="11"/>
    </row>
    <row r="13014" spans="3:11">
      <c r="C13014" s="11"/>
      <c r="K13014" s="11"/>
    </row>
    <row r="13015" spans="3:11">
      <c r="C13015" s="11"/>
      <c r="K13015" s="11"/>
    </row>
    <row r="13016" spans="3:11">
      <c r="C13016" s="11"/>
      <c r="K13016" s="11"/>
    </row>
    <row r="13017" spans="3:11">
      <c r="C13017" s="11"/>
      <c r="K13017" s="11"/>
    </row>
    <row r="13018" spans="3:11">
      <c r="C13018" s="11"/>
      <c r="K13018" s="11"/>
    </row>
    <row r="13019" spans="3:11">
      <c r="C13019" s="11"/>
      <c r="K13019" s="11"/>
    </row>
    <row r="13020" spans="3:11">
      <c r="C13020" s="11"/>
      <c r="K13020" s="11"/>
    </row>
    <row r="13021" spans="3:11">
      <c r="C13021" s="11"/>
      <c r="K13021" s="11"/>
    </row>
    <row r="13022" spans="3:11">
      <c r="C13022" s="11"/>
      <c r="K13022" s="11"/>
    </row>
    <row r="13023" spans="3:11">
      <c r="C13023" s="11"/>
      <c r="K13023" s="11"/>
    </row>
    <row r="13024" spans="3:11">
      <c r="C13024" s="11"/>
      <c r="K13024" s="11"/>
    </row>
    <row r="13025" spans="3:11">
      <c r="C13025" s="11"/>
      <c r="K13025" s="11"/>
    </row>
    <row r="13026" spans="3:11">
      <c r="C13026" s="11"/>
      <c r="K13026" s="11"/>
    </row>
    <row r="13027" spans="3:11">
      <c r="C13027" s="11"/>
      <c r="K13027" s="11"/>
    </row>
    <row r="13028" spans="3:11">
      <c r="C13028" s="11"/>
      <c r="K13028" s="11"/>
    </row>
    <row r="13029" spans="3:11">
      <c r="C13029" s="11"/>
      <c r="K13029" s="11"/>
    </row>
    <row r="13030" spans="3:11">
      <c r="C13030" s="11"/>
      <c r="K13030" s="11"/>
    </row>
    <row r="13031" spans="3:11">
      <c r="C13031" s="11"/>
      <c r="K13031" s="11"/>
    </row>
    <row r="13032" spans="3:11">
      <c r="C13032" s="11"/>
      <c r="K13032" s="11"/>
    </row>
    <row r="13033" spans="3:11">
      <c r="C13033" s="11"/>
      <c r="K13033" s="11"/>
    </row>
    <row r="13034" spans="3:11">
      <c r="C13034" s="11"/>
      <c r="K13034" s="11"/>
    </row>
    <row r="13035" spans="3:11">
      <c r="C13035" s="11"/>
      <c r="K13035" s="11"/>
    </row>
    <row r="13036" spans="3:11">
      <c r="C13036" s="11"/>
      <c r="K13036" s="11"/>
    </row>
    <row r="13037" spans="3:11">
      <c r="C13037" s="11"/>
      <c r="K13037" s="11"/>
    </row>
    <row r="13038" spans="3:11">
      <c r="C13038" s="11"/>
      <c r="K13038" s="11"/>
    </row>
    <row r="13039" spans="3:11">
      <c r="C13039" s="11"/>
      <c r="K13039" s="11"/>
    </row>
    <row r="13040" spans="3:11">
      <c r="C13040" s="11"/>
      <c r="K13040" s="11"/>
    </row>
    <row r="13041" spans="3:11">
      <c r="C13041" s="11"/>
      <c r="K13041" s="11"/>
    </row>
    <row r="13042" spans="3:11">
      <c r="C13042" s="11"/>
      <c r="K13042" s="11"/>
    </row>
    <row r="13043" spans="3:11">
      <c r="C13043" s="11"/>
      <c r="K13043" s="11"/>
    </row>
    <row r="13044" spans="3:11">
      <c r="C13044" s="11"/>
      <c r="K13044" s="11"/>
    </row>
    <row r="13045" spans="3:11">
      <c r="C13045" s="11"/>
      <c r="K13045" s="11"/>
    </row>
    <row r="13046" spans="3:11">
      <c r="C13046" s="11"/>
      <c r="K13046" s="11"/>
    </row>
    <row r="13047" spans="3:11">
      <c r="C13047" s="11"/>
      <c r="K13047" s="11"/>
    </row>
    <row r="13048" spans="3:11">
      <c r="C13048" s="11"/>
      <c r="K13048" s="11"/>
    </row>
    <row r="13049" spans="3:11">
      <c r="C13049" s="11"/>
      <c r="K13049" s="11"/>
    </row>
    <row r="13050" spans="3:11">
      <c r="C13050" s="11"/>
      <c r="K13050" s="11"/>
    </row>
    <row r="13051" spans="3:11">
      <c r="C13051" s="11"/>
      <c r="K13051" s="11"/>
    </row>
    <row r="13052" spans="3:11">
      <c r="C13052" s="11"/>
      <c r="K13052" s="11"/>
    </row>
    <row r="13053" spans="3:11">
      <c r="C13053" s="11"/>
      <c r="K13053" s="11"/>
    </row>
    <row r="13054" spans="3:11">
      <c r="C13054" s="11"/>
      <c r="K13054" s="11"/>
    </row>
    <row r="13055" spans="3:11">
      <c r="C13055" s="11"/>
      <c r="K13055" s="11"/>
    </row>
    <row r="13056" spans="3:11">
      <c r="C13056" s="11"/>
      <c r="K13056" s="11"/>
    </row>
    <row r="13057" spans="3:11">
      <c r="C13057" s="11"/>
      <c r="K13057" s="11"/>
    </row>
    <row r="13058" spans="3:11">
      <c r="C13058" s="11"/>
      <c r="K13058" s="11"/>
    </row>
    <row r="13059" spans="3:11">
      <c r="C13059" s="11"/>
      <c r="K13059" s="11"/>
    </row>
    <row r="13060" spans="3:11">
      <c r="C13060" s="11"/>
      <c r="K13060" s="11"/>
    </row>
    <row r="13061" spans="3:11">
      <c r="C13061" s="11"/>
      <c r="K13061" s="11"/>
    </row>
    <row r="13062" spans="3:11">
      <c r="C13062" s="11"/>
      <c r="K13062" s="11"/>
    </row>
    <row r="13063" spans="3:11">
      <c r="C13063" s="11"/>
      <c r="K13063" s="11"/>
    </row>
    <row r="13064" spans="3:11">
      <c r="C13064" s="11"/>
      <c r="K13064" s="11"/>
    </row>
    <row r="13065" spans="3:11">
      <c r="C13065" s="11"/>
      <c r="K13065" s="11"/>
    </row>
    <row r="13066" spans="3:11">
      <c r="C13066" s="11"/>
      <c r="K13066" s="11"/>
    </row>
    <row r="13067" spans="3:11">
      <c r="C13067" s="11"/>
      <c r="K13067" s="11"/>
    </row>
    <row r="13068" spans="3:11">
      <c r="C13068" s="11"/>
      <c r="K13068" s="11"/>
    </row>
    <row r="13069" spans="3:11">
      <c r="C13069" s="11"/>
      <c r="K13069" s="11"/>
    </row>
    <row r="13070" spans="3:11">
      <c r="C13070" s="11"/>
      <c r="K13070" s="11"/>
    </row>
    <row r="13071" spans="3:11">
      <c r="C13071" s="11"/>
      <c r="K13071" s="11"/>
    </row>
    <row r="13072" spans="3:11">
      <c r="C13072" s="11"/>
      <c r="K13072" s="11"/>
    </row>
    <row r="13073" spans="3:11">
      <c r="C13073" s="11"/>
      <c r="K13073" s="11"/>
    </row>
    <row r="13074" spans="3:11">
      <c r="C13074" s="11"/>
      <c r="K13074" s="11"/>
    </row>
    <row r="13075" spans="3:11">
      <c r="C13075" s="11"/>
      <c r="K13075" s="11"/>
    </row>
    <row r="13076" spans="3:11">
      <c r="C13076" s="11"/>
      <c r="K13076" s="11"/>
    </row>
    <row r="13077" spans="3:11">
      <c r="C13077" s="11"/>
      <c r="K13077" s="11"/>
    </row>
    <row r="13078" spans="3:11">
      <c r="C13078" s="11"/>
      <c r="K13078" s="11"/>
    </row>
    <row r="13079" spans="3:11">
      <c r="C13079" s="11"/>
      <c r="K13079" s="11"/>
    </row>
    <row r="13080" spans="3:11">
      <c r="C13080" s="11"/>
      <c r="K13080" s="11"/>
    </row>
    <row r="13081" spans="3:11">
      <c r="C13081" s="11"/>
      <c r="K13081" s="11"/>
    </row>
    <row r="13082" spans="3:11">
      <c r="C13082" s="11"/>
      <c r="K13082" s="11"/>
    </row>
    <row r="13083" spans="3:11">
      <c r="C13083" s="11"/>
      <c r="K13083" s="11"/>
    </row>
    <row r="13084" spans="3:11">
      <c r="C13084" s="11"/>
      <c r="K13084" s="11"/>
    </row>
    <row r="13085" spans="3:11">
      <c r="C13085" s="11"/>
      <c r="K13085" s="11"/>
    </row>
    <row r="13086" spans="3:11">
      <c r="C13086" s="11"/>
      <c r="K13086" s="11"/>
    </row>
    <row r="13087" spans="3:11">
      <c r="C13087" s="11"/>
      <c r="K13087" s="11"/>
    </row>
    <row r="13088" spans="3:11">
      <c r="C13088" s="11"/>
      <c r="K13088" s="11"/>
    </row>
    <row r="13089" spans="3:11">
      <c r="C13089" s="11"/>
      <c r="K13089" s="11"/>
    </row>
    <row r="13090" spans="3:11">
      <c r="C13090" s="11"/>
      <c r="K13090" s="11"/>
    </row>
    <row r="13091" spans="3:11">
      <c r="C13091" s="11"/>
      <c r="K13091" s="11"/>
    </row>
    <row r="13092" spans="3:11">
      <c r="C13092" s="11"/>
      <c r="K13092" s="11"/>
    </row>
    <row r="13093" spans="3:11">
      <c r="C13093" s="11"/>
      <c r="K13093" s="11"/>
    </row>
    <row r="13094" spans="3:11">
      <c r="C13094" s="11"/>
      <c r="K13094" s="11"/>
    </row>
    <row r="13095" spans="3:11">
      <c r="C13095" s="11"/>
      <c r="K13095" s="11"/>
    </row>
    <row r="13096" spans="3:11">
      <c r="C13096" s="11"/>
      <c r="K13096" s="11"/>
    </row>
    <row r="13097" spans="3:11">
      <c r="C13097" s="11"/>
      <c r="K13097" s="11"/>
    </row>
    <row r="13098" spans="3:11">
      <c r="C13098" s="11"/>
      <c r="K13098" s="11"/>
    </row>
    <row r="13099" spans="3:11">
      <c r="C13099" s="11"/>
      <c r="K13099" s="11"/>
    </row>
    <row r="13100" spans="3:11">
      <c r="C13100" s="11"/>
      <c r="K13100" s="11"/>
    </row>
    <row r="13101" spans="3:11">
      <c r="C13101" s="11"/>
      <c r="K13101" s="11"/>
    </row>
    <row r="13102" spans="3:11">
      <c r="C13102" s="11"/>
      <c r="K13102" s="11"/>
    </row>
    <row r="13103" spans="3:11">
      <c r="C13103" s="11"/>
      <c r="K13103" s="11"/>
    </row>
    <row r="13104" spans="3:11">
      <c r="C13104" s="11"/>
      <c r="K13104" s="11"/>
    </row>
    <row r="13105" spans="3:11">
      <c r="C13105" s="11"/>
      <c r="K13105" s="11"/>
    </row>
    <row r="13106" spans="3:11">
      <c r="C13106" s="11"/>
      <c r="K13106" s="11"/>
    </row>
    <row r="13107" spans="3:11">
      <c r="C13107" s="11"/>
      <c r="K13107" s="11"/>
    </row>
    <row r="13108" spans="3:11">
      <c r="C13108" s="11"/>
      <c r="K13108" s="11"/>
    </row>
    <row r="13109" spans="3:11">
      <c r="C13109" s="11"/>
      <c r="K13109" s="11"/>
    </row>
    <row r="13110" spans="3:11">
      <c r="C13110" s="11"/>
      <c r="K13110" s="11"/>
    </row>
    <row r="13111" spans="3:11">
      <c r="C13111" s="11"/>
      <c r="K13111" s="11"/>
    </row>
    <row r="13112" spans="3:11">
      <c r="C13112" s="11"/>
      <c r="K13112" s="11"/>
    </row>
    <row r="13113" spans="3:11">
      <c r="C13113" s="11"/>
      <c r="K13113" s="11"/>
    </row>
    <row r="13114" spans="3:11">
      <c r="C13114" s="11"/>
      <c r="K13114" s="11"/>
    </row>
    <row r="13115" spans="3:11">
      <c r="C13115" s="11"/>
      <c r="K13115" s="11"/>
    </row>
    <row r="13116" spans="3:11">
      <c r="C13116" s="11"/>
      <c r="K13116" s="11"/>
    </row>
    <row r="13117" spans="3:11">
      <c r="C13117" s="11"/>
      <c r="K13117" s="11"/>
    </row>
    <row r="13118" spans="3:11">
      <c r="C13118" s="11"/>
      <c r="K13118" s="11"/>
    </row>
    <row r="13119" spans="3:11">
      <c r="C13119" s="11"/>
      <c r="K13119" s="11"/>
    </row>
    <row r="13120" spans="3:11">
      <c r="C13120" s="11"/>
      <c r="K13120" s="11"/>
    </row>
    <row r="13121" spans="3:11">
      <c r="C13121" s="11"/>
      <c r="K13121" s="11"/>
    </row>
    <row r="13122" spans="3:11">
      <c r="C13122" s="11"/>
      <c r="K13122" s="11"/>
    </row>
    <row r="13123" spans="3:11">
      <c r="C13123" s="11"/>
      <c r="K13123" s="11"/>
    </row>
    <row r="13124" spans="3:11">
      <c r="C13124" s="11"/>
      <c r="K13124" s="11"/>
    </row>
    <row r="13125" spans="3:11">
      <c r="C13125" s="11"/>
      <c r="K13125" s="11"/>
    </row>
    <row r="13126" spans="3:11">
      <c r="C13126" s="11"/>
      <c r="K13126" s="11"/>
    </row>
    <row r="13127" spans="3:11">
      <c r="C13127" s="11"/>
      <c r="K13127" s="11"/>
    </row>
    <row r="13128" spans="3:11">
      <c r="C13128" s="11"/>
      <c r="K13128" s="11"/>
    </row>
    <row r="13129" spans="3:11">
      <c r="C13129" s="11"/>
      <c r="K13129" s="11"/>
    </row>
    <row r="13130" spans="3:11">
      <c r="C13130" s="11"/>
      <c r="K13130" s="11"/>
    </row>
    <row r="13131" spans="3:11">
      <c r="C13131" s="11"/>
      <c r="K13131" s="11"/>
    </row>
    <row r="13132" spans="3:11">
      <c r="C13132" s="11"/>
      <c r="K13132" s="11"/>
    </row>
    <row r="13133" spans="3:11">
      <c r="C13133" s="11"/>
      <c r="K13133" s="11"/>
    </row>
    <row r="13134" spans="3:11">
      <c r="C13134" s="11"/>
      <c r="K13134" s="11"/>
    </row>
    <row r="13135" spans="3:11">
      <c r="C13135" s="11"/>
      <c r="K13135" s="11"/>
    </row>
    <row r="13136" spans="3:11">
      <c r="C13136" s="11"/>
      <c r="K13136" s="11"/>
    </row>
    <row r="13137" spans="3:11">
      <c r="C13137" s="11"/>
      <c r="K13137" s="11"/>
    </row>
    <row r="13138" spans="3:11">
      <c r="C13138" s="11"/>
      <c r="K13138" s="11"/>
    </row>
    <row r="13139" spans="3:11">
      <c r="C13139" s="11"/>
      <c r="K13139" s="11"/>
    </row>
    <row r="13140" spans="3:11">
      <c r="C13140" s="11"/>
      <c r="K13140" s="11"/>
    </row>
    <row r="13141" spans="3:11">
      <c r="C13141" s="11"/>
      <c r="K13141" s="11"/>
    </row>
    <row r="13142" spans="3:11">
      <c r="C13142" s="11"/>
      <c r="K13142" s="11"/>
    </row>
    <row r="13143" spans="3:11">
      <c r="C13143" s="11"/>
      <c r="K13143" s="11"/>
    </row>
    <row r="13144" spans="3:11">
      <c r="C13144" s="11"/>
      <c r="K13144" s="11"/>
    </row>
    <row r="13145" spans="3:11">
      <c r="C13145" s="11"/>
      <c r="K13145" s="11"/>
    </row>
    <row r="13146" spans="3:11">
      <c r="C13146" s="11"/>
      <c r="K13146" s="11"/>
    </row>
    <row r="13147" spans="3:11">
      <c r="C13147" s="11"/>
      <c r="K13147" s="11"/>
    </row>
    <row r="13148" spans="3:11">
      <c r="C13148" s="11"/>
      <c r="K13148" s="11"/>
    </row>
    <row r="13149" spans="3:11">
      <c r="C13149" s="11"/>
      <c r="K13149" s="11"/>
    </row>
    <row r="13150" spans="3:11">
      <c r="C13150" s="11"/>
      <c r="K13150" s="11"/>
    </row>
    <row r="13151" spans="3:11">
      <c r="C13151" s="11"/>
      <c r="K13151" s="11"/>
    </row>
    <row r="13152" spans="3:11">
      <c r="C13152" s="11"/>
      <c r="K13152" s="11"/>
    </row>
    <row r="13153" spans="3:11">
      <c r="C13153" s="11"/>
      <c r="K13153" s="11"/>
    </row>
    <row r="13154" spans="3:11">
      <c r="C13154" s="11"/>
      <c r="K13154" s="11"/>
    </row>
    <row r="13155" spans="3:11">
      <c r="C13155" s="11"/>
      <c r="K13155" s="11"/>
    </row>
    <row r="13156" spans="3:11">
      <c r="C13156" s="11"/>
      <c r="K13156" s="11"/>
    </row>
    <row r="13157" spans="3:11">
      <c r="C13157" s="11"/>
      <c r="K13157" s="11"/>
    </row>
    <row r="13158" spans="3:11">
      <c r="C13158" s="11"/>
      <c r="K13158" s="11"/>
    </row>
    <row r="13159" spans="3:11">
      <c r="C13159" s="11"/>
      <c r="K13159" s="11"/>
    </row>
    <row r="13160" spans="3:11">
      <c r="C13160" s="11"/>
      <c r="K13160" s="11"/>
    </row>
    <row r="13161" spans="3:11">
      <c r="C13161" s="11"/>
      <c r="K13161" s="11"/>
    </row>
    <row r="13162" spans="3:11">
      <c r="C13162" s="11"/>
      <c r="K13162" s="11"/>
    </row>
    <row r="13163" spans="3:11">
      <c r="C13163" s="11"/>
      <c r="K13163" s="11"/>
    </row>
    <row r="13164" spans="3:11">
      <c r="C13164" s="11"/>
      <c r="K13164" s="11"/>
    </row>
    <row r="13165" spans="3:11">
      <c r="C13165" s="11"/>
      <c r="K13165" s="11"/>
    </row>
    <row r="13166" spans="3:11">
      <c r="C13166" s="11"/>
      <c r="K13166" s="11"/>
    </row>
    <row r="13167" spans="3:11">
      <c r="C13167" s="11"/>
      <c r="K13167" s="11"/>
    </row>
    <row r="13168" spans="3:11">
      <c r="C13168" s="11"/>
      <c r="K13168" s="11"/>
    </row>
    <row r="13169" spans="3:11">
      <c r="C13169" s="11"/>
      <c r="K13169" s="11"/>
    </row>
    <row r="13170" spans="3:11">
      <c r="C13170" s="11"/>
      <c r="K13170" s="11"/>
    </row>
    <row r="13171" spans="3:11">
      <c r="C13171" s="11"/>
      <c r="K13171" s="11"/>
    </row>
    <row r="13172" spans="3:11">
      <c r="C13172" s="11"/>
      <c r="K13172" s="11"/>
    </row>
    <row r="13173" spans="3:11">
      <c r="C13173" s="11"/>
      <c r="K13173" s="11"/>
    </row>
    <row r="13174" spans="3:11">
      <c r="C13174" s="11"/>
      <c r="K13174" s="11"/>
    </row>
    <row r="13175" spans="3:11">
      <c r="C13175" s="11"/>
      <c r="K13175" s="11"/>
    </row>
    <row r="13176" spans="3:11">
      <c r="C13176" s="11"/>
      <c r="K13176" s="11"/>
    </row>
    <row r="13177" spans="3:11">
      <c r="C13177" s="11"/>
      <c r="K13177" s="11"/>
    </row>
    <row r="13178" spans="3:11">
      <c r="C13178" s="11"/>
      <c r="K13178" s="11"/>
    </row>
    <row r="13179" spans="3:11">
      <c r="C13179" s="11"/>
      <c r="K13179" s="11"/>
    </row>
    <row r="13180" spans="3:11">
      <c r="C13180" s="11"/>
      <c r="K13180" s="11"/>
    </row>
    <row r="13181" spans="3:11">
      <c r="C13181" s="11"/>
      <c r="K13181" s="11"/>
    </row>
    <row r="13182" spans="3:11">
      <c r="C13182" s="11"/>
      <c r="K13182" s="11"/>
    </row>
    <row r="13183" spans="3:11">
      <c r="C13183" s="11"/>
      <c r="K13183" s="11"/>
    </row>
    <row r="13184" spans="3:11">
      <c r="C13184" s="11"/>
      <c r="K13184" s="11"/>
    </row>
    <row r="13185" spans="3:11">
      <c r="C13185" s="11"/>
      <c r="K13185" s="11"/>
    </row>
    <row r="13186" spans="3:11">
      <c r="C13186" s="11"/>
      <c r="K13186" s="11"/>
    </row>
    <row r="13187" spans="3:11">
      <c r="C13187" s="11"/>
      <c r="K13187" s="11"/>
    </row>
    <row r="13188" spans="3:11">
      <c r="C13188" s="11"/>
      <c r="K13188" s="11"/>
    </row>
    <row r="13189" spans="3:11">
      <c r="C13189" s="11"/>
      <c r="K13189" s="11"/>
    </row>
    <row r="13190" spans="3:11">
      <c r="C13190" s="11"/>
      <c r="K13190" s="11"/>
    </row>
    <row r="13191" spans="3:11">
      <c r="C13191" s="11"/>
      <c r="K13191" s="11"/>
    </row>
    <row r="13192" spans="3:11">
      <c r="C13192" s="11"/>
      <c r="K13192" s="11"/>
    </row>
    <row r="13193" spans="3:11">
      <c r="C13193" s="11"/>
      <c r="K13193" s="11"/>
    </row>
    <row r="13194" spans="3:11">
      <c r="C13194" s="11"/>
      <c r="K13194" s="11"/>
    </row>
    <row r="13195" spans="3:11">
      <c r="C13195" s="11"/>
      <c r="K13195" s="11"/>
    </row>
    <row r="13196" spans="3:11">
      <c r="C13196" s="11"/>
      <c r="K13196" s="11"/>
    </row>
    <row r="13197" spans="3:11">
      <c r="C13197" s="11"/>
      <c r="K13197" s="11"/>
    </row>
    <row r="13198" spans="3:11">
      <c r="C13198" s="11"/>
      <c r="K13198" s="11"/>
    </row>
    <row r="13199" spans="3:11">
      <c r="C13199" s="11"/>
      <c r="K13199" s="11"/>
    </row>
    <row r="13200" spans="3:11">
      <c r="C13200" s="11"/>
      <c r="K13200" s="11"/>
    </row>
    <row r="13201" spans="3:11">
      <c r="C13201" s="11"/>
      <c r="K13201" s="11"/>
    </row>
    <row r="13202" spans="3:11">
      <c r="C13202" s="11"/>
      <c r="K13202" s="11"/>
    </row>
    <row r="13203" spans="3:11">
      <c r="C13203" s="11"/>
      <c r="K13203" s="11"/>
    </row>
    <row r="13204" spans="3:11">
      <c r="C13204" s="11"/>
      <c r="K13204" s="11"/>
    </row>
    <row r="13205" spans="3:11">
      <c r="C13205" s="11"/>
      <c r="K13205" s="11"/>
    </row>
    <row r="13206" spans="3:11">
      <c r="C13206" s="11"/>
      <c r="K13206" s="11"/>
    </row>
    <row r="13207" spans="3:11">
      <c r="C13207" s="11"/>
      <c r="K13207" s="11"/>
    </row>
    <row r="13208" spans="3:11">
      <c r="C13208" s="11"/>
      <c r="K13208" s="11"/>
    </row>
    <row r="13209" spans="3:11">
      <c r="C13209" s="11"/>
      <c r="K13209" s="11"/>
    </row>
    <row r="13210" spans="3:11">
      <c r="C13210" s="11"/>
      <c r="K13210" s="11"/>
    </row>
    <row r="13211" spans="3:11">
      <c r="C13211" s="11"/>
      <c r="K13211" s="11"/>
    </row>
    <row r="13212" spans="3:11">
      <c r="C13212" s="11"/>
      <c r="K13212" s="11"/>
    </row>
    <row r="13213" spans="3:11">
      <c r="C13213" s="11"/>
      <c r="K13213" s="11"/>
    </row>
    <row r="13214" spans="3:11">
      <c r="C13214" s="11"/>
      <c r="K13214" s="11"/>
    </row>
    <row r="13215" spans="3:11">
      <c r="C13215" s="11"/>
      <c r="K13215" s="11"/>
    </row>
    <row r="13216" spans="3:11">
      <c r="C13216" s="11"/>
      <c r="K13216" s="11"/>
    </row>
    <row r="13217" spans="3:11">
      <c r="C13217" s="11"/>
      <c r="K13217" s="11"/>
    </row>
    <row r="13218" spans="3:11">
      <c r="C13218" s="11"/>
      <c r="K13218" s="11"/>
    </row>
    <row r="13219" spans="3:11">
      <c r="C13219" s="11"/>
      <c r="K13219" s="11"/>
    </row>
    <row r="13220" spans="3:11">
      <c r="C13220" s="11"/>
      <c r="K13220" s="11"/>
    </row>
    <row r="13221" spans="3:11">
      <c r="C13221" s="11"/>
      <c r="K13221" s="11"/>
    </row>
    <row r="13222" spans="3:11">
      <c r="C13222" s="11"/>
      <c r="K13222" s="11"/>
    </row>
    <row r="13223" spans="3:11">
      <c r="C13223" s="11"/>
      <c r="K13223" s="11"/>
    </row>
    <row r="13224" spans="3:11">
      <c r="C13224" s="11"/>
      <c r="K13224" s="11"/>
    </row>
    <row r="13225" spans="3:11">
      <c r="C13225" s="11"/>
      <c r="K13225" s="11"/>
    </row>
    <row r="13226" spans="3:11">
      <c r="C13226" s="11"/>
      <c r="K13226" s="11"/>
    </row>
    <row r="13227" spans="3:11">
      <c r="C13227" s="11"/>
      <c r="K13227" s="11"/>
    </row>
    <row r="13228" spans="3:11">
      <c r="C13228" s="11"/>
      <c r="K13228" s="11"/>
    </row>
    <row r="13229" spans="3:11">
      <c r="C13229" s="11"/>
      <c r="K13229" s="11"/>
    </row>
    <row r="13230" spans="3:11">
      <c r="C13230" s="11"/>
      <c r="K13230" s="11"/>
    </row>
    <row r="13231" spans="3:11">
      <c r="C13231" s="11"/>
      <c r="K13231" s="11"/>
    </row>
    <row r="13232" spans="3:11">
      <c r="C13232" s="11"/>
      <c r="K13232" s="11"/>
    </row>
    <row r="13233" spans="3:11">
      <c r="C13233" s="11"/>
      <c r="K13233" s="11"/>
    </row>
    <row r="13234" spans="3:11">
      <c r="C13234" s="11"/>
      <c r="K13234" s="11"/>
    </row>
    <row r="13235" spans="3:11">
      <c r="C13235" s="11"/>
      <c r="K13235" s="11"/>
    </row>
    <row r="13236" spans="3:11">
      <c r="C13236" s="11"/>
      <c r="K13236" s="11"/>
    </row>
    <row r="13237" spans="3:11">
      <c r="C13237" s="11"/>
      <c r="K13237" s="11"/>
    </row>
    <row r="13238" spans="3:11">
      <c r="C13238" s="11"/>
      <c r="K13238" s="11"/>
    </row>
    <row r="13239" spans="3:11">
      <c r="C13239" s="11"/>
      <c r="K13239" s="11"/>
    </row>
    <row r="13240" spans="3:11">
      <c r="C13240" s="11"/>
      <c r="K13240" s="11"/>
    </row>
    <row r="13241" spans="3:11">
      <c r="C13241" s="11"/>
      <c r="K13241" s="11"/>
    </row>
    <row r="13242" spans="3:11">
      <c r="C13242" s="11"/>
      <c r="K13242" s="11"/>
    </row>
    <row r="13243" spans="3:11">
      <c r="C13243" s="11"/>
      <c r="K13243" s="11"/>
    </row>
    <row r="13244" spans="3:11">
      <c r="C13244" s="11"/>
      <c r="K13244" s="11"/>
    </row>
    <row r="13245" spans="3:11">
      <c r="C13245" s="11"/>
      <c r="K13245" s="11"/>
    </row>
    <row r="13246" spans="3:11">
      <c r="C13246" s="11"/>
      <c r="K13246" s="11"/>
    </row>
    <row r="13247" spans="3:11">
      <c r="C13247" s="11"/>
      <c r="K13247" s="11"/>
    </row>
    <row r="13248" spans="3:11">
      <c r="C13248" s="11"/>
      <c r="K13248" s="11"/>
    </row>
    <row r="13249" spans="3:11">
      <c r="C13249" s="11"/>
      <c r="K13249" s="11"/>
    </row>
    <row r="13250" spans="3:11">
      <c r="C13250" s="11"/>
      <c r="K13250" s="11"/>
    </row>
    <row r="13251" spans="3:11">
      <c r="C13251" s="11"/>
      <c r="K13251" s="11"/>
    </row>
    <row r="13252" spans="3:11">
      <c r="C13252" s="11"/>
      <c r="K13252" s="11"/>
    </row>
    <row r="13253" spans="3:11">
      <c r="C13253" s="11"/>
      <c r="K13253" s="11"/>
    </row>
    <row r="13254" spans="3:11">
      <c r="C13254" s="11"/>
      <c r="K13254" s="11"/>
    </row>
    <row r="13255" spans="3:11">
      <c r="C13255" s="11"/>
      <c r="K13255" s="11"/>
    </row>
    <row r="13256" spans="3:11">
      <c r="C13256" s="11"/>
      <c r="K13256" s="11"/>
    </row>
    <row r="13257" spans="3:11">
      <c r="C13257" s="11"/>
      <c r="K13257" s="11"/>
    </row>
    <row r="13258" spans="3:11">
      <c r="C13258" s="11"/>
      <c r="K13258" s="11"/>
    </row>
    <row r="13259" spans="3:11">
      <c r="C13259" s="11"/>
      <c r="K13259" s="11"/>
    </row>
    <row r="13260" spans="3:11">
      <c r="C13260" s="11"/>
      <c r="K13260" s="11"/>
    </row>
    <row r="13261" spans="3:11">
      <c r="C13261" s="11"/>
      <c r="K13261" s="11"/>
    </row>
    <row r="13262" spans="3:11">
      <c r="C13262" s="11"/>
      <c r="K13262" s="11"/>
    </row>
    <row r="13263" spans="3:11">
      <c r="C13263" s="11"/>
      <c r="K13263" s="11"/>
    </row>
    <row r="13264" spans="3:11">
      <c r="C13264" s="11"/>
      <c r="K13264" s="11"/>
    </row>
    <row r="13265" spans="3:11">
      <c r="C13265" s="11"/>
      <c r="K13265" s="11"/>
    </row>
    <row r="13266" spans="3:11">
      <c r="C13266" s="11"/>
      <c r="K13266" s="11"/>
    </row>
    <row r="13267" spans="3:11">
      <c r="C13267" s="11"/>
      <c r="K13267" s="11"/>
    </row>
    <row r="13268" spans="3:11">
      <c r="C13268" s="11"/>
      <c r="K13268" s="11"/>
    </row>
    <row r="13269" spans="3:11">
      <c r="C13269" s="11"/>
      <c r="K13269" s="11"/>
    </row>
    <row r="13270" spans="3:11">
      <c r="C13270" s="11"/>
      <c r="K13270" s="11"/>
    </row>
    <row r="13271" spans="3:11">
      <c r="C13271" s="11"/>
      <c r="K13271" s="11"/>
    </row>
    <row r="13272" spans="3:11">
      <c r="C13272" s="11"/>
      <c r="K13272" s="11"/>
    </row>
    <row r="13273" spans="3:11">
      <c r="C13273" s="11"/>
      <c r="K13273" s="11"/>
    </row>
    <row r="13274" spans="3:11">
      <c r="C13274" s="11"/>
      <c r="K13274" s="11"/>
    </row>
    <row r="13275" spans="3:11">
      <c r="C13275" s="11"/>
      <c r="K13275" s="11"/>
    </row>
    <row r="13276" spans="3:11">
      <c r="C13276" s="11"/>
      <c r="K13276" s="11"/>
    </row>
    <row r="13277" spans="3:11">
      <c r="C13277" s="11"/>
      <c r="K13277" s="11"/>
    </row>
    <row r="13278" spans="3:11">
      <c r="C13278" s="11"/>
      <c r="K13278" s="11"/>
    </row>
    <row r="13279" spans="3:11">
      <c r="C13279" s="11"/>
      <c r="K13279" s="11"/>
    </row>
    <row r="13280" spans="3:11">
      <c r="C13280" s="11"/>
      <c r="K13280" s="11"/>
    </row>
    <row r="13281" spans="3:11">
      <c r="C13281" s="11"/>
      <c r="K13281" s="11"/>
    </row>
    <row r="13282" spans="3:11">
      <c r="C13282" s="11"/>
      <c r="K13282" s="11"/>
    </row>
    <row r="13283" spans="3:11">
      <c r="C13283" s="11"/>
      <c r="K13283" s="11"/>
    </row>
    <row r="13284" spans="3:11">
      <c r="C13284" s="11"/>
      <c r="K13284" s="11"/>
    </row>
    <row r="13285" spans="3:11">
      <c r="C13285" s="11"/>
      <c r="K13285" s="11"/>
    </row>
    <row r="13286" spans="3:11">
      <c r="C13286" s="11"/>
      <c r="K13286" s="11"/>
    </row>
    <row r="13287" spans="3:11">
      <c r="C13287" s="11"/>
      <c r="K13287" s="11"/>
    </row>
    <row r="13288" spans="3:11">
      <c r="C13288" s="11"/>
      <c r="K13288" s="11"/>
    </row>
    <row r="13289" spans="3:11">
      <c r="C13289" s="11"/>
      <c r="K13289" s="11"/>
    </row>
    <row r="13290" spans="3:11">
      <c r="C13290" s="11"/>
      <c r="K13290" s="11"/>
    </row>
    <row r="13291" spans="3:11">
      <c r="C13291" s="11"/>
      <c r="K13291" s="11"/>
    </row>
    <row r="13292" spans="3:11">
      <c r="C13292" s="11"/>
      <c r="K13292" s="11"/>
    </row>
    <row r="13293" spans="3:11">
      <c r="C13293" s="11"/>
      <c r="K13293" s="11"/>
    </row>
    <row r="13294" spans="3:11">
      <c r="C13294" s="11"/>
      <c r="K13294" s="11"/>
    </row>
    <row r="13295" spans="3:11">
      <c r="C13295" s="11"/>
      <c r="K13295" s="11"/>
    </row>
    <row r="13296" spans="3:11">
      <c r="C13296" s="11"/>
      <c r="K13296" s="11"/>
    </row>
    <row r="13297" spans="3:11">
      <c r="C13297" s="11"/>
      <c r="K13297" s="11"/>
    </row>
    <row r="13298" spans="3:11">
      <c r="C13298" s="11"/>
      <c r="K13298" s="11"/>
    </row>
    <row r="13299" spans="3:11">
      <c r="C13299" s="11"/>
      <c r="K13299" s="11"/>
    </row>
    <row r="13300" spans="3:11">
      <c r="C13300" s="11"/>
      <c r="K13300" s="11"/>
    </row>
    <row r="13301" spans="3:11">
      <c r="C13301" s="11"/>
      <c r="K13301" s="11"/>
    </row>
    <row r="13302" spans="3:11">
      <c r="C13302" s="11"/>
      <c r="K13302" s="11"/>
    </row>
    <row r="13303" spans="3:11">
      <c r="C13303" s="11"/>
      <c r="K13303" s="11"/>
    </row>
    <row r="13304" spans="3:11">
      <c r="C13304" s="11"/>
      <c r="K13304" s="11"/>
    </row>
    <row r="13305" spans="3:11">
      <c r="C13305" s="11"/>
      <c r="K13305" s="11"/>
    </row>
    <row r="13306" spans="3:11">
      <c r="C13306" s="11"/>
      <c r="K13306" s="11"/>
    </row>
    <row r="13307" spans="3:11">
      <c r="C13307" s="11"/>
      <c r="K13307" s="11"/>
    </row>
    <row r="13308" spans="3:11">
      <c r="C13308" s="11"/>
      <c r="K13308" s="11"/>
    </row>
    <row r="13309" spans="3:11">
      <c r="C13309" s="11"/>
      <c r="K13309" s="11"/>
    </row>
    <row r="13310" spans="3:11">
      <c r="C13310" s="11"/>
      <c r="K13310" s="11"/>
    </row>
    <row r="13311" spans="3:11">
      <c r="C13311" s="11"/>
      <c r="K13311" s="11"/>
    </row>
    <row r="13312" spans="3:11">
      <c r="C13312" s="11"/>
      <c r="K13312" s="11"/>
    </row>
    <row r="13313" spans="3:11">
      <c r="C13313" s="11"/>
      <c r="K13313" s="11"/>
    </row>
    <row r="13314" spans="3:11">
      <c r="C13314" s="11"/>
      <c r="K13314" s="11"/>
    </row>
    <row r="13315" spans="3:11">
      <c r="C13315" s="11"/>
      <c r="K13315" s="11"/>
    </row>
    <row r="13316" spans="3:11">
      <c r="C13316" s="11"/>
      <c r="K13316" s="11"/>
    </row>
    <row r="13317" spans="3:11">
      <c r="C13317" s="11"/>
      <c r="K13317" s="11"/>
    </row>
    <row r="13318" spans="3:11">
      <c r="C13318" s="11"/>
      <c r="K13318" s="11"/>
    </row>
    <row r="13319" spans="3:11">
      <c r="C13319" s="11"/>
      <c r="K13319" s="11"/>
    </row>
    <row r="13320" spans="3:11">
      <c r="C13320" s="11"/>
      <c r="K13320" s="11"/>
    </row>
    <row r="13321" spans="3:11">
      <c r="C13321" s="11"/>
      <c r="K13321" s="11"/>
    </row>
    <row r="13322" spans="3:11">
      <c r="C13322" s="11"/>
      <c r="K13322" s="11"/>
    </row>
    <row r="13323" spans="3:11">
      <c r="C13323" s="11"/>
      <c r="K13323" s="11"/>
    </row>
    <row r="13324" spans="3:11">
      <c r="C13324" s="11"/>
      <c r="K13324" s="11"/>
    </row>
    <row r="13325" spans="3:11">
      <c r="C13325" s="11"/>
      <c r="K13325" s="11"/>
    </row>
    <row r="13326" spans="3:11">
      <c r="C13326" s="11"/>
      <c r="K13326" s="11"/>
    </row>
    <row r="13327" spans="3:11">
      <c r="C13327" s="11"/>
      <c r="K13327" s="11"/>
    </row>
    <row r="13328" spans="3:11">
      <c r="C13328" s="11"/>
      <c r="K13328" s="11"/>
    </row>
  </sheetData>
  <conditionalFormatting sqref="R1">
    <cfRule type="iconSet" priority="2">
      <iconSet iconSet="3TrafficLights1">
        <cfvo type="percent" val="0"/>
        <cfvo type="percent" val="33"/>
        <cfvo type="percent" val="67"/>
      </iconSet>
    </cfRule>
  </conditionalFormatting>
  <conditionalFormatting sqref="R2">
    <cfRule type="iconSet" priority="1">
      <iconSet iconSet="3TrafficLights1">
        <cfvo type="percent" val="0"/>
        <cfvo type="percent" val="33"/>
        <cfvo type="percent" val="67"/>
      </iconSet>
    </cfRule>
  </conditionalFormatting>
  <conditionalFormatting sqref="F2:F1001">
    <cfRule type="iconSet" priority="3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H2:H1001">
    <cfRule type="iconSet" priority="7">
      <iconSet iconSet="3Signs">
        <cfvo type="percent" val="0"/>
        <cfvo type="percent" val="33"/>
        <cfvo type="percent" val="67"/>
      </iconSet>
    </cfRule>
  </conditionalFormatting>
  <conditionalFormatting sqref="H234:H1001">
    <cfRule type="iconSet" priority="9">
      <iconSet iconSet="3Symbols">
        <cfvo type="percent" val="0"/>
        <cfvo type="percent" val="33"/>
        <cfvo type="percent" val="67"/>
      </iconSet>
    </cfRule>
  </conditionalFormatting>
  <conditionalFormatting sqref="L2:L1001">
    <cfRule type="containsText" dxfId="33" priority="13" operator="between" text="Regular">
      <formula>NOT(ISERROR(SEARCH("Regular",L2)))</formula>
    </cfRule>
    <cfRule type="containsText" dxfId="34" priority="12" operator="between" text="New">
      <formula>NOT(ISERROR(SEARCH("New",L2)))</formula>
    </cfRule>
    <cfRule type="containsText" dxfId="35" priority="10" operator="between" text="VIP">
      <formula>NOT(ISERROR(SEARCH("VIP",L2)))</formula>
    </cfRule>
  </conditionalFormatting>
  <conditionalFormatting sqref="L252:L1001">
    <cfRule type="containsText" dxfId="35" priority="11" operator="between" text="VIP">
      <formula>NOT(ISERROR(SEARCH("VIP",L252)))</formula>
    </cfRule>
  </conditionalFormatting>
  <conditionalFormatting sqref="F1 F1002:F1048576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{0eb88ea2-c576-4182-9a23-40600aad6fbe}</x14:id>
        </ext>
      </extLst>
    </cfRule>
  </conditionalFormatting>
  <pageMargins left="0.75" right="0.75" top="1" bottom="1" header="0.5" footer="0.5"/>
  <headerFooter/>
  <ignoredErrors>
    <ignoredError sqref="A1:S13328" calculatedColumn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60155575-51b9-4747-a4f0-912d275933b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F2:F1001</xm:sqref>
        </x14:conditionalFormatting>
        <x14:conditionalFormatting xmlns:xm="http://schemas.microsoft.com/office/excel/2006/main">
          <x14:cfRule type="dataBar" id="{0eb88ea2-c576-4182-9a23-40600aad6fb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 F1002:F1048576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zoomScale="70" zoomScaleNormal="70" topLeftCell="B1" workbookViewId="0">
      <selection activeCell="O28" sqref="O28"/>
    </sheetView>
  </sheetViews>
  <sheetFormatPr defaultColWidth="9.14285714285714" defaultRowHeight="15"/>
  <cols>
    <col min="1" max="1" width="12.1428571428571"/>
    <col min="2" max="2" width="21.2857142857143"/>
    <col min="3" max="4" width="14.2857142857143"/>
    <col min="5" max="5" width="20.4285714285714"/>
    <col min="6" max="6" width="21.2857142857143" customWidth="1"/>
    <col min="7" max="8" width="14.2857142857143"/>
    <col min="9" max="9" width="20.4285714285714"/>
    <col min="10" max="10" width="18.7142857142857"/>
    <col min="11" max="12" width="21"/>
    <col min="13" max="13" width="11.8571428571429"/>
    <col min="14" max="955" width="14.2857142857143"/>
    <col min="956" max="957" width="11.8571428571429"/>
  </cols>
  <sheetData>
    <row r="1" ht="15.75"/>
    <row r="2" ht="19.5" spans="1:10">
      <c r="A2" s="3" t="s">
        <v>68</v>
      </c>
      <c r="B2" s="4"/>
      <c r="E2" s="3" t="s">
        <v>69</v>
      </c>
      <c r="F2" s="4"/>
      <c r="I2" s="3" t="s">
        <v>17</v>
      </c>
      <c r="J2" s="4"/>
    </row>
    <row r="3" spans="1:10">
      <c r="A3" s="5" t="s">
        <v>9</v>
      </c>
      <c r="B3" s="5" t="s">
        <v>70</v>
      </c>
      <c r="E3" s="5" t="s">
        <v>13</v>
      </c>
      <c r="F3" s="5" t="s">
        <v>70</v>
      </c>
      <c r="I3" s="5" t="s">
        <v>17</v>
      </c>
      <c r="J3" s="5" t="s">
        <v>70</v>
      </c>
    </row>
    <row r="4" spans="1:10">
      <c r="A4" s="2" t="s">
        <v>55</v>
      </c>
      <c r="B4" s="2">
        <v>54</v>
      </c>
      <c r="E4" s="2" t="s">
        <v>25</v>
      </c>
      <c r="F4" s="2">
        <v>379</v>
      </c>
      <c r="I4" s="2" t="s">
        <v>26</v>
      </c>
      <c r="J4" s="2">
        <v>585</v>
      </c>
    </row>
    <row r="5" spans="1:10">
      <c r="A5" s="2" t="s">
        <v>43</v>
      </c>
      <c r="B5" s="2">
        <v>108</v>
      </c>
      <c r="E5" s="2" t="s">
        <v>34</v>
      </c>
      <c r="F5" s="2">
        <v>370</v>
      </c>
      <c r="I5" s="2" t="s">
        <v>30</v>
      </c>
      <c r="J5" s="2">
        <v>415</v>
      </c>
    </row>
    <row r="6" spans="1:10">
      <c r="A6" s="2" t="s">
        <v>38</v>
      </c>
      <c r="B6" s="2">
        <v>101</v>
      </c>
      <c r="E6" s="2" t="s">
        <v>63</v>
      </c>
      <c r="F6" s="2">
        <v>31</v>
      </c>
      <c r="I6" s="2" t="s">
        <v>71</v>
      </c>
      <c r="J6" s="2">
        <v>1000</v>
      </c>
    </row>
    <row r="7" spans="1:10">
      <c r="A7" s="2" t="s">
        <v>28</v>
      </c>
      <c r="B7" s="2">
        <v>57</v>
      </c>
      <c r="E7" s="2" t="s">
        <v>37</v>
      </c>
      <c r="F7" s="2">
        <v>67</v>
      </c>
    </row>
    <row r="8" ht="15.75" spans="1:10">
      <c r="A8" s="2" t="s">
        <v>45</v>
      </c>
      <c r="B8" s="2">
        <v>125</v>
      </c>
      <c r="E8" s="2" t="s">
        <v>54</v>
      </c>
      <c r="F8" s="2">
        <v>87</v>
      </c>
    </row>
    <row r="9" ht="19.5" spans="1:10">
      <c r="A9" s="2" t="s">
        <v>22</v>
      </c>
      <c r="B9" s="2">
        <v>47</v>
      </c>
      <c r="E9" s="2" t="s">
        <v>59</v>
      </c>
      <c r="F9" s="2">
        <v>66</v>
      </c>
      <c r="I9" s="3" t="s">
        <v>11</v>
      </c>
      <c r="J9" s="4"/>
    </row>
    <row r="10" spans="1:10">
      <c r="A10" s="2" t="s">
        <v>52</v>
      </c>
      <c r="B10" s="2">
        <v>61</v>
      </c>
      <c r="E10" s="2" t="s">
        <v>72</v>
      </c>
      <c r="F10" s="2"/>
      <c r="I10" s="5" t="s">
        <v>11</v>
      </c>
      <c r="J10" s="5" t="s">
        <v>70</v>
      </c>
    </row>
    <row r="11" spans="1:10">
      <c r="A11" s="2" t="s">
        <v>35</v>
      </c>
      <c r="B11" s="2">
        <v>78</v>
      </c>
      <c r="E11" s="2" t="s">
        <v>71</v>
      </c>
      <c r="F11" s="2">
        <v>1000</v>
      </c>
      <c r="I11" s="2" t="s">
        <v>41</v>
      </c>
      <c r="J11" s="6">
        <v>379</v>
      </c>
    </row>
    <row r="12" spans="1:10">
      <c r="A12" s="2" t="s">
        <v>48</v>
      </c>
      <c r="B12" s="2">
        <v>96</v>
      </c>
      <c r="I12" s="2" t="s">
        <v>23</v>
      </c>
      <c r="J12" s="6">
        <v>529</v>
      </c>
    </row>
    <row r="13" spans="1:10">
      <c r="A13" s="2" t="s">
        <v>32</v>
      </c>
      <c r="B13" s="2">
        <v>273</v>
      </c>
      <c r="I13" s="2" t="s">
        <v>49</v>
      </c>
      <c r="J13" s="6">
        <v>92</v>
      </c>
    </row>
    <row r="14" spans="1:10">
      <c r="A14" s="2" t="s">
        <v>72</v>
      </c>
      <c r="B14" s="2"/>
      <c r="I14" s="2" t="s">
        <v>71</v>
      </c>
      <c r="J14" s="6">
        <v>1000</v>
      </c>
    </row>
    <row r="15" spans="1:10">
      <c r="A15" s="2" t="s">
        <v>71</v>
      </c>
      <c r="B15" s="2">
        <v>1000</v>
      </c>
    </row>
    <row r="16" ht="15.75"/>
    <row r="17" ht="19.5" spans="9:10">
      <c r="I17" s="3" t="s">
        <v>73</v>
      </c>
      <c r="J17" s="4"/>
    </row>
    <row r="18" spans="9:10">
      <c r="I18" s="2" t="s">
        <v>13</v>
      </c>
      <c r="J18" s="5" t="s">
        <v>74</v>
      </c>
    </row>
    <row r="19" spans="9:10">
      <c r="I19" s="2"/>
      <c r="J19" s="2"/>
    </row>
    <row r="20" spans="9:10">
      <c r="I20" s="2" t="s">
        <v>73</v>
      </c>
      <c r="J20" s="2"/>
    </row>
    <row r="21" spans="9:10">
      <c r="I21" s="7">
        <v>1.87185354691076</v>
      </c>
      <c r="J21" s="2"/>
    </row>
  </sheetData>
  <mergeCells count="5">
    <mergeCell ref="A2:B2"/>
    <mergeCell ref="E2:F2"/>
    <mergeCell ref="I2:J2"/>
    <mergeCell ref="I9:J9"/>
    <mergeCell ref="I17:J17"/>
  </mergeCells>
  <pageMargins left="0.75" right="0.75" top="1" bottom="1" header="0.5" footer="0.5"/>
  <headerFooter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1"/>
  <sheetViews>
    <sheetView workbookViewId="0">
      <selection activeCell="H14" sqref="H14"/>
    </sheetView>
  </sheetViews>
  <sheetFormatPr defaultColWidth="9.14285714285714" defaultRowHeight="15" outlineLevelCol="4"/>
  <cols>
    <col min="1" max="1" width="12.2857142857143" customWidth="1"/>
    <col min="3" max="3" width="14.7142857142857" customWidth="1"/>
    <col min="4" max="4" width="13" customWidth="1"/>
    <col min="5" max="5" width="34.2857142857143" customWidth="1"/>
  </cols>
  <sheetData>
    <row r="1" ht="15.75" spans="1:5">
      <c r="A1" s="1" t="s">
        <v>1</v>
      </c>
      <c r="B1" s="1" t="s">
        <v>9</v>
      </c>
      <c r="C1" s="1" t="s">
        <v>75</v>
      </c>
      <c r="D1" s="1" t="s">
        <v>13</v>
      </c>
      <c r="E1" s="1" t="s">
        <v>76</v>
      </c>
    </row>
    <row r="2" spans="1:5">
      <c r="A2" s="2">
        <v>103695</v>
      </c>
      <c r="B2" s="2" t="s">
        <v>22</v>
      </c>
      <c r="C2" s="2" t="str">
        <f>_xlfn.XLOOKUP(A2,'Customer Data'!B2,'Customer Data'!M2)</f>
        <v>USB-C Cable</v>
      </c>
      <c r="D2" s="2" t="s">
        <v>25</v>
      </c>
      <c r="E2" s="2" t="str">
        <f>CONCATENATE(C1," - ",D1)</f>
        <v>Product Name - Category</v>
      </c>
    </row>
    <row r="3" spans="1:5">
      <c r="A3" s="2">
        <v>107935</v>
      </c>
      <c r="B3" s="2" t="s">
        <v>28</v>
      </c>
      <c r="C3" s="2" t="str">
        <f>_xlfn.XLOOKUP(A3,'Customer Data'!B3,'Customer Data'!M3)</f>
        <v>Backpack</v>
      </c>
      <c r="D3" s="2" t="s">
        <v>25</v>
      </c>
      <c r="E3" s="2" t="str">
        <f t="shared" ref="E3:E66" si="0">CONCATENATE(C2," - ",D2)</f>
        <v>USB-C Cable - Accessories</v>
      </c>
    </row>
    <row r="4" spans="1:5">
      <c r="A4" s="2">
        <v>105141</v>
      </c>
      <c r="B4" s="2" t="s">
        <v>32</v>
      </c>
      <c r="C4" s="2" t="str">
        <f>_xlfn.XLOOKUP(A4,'Customer Data'!B4,'Customer Data'!M4)</f>
        <v>Mechanical Keyboard</v>
      </c>
      <c r="D4" s="2" t="s">
        <v>34</v>
      </c>
      <c r="E4" s="2" t="str">
        <f t="shared" si="0"/>
        <v>Backpack - Accessories</v>
      </c>
    </row>
    <row r="5" spans="1:5">
      <c r="A5" s="2">
        <v>108780</v>
      </c>
      <c r="B5" s="2" t="s">
        <v>35</v>
      </c>
      <c r="C5" s="2" t="str">
        <f>_xlfn.XLOOKUP(A5,'Customer Data'!B5,'Customer Data'!M5)</f>
        <v>Office Chair</v>
      </c>
      <c r="D5" s="2" t="s">
        <v>37</v>
      </c>
      <c r="E5" s="2" t="str">
        <f t="shared" si="0"/>
        <v>Mechanical Keyboard - Electronics</v>
      </c>
    </row>
    <row r="6" spans="1:5">
      <c r="A6" s="2">
        <v>101187</v>
      </c>
      <c r="B6" s="2" t="s">
        <v>38</v>
      </c>
      <c r="C6" s="2" t="str">
        <f>_xlfn.XLOOKUP(A6,'Customer Data'!B6,'Customer Data'!M6)</f>
        <v>Phone Case</v>
      </c>
      <c r="D6" s="2" t="s">
        <v>25</v>
      </c>
      <c r="E6" s="2" t="str">
        <f t="shared" si="0"/>
        <v>Office Chair - Home Office</v>
      </c>
    </row>
    <row r="7" spans="1:5">
      <c r="A7" s="2">
        <v>105545</v>
      </c>
      <c r="B7" s="2" t="s">
        <v>32</v>
      </c>
      <c r="C7" s="2" t="str">
        <f>_xlfn.XLOOKUP(A7,'Customer Data'!B7,'Customer Data'!M7)</f>
        <v>Desk Lamp</v>
      </c>
      <c r="D7" s="2" t="s">
        <v>37</v>
      </c>
      <c r="E7" s="2" t="str">
        <f t="shared" si="0"/>
        <v>Phone Case - Accessories</v>
      </c>
    </row>
    <row r="8" spans="1:5">
      <c r="A8" s="2">
        <v>106418</v>
      </c>
      <c r="B8" s="2" t="s">
        <v>43</v>
      </c>
      <c r="C8" s="2" t="str">
        <f>_xlfn.XLOOKUP(A8,'Customer Data'!B8,'Customer Data'!M8)</f>
        <v>HDMI Cable</v>
      </c>
      <c r="D8" s="2" t="s">
        <v>25</v>
      </c>
      <c r="E8" s="2" t="str">
        <f t="shared" si="0"/>
        <v>Desk Lamp - Home Office</v>
      </c>
    </row>
    <row r="9" spans="1:5">
      <c r="A9" s="2">
        <v>108755</v>
      </c>
      <c r="B9" s="2" t="s">
        <v>45</v>
      </c>
      <c r="C9" s="2" t="str">
        <f>_xlfn.XLOOKUP(A9,'Customer Data'!B9,'Customer Data'!M9)</f>
        <v>Backpack</v>
      </c>
      <c r="D9" s="2" t="s">
        <v>25</v>
      </c>
      <c r="E9" s="2" t="str">
        <f t="shared" si="0"/>
        <v>HDMI Cable - Accessories</v>
      </c>
    </row>
    <row r="10" spans="1:5">
      <c r="A10" s="2">
        <v>105133</v>
      </c>
      <c r="B10" s="2" t="s">
        <v>43</v>
      </c>
      <c r="C10" s="2" t="str">
        <f>_xlfn.XLOOKUP(A10,'Customer Data'!B10,'Customer Data'!M10)</f>
        <v>Power Bank</v>
      </c>
      <c r="D10" s="2" t="s">
        <v>34</v>
      </c>
      <c r="E10" s="2" t="str">
        <f t="shared" si="0"/>
        <v>Backpack - Accessories</v>
      </c>
    </row>
    <row r="11" spans="1:5">
      <c r="A11" s="2">
        <v>103111</v>
      </c>
      <c r="B11" s="2" t="s">
        <v>45</v>
      </c>
      <c r="C11" s="2" t="str">
        <f>_xlfn.XLOOKUP(A11,'Customer Data'!B11,'Customer Data'!M11)</f>
        <v>Backpack</v>
      </c>
      <c r="D11" s="2" t="s">
        <v>25</v>
      </c>
      <c r="E11" s="2" t="str">
        <f t="shared" si="0"/>
        <v>Power Bank - Electronics</v>
      </c>
    </row>
    <row r="12" spans="1:5">
      <c r="A12" s="2">
        <v>102192</v>
      </c>
      <c r="B12" s="2" t="s">
        <v>32</v>
      </c>
      <c r="C12" s="2" t="str">
        <f>_xlfn.XLOOKUP(A12,'Customer Data'!B12,'Customer Data'!M12)</f>
        <v>Power Bank</v>
      </c>
      <c r="D12" s="2" t="s">
        <v>34</v>
      </c>
      <c r="E12" s="2" t="str">
        <f t="shared" si="0"/>
        <v>Backpack - Accessories</v>
      </c>
    </row>
    <row r="13" spans="1:5">
      <c r="A13" s="2">
        <v>102921</v>
      </c>
      <c r="B13" s="2" t="s">
        <v>48</v>
      </c>
      <c r="C13" s="2" t="str">
        <f>_xlfn.XLOOKUP(A13,'Customer Data'!B13,'Customer Data'!M13)</f>
        <v>Wireless Mouse</v>
      </c>
      <c r="D13" s="2" t="s">
        <v>34</v>
      </c>
      <c r="E13" s="2" t="str">
        <f t="shared" si="0"/>
        <v>Power Bank - Electronics</v>
      </c>
    </row>
    <row r="14" spans="1:5">
      <c r="A14" s="2">
        <v>101803</v>
      </c>
      <c r="B14" s="2" t="s">
        <v>43</v>
      </c>
      <c r="C14" s="2" t="str">
        <f>_xlfn.XLOOKUP(A14,'Customer Data'!B14,'Customer Data'!M14)</f>
        <v>Laptop Stand</v>
      </c>
      <c r="D14" s="2" t="s">
        <v>25</v>
      </c>
      <c r="E14" s="2" t="str">
        <f t="shared" si="0"/>
        <v>Wireless Mouse - Electronics</v>
      </c>
    </row>
    <row r="15" spans="1:5">
      <c r="A15" s="2">
        <v>108853</v>
      </c>
      <c r="B15" s="2" t="s">
        <v>32</v>
      </c>
      <c r="C15" s="2" t="str">
        <f>_xlfn.XLOOKUP(A15,'Customer Data'!B15,'Customer Data'!M15)</f>
        <v>Wireless Mouse</v>
      </c>
      <c r="D15" s="2" t="s">
        <v>34</v>
      </c>
      <c r="E15" s="2" t="str">
        <f t="shared" si="0"/>
        <v>Laptop Stand - Accessories</v>
      </c>
    </row>
    <row r="16" spans="1:5">
      <c r="A16" s="2">
        <v>102106</v>
      </c>
      <c r="B16" s="2" t="s">
        <v>32</v>
      </c>
      <c r="C16" s="2" t="str">
        <f>_xlfn.XLOOKUP(A16,'Customer Data'!B16,'Customer Data'!M16)</f>
        <v>HDMI Cable</v>
      </c>
      <c r="D16" s="2" t="s">
        <v>25</v>
      </c>
      <c r="E16" s="2" t="str">
        <f t="shared" si="0"/>
        <v>Wireless Mouse - Electronics</v>
      </c>
    </row>
    <row r="17" spans="1:5">
      <c r="A17" s="2">
        <v>104175</v>
      </c>
      <c r="B17" s="2" t="s">
        <v>52</v>
      </c>
      <c r="C17" s="2" t="str">
        <f>_xlfn.XLOOKUP(A17,'Customer Data'!B17,'Customer Data'!M17)</f>
        <v>Mechanical Keyboard</v>
      </c>
      <c r="D17" s="2" t="s">
        <v>34</v>
      </c>
      <c r="E17" s="2" t="str">
        <f t="shared" si="0"/>
        <v>HDMI Cable - Accessories</v>
      </c>
    </row>
    <row r="18" spans="1:5">
      <c r="A18" s="2">
        <v>101158</v>
      </c>
      <c r="B18" s="2" t="s">
        <v>32</v>
      </c>
      <c r="C18" s="2" t="str">
        <f>_xlfn.XLOOKUP(A18,'Customer Data'!B18,'Customer Data'!M18)</f>
        <v>Wireless Mouse</v>
      </c>
      <c r="D18" s="2" t="s">
        <v>34</v>
      </c>
      <c r="E18" s="2" t="str">
        <f t="shared" si="0"/>
        <v>Mechanical Keyboard - Electronics</v>
      </c>
    </row>
    <row r="19" spans="1:5">
      <c r="A19" s="2">
        <v>109942</v>
      </c>
      <c r="B19" s="2" t="s">
        <v>52</v>
      </c>
      <c r="C19" s="2" t="str">
        <f>_xlfn.XLOOKUP(A19,'Customer Data'!B19,'Customer Data'!M19)</f>
        <v>Notebook</v>
      </c>
      <c r="D19" s="2" t="s">
        <v>54</v>
      </c>
      <c r="E19" s="2" t="str">
        <f t="shared" si="0"/>
        <v>Wireless Mouse - Electronics</v>
      </c>
    </row>
    <row r="20" spans="1:5">
      <c r="A20" s="2">
        <v>104270</v>
      </c>
      <c r="B20" s="2" t="s">
        <v>55</v>
      </c>
      <c r="C20" s="2" t="str">
        <f>_xlfn.XLOOKUP(A20,'Customer Data'!B20,'Customer Data'!M20)</f>
        <v>Notebook</v>
      </c>
      <c r="D20" s="2" t="s">
        <v>54</v>
      </c>
      <c r="E20" s="2" t="str">
        <f t="shared" si="0"/>
        <v>Notebook - Stationery</v>
      </c>
    </row>
    <row r="21" spans="1:5">
      <c r="A21" s="2">
        <v>109355</v>
      </c>
      <c r="B21" s="2" t="s">
        <v>52</v>
      </c>
      <c r="C21" s="2" t="str">
        <f>_xlfn.XLOOKUP(A21,'Customer Data'!B21,'Customer Data'!M21)</f>
        <v>HDMI Cable</v>
      </c>
      <c r="D21" s="2" t="s">
        <v>25</v>
      </c>
      <c r="E21" s="2" t="str">
        <f t="shared" si="0"/>
        <v>Notebook - Stationery</v>
      </c>
    </row>
    <row r="22" spans="1:5">
      <c r="A22" s="2">
        <v>105138</v>
      </c>
      <c r="B22" s="2" t="s">
        <v>38</v>
      </c>
      <c r="C22" s="2" t="str">
        <f>_xlfn.XLOOKUP(A22,'Customer Data'!B22,'Customer Data'!M22)</f>
        <v>HDMI Cable</v>
      </c>
      <c r="D22" s="2" t="s">
        <v>25</v>
      </c>
      <c r="E22" s="2" t="str">
        <f t="shared" si="0"/>
        <v>HDMI Cable - Accessories</v>
      </c>
    </row>
    <row r="23" spans="1:5">
      <c r="A23" s="2">
        <v>105368</v>
      </c>
      <c r="B23" s="2" t="s">
        <v>43</v>
      </c>
      <c r="C23" s="2" t="str">
        <f>_xlfn.XLOOKUP(A23,'Customer Data'!B23,'Customer Data'!M23)</f>
        <v>Notebook</v>
      </c>
      <c r="D23" s="2" t="s">
        <v>54</v>
      </c>
      <c r="E23" s="2" t="str">
        <f t="shared" si="0"/>
        <v>HDMI Cable - Accessories</v>
      </c>
    </row>
    <row r="24" spans="1:5">
      <c r="A24" s="2">
        <v>108138</v>
      </c>
      <c r="B24" s="2" t="s">
        <v>32</v>
      </c>
      <c r="C24" s="2" t="str">
        <f>_xlfn.XLOOKUP(A24,'Customer Data'!B24,'Customer Data'!M24)</f>
        <v>Webcam</v>
      </c>
      <c r="D24" s="2" t="s">
        <v>34</v>
      </c>
      <c r="E24" s="2" t="str">
        <f t="shared" si="0"/>
        <v>Notebook - Stationery</v>
      </c>
    </row>
    <row r="25" spans="1:5">
      <c r="A25" s="2">
        <v>107845</v>
      </c>
      <c r="B25" s="2" t="s">
        <v>32</v>
      </c>
      <c r="C25" s="2" t="str">
        <f>_xlfn.XLOOKUP(A25,'Customer Data'!B25,'Customer Data'!M25)</f>
        <v>Notebook</v>
      </c>
      <c r="D25" s="2" t="s">
        <v>54</v>
      </c>
      <c r="E25" s="2" t="str">
        <f t="shared" si="0"/>
        <v>Webcam - Electronics</v>
      </c>
    </row>
    <row r="26" spans="1:5">
      <c r="A26" s="2">
        <v>109039</v>
      </c>
      <c r="B26" s="2" t="s">
        <v>55</v>
      </c>
      <c r="C26" s="2" t="str">
        <f>_xlfn.XLOOKUP(A26,'Customer Data'!B26,'Customer Data'!M26)</f>
        <v>Notebook</v>
      </c>
      <c r="D26" s="2" t="s">
        <v>54</v>
      </c>
      <c r="E26" s="2" t="str">
        <f t="shared" si="0"/>
        <v>Notebook - Stationery</v>
      </c>
    </row>
    <row r="27" spans="1:5">
      <c r="A27" s="2">
        <v>107998</v>
      </c>
      <c r="B27" s="2" t="s">
        <v>45</v>
      </c>
      <c r="C27" s="2" t="str">
        <f>_xlfn.XLOOKUP(A27,'Customer Data'!B27,'Customer Data'!M27)</f>
        <v>Fitness Band</v>
      </c>
      <c r="D27" s="2" t="s">
        <v>59</v>
      </c>
      <c r="E27" s="2" t="str">
        <f t="shared" si="0"/>
        <v>Notebook - Stationery</v>
      </c>
    </row>
    <row r="28" spans="1:5">
      <c r="A28" s="2">
        <v>108982</v>
      </c>
      <c r="B28" s="2" t="s">
        <v>32</v>
      </c>
      <c r="C28" s="2" t="str">
        <f>_xlfn.XLOOKUP(A28,'Customer Data'!B28,'Customer Data'!M28)</f>
        <v>Webcam</v>
      </c>
      <c r="D28" s="2" t="s">
        <v>34</v>
      </c>
      <c r="E28" s="2" t="str">
        <f t="shared" si="0"/>
        <v>Fitness Band - Wearables</v>
      </c>
    </row>
    <row r="29" spans="1:5">
      <c r="A29" s="2">
        <v>103563</v>
      </c>
      <c r="B29" s="2" t="s">
        <v>55</v>
      </c>
      <c r="C29" s="2" t="str">
        <f>_xlfn.XLOOKUP(A29,'Customer Data'!B29,'Customer Data'!M29)</f>
        <v>Mechanical Keyboard</v>
      </c>
      <c r="D29" s="2" t="s">
        <v>34</v>
      </c>
      <c r="E29" s="2" t="str">
        <f t="shared" si="0"/>
        <v>Webcam - Electronics</v>
      </c>
    </row>
    <row r="30" spans="1:5">
      <c r="A30" s="2">
        <v>100210</v>
      </c>
      <c r="B30" s="2" t="s">
        <v>32</v>
      </c>
      <c r="C30" s="2" t="str">
        <f>_xlfn.XLOOKUP(A30,'Customer Data'!B30,'Customer Data'!M30)</f>
        <v>Mechanical Keyboard</v>
      </c>
      <c r="D30" s="2" t="s">
        <v>34</v>
      </c>
      <c r="E30" s="2" t="str">
        <f t="shared" si="0"/>
        <v>Mechanical Keyboard - Electronics</v>
      </c>
    </row>
    <row r="31" spans="1:5">
      <c r="A31" s="2">
        <v>104615</v>
      </c>
      <c r="B31" s="2" t="s">
        <v>32</v>
      </c>
      <c r="C31" s="2" t="str">
        <f>_xlfn.XLOOKUP(A31,'Customer Data'!B31,'Customer Data'!M31)</f>
        <v>Tablet</v>
      </c>
      <c r="D31" s="2" t="s">
        <v>34</v>
      </c>
      <c r="E31" s="2" t="str">
        <f t="shared" si="0"/>
        <v>Mechanical Keyboard - Electronics</v>
      </c>
    </row>
    <row r="32" spans="1:5">
      <c r="A32" s="2">
        <v>101683</v>
      </c>
      <c r="B32" s="2" t="s">
        <v>35</v>
      </c>
      <c r="C32" s="2" t="str">
        <f>_xlfn.XLOOKUP(A32,'Customer Data'!B32,'Customer Data'!M32)</f>
        <v>Desk Lamp</v>
      </c>
      <c r="D32" s="2" t="s">
        <v>37</v>
      </c>
      <c r="E32" s="2" t="str">
        <f t="shared" si="0"/>
        <v>Tablet - Electronics</v>
      </c>
    </row>
    <row r="33" spans="1:5">
      <c r="A33" s="2">
        <v>109032</v>
      </c>
      <c r="B33" s="2" t="s">
        <v>38</v>
      </c>
      <c r="C33" s="2" t="str">
        <f>_xlfn.XLOOKUP(A33,'Customer Data'!B33,'Customer Data'!M33)</f>
        <v>Phone Case</v>
      </c>
      <c r="D33" s="2" t="s">
        <v>25</v>
      </c>
      <c r="E33" s="2" t="str">
        <f t="shared" si="0"/>
        <v>Desk Lamp - Home Office</v>
      </c>
    </row>
    <row r="34" spans="1:5">
      <c r="A34" s="2">
        <v>107365</v>
      </c>
      <c r="B34" s="2" t="s">
        <v>28</v>
      </c>
      <c r="C34" s="2" t="str">
        <f>_xlfn.XLOOKUP(A34,'Customer Data'!B34,'Customer Data'!M34)</f>
        <v>Headphones</v>
      </c>
      <c r="D34" s="2" t="s">
        <v>34</v>
      </c>
      <c r="E34" s="2" t="str">
        <f t="shared" si="0"/>
        <v>Phone Case - Accessories</v>
      </c>
    </row>
    <row r="35" spans="1:5">
      <c r="A35" s="2">
        <v>105082</v>
      </c>
      <c r="B35" s="2" t="s">
        <v>32</v>
      </c>
      <c r="C35" s="2" t="str">
        <f>_xlfn.XLOOKUP(A35,'Customer Data'!B35,'Customer Data'!M35)</f>
        <v>Power Bank</v>
      </c>
      <c r="D35" s="2" t="s">
        <v>34</v>
      </c>
      <c r="E35" s="2" t="str">
        <f t="shared" si="0"/>
        <v>Headphones - Electronics</v>
      </c>
    </row>
    <row r="36" spans="1:5">
      <c r="A36" s="2">
        <v>106013</v>
      </c>
      <c r="B36" s="2" t="s">
        <v>48</v>
      </c>
      <c r="C36" s="2" t="str">
        <f>_xlfn.XLOOKUP(A36,'Customer Data'!B36,'Customer Data'!M36)</f>
        <v>Phone Case</v>
      </c>
      <c r="D36" s="2" t="s">
        <v>25</v>
      </c>
      <c r="E36" s="2" t="str">
        <f t="shared" si="0"/>
        <v>Power Bank - Electronics</v>
      </c>
    </row>
    <row r="37" spans="1:5">
      <c r="A37" s="2">
        <v>107822</v>
      </c>
      <c r="B37" s="2" t="s">
        <v>32</v>
      </c>
      <c r="C37" s="2" t="str">
        <f>_xlfn.XLOOKUP(A37,'Customer Data'!B37,'Customer Data'!M37)</f>
        <v>Notebook</v>
      </c>
      <c r="D37" s="2" t="s">
        <v>54</v>
      </c>
      <c r="E37" s="2" t="str">
        <f t="shared" si="0"/>
        <v>Phone Case - Accessories</v>
      </c>
    </row>
    <row r="38" spans="1:5">
      <c r="A38" s="2">
        <v>101279</v>
      </c>
      <c r="B38" s="2" t="s">
        <v>38</v>
      </c>
      <c r="C38" s="2" t="str">
        <f>_xlfn.XLOOKUP(A38,'Customer Data'!B38,'Customer Data'!M38)</f>
        <v>Wireless Mouse</v>
      </c>
      <c r="D38" s="2" t="s">
        <v>34</v>
      </c>
      <c r="E38" s="2" t="str">
        <f t="shared" si="0"/>
        <v>Notebook - Stationery</v>
      </c>
    </row>
    <row r="39" spans="1:5">
      <c r="A39" s="2">
        <v>107601</v>
      </c>
      <c r="B39" s="2" t="s">
        <v>38</v>
      </c>
      <c r="C39" s="2" t="str">
        <f>_xlfn.XLOOKUP(A39,'Customer Data'!B39,'Customer Data'!M39)</f>
        <v>Notebook</v>
      </c>
      <c r="D39" s="2" t="s">
        <v>54</v>
      </c>
      <c r="E39" s="2" t="str">
        <f t="shared" si="0"/>
        <v>Wireless Mouse - Electronics</v>
      </c>
    </row>
    <row r="40" spans="1:5">
      <c r="A40" s="2">
        <v>104265</v>
      </c>
      <c r="B40" s="2" t="s">
        <v>32</v>
      </c>
      <c r="C40" s="2" t="str">
        <f>_xlfn.XLOOKUP(A40,'Customer Data'!B40,'Customer Data'!M40)</f>
        <v>Desk Lamp</v>
      </c>
      <c r="D40" s="2" t="s">
        <v>37</v>
      </c>
      <c r="E40" s="2" t="str">
        <f t="shared" si="0"/>
        <v>Notebook - Stationery</v>
      </c>
    </row>
    <row r="41" spans="1:5">
      <c r="A41" s="2">
        <v>104458</v>
      </c>
      <c r="B41" s="2" t="s">
        <v>32</v>
      </c>
      <c r="C41" s="2" t="str">
        <f>_xlfn.XLOOKUP(A41,'Customer Data'!B41,'Customer Data'!M41)</f>
        <v>Fitness Band</v>
      </c>
      <c r="D41" s="2" t="s">
        <v>59</v>
      </c>
      <c r="E41" s="2" t="str">
        <f t="shared" si="0"/>
        <v>Desk Lamp - Home Office</v>
      </c>
    </row>
    <row r="42" spans="1:5">
      <c r="A42" s="2">
        <v>104499</v>
      </c>
      <c r="B42" s="2" t="s">
        <v>28</v>
      </c>
      <c r="C42" s="2" t="str">
        <f>_xlfn.XLOOKUP(A42,'Customer Data'!B42,'Customer Data'!M42)</f>
        <v>Webcam</v>
      </c>
      <c r="D42" s="2" t="s">
        <v>34</v>
      </c>
      <c r="E42" s="2" t="str">
        <f t="shared" si="0"/>
        <v>Fitness Band - Wearables</v>
      </c>
    </row>
    <row r="43" spans="1:5">
      <c r="A43" s="2">
        <v>109584</v>
      </c>
      <c r="B43" s="2" t="s">
        <v>48</v>
      </c>
      <c r="C43" s="2" t="str">
        <f>_xlfn.XLOOKUP(A43,'Customer Data'!B43,'Customer Data'!M43)</f>
        <v>Gaming Controller</v>
      </c>
      <c r="D43" s="2" t="s">
        <v>63</v>
      </c>
      <c r="E43" s="2" t="str">
        <f t="shared" si="0"/>
        <v>Webcam - Electronics</v>
      </c>
    </row>
    <row r="44" spans="1:5">
      <c r="A44" s="2">
        <v>104936</v>
      </c>
      <c r="B44" s="2" t="s">
        <v>45</v>
      </c>
      <c r="C44" s="2" t="str">
        <f>_xlfn.XLOOKUP(A44,'Customer Data'!B44,'Customer Data'!M44)</f>
        <v>Laptop Stand</v>
      </c>
      <c r="D44" s="2" t="s">
        <v>25</v>
      </c>
      <c r="E44" s="2" t="str">
        <f t="shared" si="0"/>
        <v>Gaming Controller - Gaming</v>
      </c>
    </row>
    <row r="45" spans="1:5">
      <c r="A45" s="2">
        <v>100241</v>
      </c>
      <c r="B45" s="2" t="s">
        <v>32</v>
      </c>
      <c r="C45" s="2" t="str">
        <f>_xlfn.XLOOKUP(A45,'Customer Data'!B45,'Customer Data'!M45)</f>
        <v>HDMI Cable</v>
      </c>
      <c r="D45" s="2" t="s">
        <v>25</v>
      </c>
      <c r="E45" s="2" t="str">
        <f t="shared" si="0"/>
        <v>Laptop Stand - Accessories</v>
      </c>
    </row>
    <row r="46" spans="1:5">
      <c r="A46" s="2">
        <v>107541</v>
      </c>
      <c r="B46" s="2" t="s">
        <v>45</v>
      </c>
      <c r="C46" s="2" t="str">
        <f>_xlfn.XLOOKUP(A46,'Customer Data'!B46,'Customer Data'!M46)</f>
        <v>Mechanical Keyboard</v>
      </c>
      <c r="D46" s="2" t="s">
        <v>34</v>
      </c>
      <c r="E46" s="2" t="str">
        <f t="shared" si="0"/>
        <v>HDMI Cable - Accessories</v>
      </c>
    </row>
    <row r="47" spans="1:5">
      <c r="A47" s="2">
        <v>109317</v>
      </c>
      <c r="B47" s="2" t="s">
        <v>48</v>
      </c>
      <c r="C47" s="2" t="str">
        <f>_xlfn.XLOOKUP(A47,'Customer Data'!B47,'Customer Data'!M47)</f>
        <v>USB-C Cable</v>
      </c>
      <c r="D47" s="2" t="s">
        <v>25</v>
      </c>
      <c r="E47" s="2" t="str">
        <f t="shared" si="0"/>
        <v>Mechanical Keyboard - Electronics</v>
      </c>
    </row>
    <row r="48" spans="1:5">
      <c r="A48" s="2">
        <v>109778</v>
      </c>
      <c r="B48" s="2" t="s">
        <v>32</v>
      </c>
      <c r="C48" s="2" t="str">
        <f>_xlfn.XLOOKUP(A48,'Customer Data'!B48,'Customer Data'!M48)</f>
        <v>Fitness Band</v>
      </c>
      <c r="D48" s="2" t="s">
        <v>59</v>
      </c>
      <c r="E48" s="2" t="str">
        <f t="shared" si="0"/>
        <v>USB-C Cable - Accessories</v>
      </c>
    </row>
    <row r="49" spans="1:5">
      <c r="A49" s="2">
        <v>102735</v>
      </c>
      <c r="B49" s="2" t="s">
        <v>22</v>
      </c>
      <c r="C49" s="2" t="str">
        <f>_xlfn.XLOOKUP(A49,'Customer Data'!B49,'Customer Data'!M49)</f>
        <v>USB-C Cable</v>
      </c>
      <c r="D49" s="2" t="s">
        <v>25</v>
      </c>
      <c r="E49" s="2" t="str">
        <f t="shared" si="0"/>
        <v>Fitness Band - Wearables</v>
      </c>
    </row>
    <row r="50" spans="1:5">
      <c r="A50" s="2">
        <v>103894</v>
      </c>
      <c r="B50" s="2" t="s">
        <v>32</v>
      </c>
      <c r="C50" s="2" t="str">
        <f>_xlfn.XLOOKUP(A50,'Customer Data'!B50,'Customer Data'!M50)</f>
        <v>HDMI Cable</v>
      </c>
      <c r="D50" s="2" t="s">
        <v>25</v>
      </c>
      <c r="E50" s="2" t="str">
        <f t="shared" si="0"/>
        <v>USB-C Cable - Accessories</v>
      </c>
    </row>
    <row r="51" spans="1:5">
      <c r="A51" s="2">
        <v>102673</v>
      </c>
      <c r="B51" s="2" t="s">
        <v>52</v>
      </c>
      <c r="C51" s="2" t="str">
        <f>_xlfn.XLOOKUP(A51,'Customer Data'!B51,'Customer Data'!M51)</f>
        <v>Desk Lamp</v>
      </c>
      <c r="D51" s="2" t="s">
        <v>37</v>
      </c>
      <c r="E51" s="2" t="str">
        <f t="shared" si="0"/>
        <v>HDMI Cable - Accessories</v>
      </c>
    </row>
    <row r="52" spans="1:5">
      <c r="A52" s="2">
        <v>108100</v>
      </c>
      <c r="B52" s="2" t="s">
        <v>45</v>
      </c>
      <c r="C52" s="2" t="str">
        <f>_xlfn.XLOOKUP(A52,'Customer Data'!B52,'Customer Data'!M52)</f>
        <v>Notebook</v>
      </c>
      <c r="D52" s="2" t="s">
        <v>54</v>
      </c>
      <c r="E52" s="2" t="str">
        <f t="shared" si="0"/>
        <v>Desk Lamp - Home Office</v>
      </c>
    </row>
    <row r="53" spans="1:5">
      <c r="A53" s="2">
        <v>106454</v>
      </c>
      <c r="B53" s="2" t="s">
        <v>32</v>
      </c>
      <c r="C53" s="2" t="str">
        <f>_xlfn.XLOOKUP(A53,'Customer Data'!B53,'Customer Data'!M53)</f>
        <v>Notebook</v>
      </c>
      <c r="D53" s="2" t="s">
        <v>54</v>
      </c>
      <c r="E53" s="2" t="str">
        <f t="shared" si="0"/>
        <v>Notebook - Stationery</v>
      </c>
    </row>
    <row r="54" spans="1:5">
      <c r="A54" s="2">
        <v>106300</v>
      </c>
      <c r="B54" s="2" t="s">
        <v>48</v>
      </c>
      <c r="C54" s="2" t="str">
        <f>_xlfn.XLOOKUP(A54,'Customer Data'!B54,'Customer Data'!M54)</f>
        <v>Desk Lamp</v>
      </c>
      <c r="D54" s="2" t="s">
        <v>37</v>
      </c>
      <c r="E54" s="2" t="str">
        <f t="shared" si="0"/>
        <v>Notebook - Stationery</v>
      </c>
    </row>
    <row r="55" spans="1:5">
      <c r="A55" s="2">
        <v>109861</v>
      </c>
      <c r="B55" s="2" t="s">
        <v>32</v>
      </c>
      <c r="C55" s="2" t="str">
        <f>_xlfn.XLOOKUP(A55,'Customer Data'!B55,'Customer Data'!M55)</f>
        <v>Desk Lamp</v>
      </c>
      <c r="D55" s="2" t="s">
        <v>37</v>
      </c>
      <c r="E55" s="2" t="str">
        <f t="shared" si="0"/>
        <v>Desk Lamp - Home Office</v>
      </c>
    </row>
    <row r="56" spans="1:5">
      <c r="A56" s="2">
        <v>108499</v>
      </c>
      <c r="B56" s="2" t="s">
        <v>32</v>
      </c>
      <c r="C56" s="2" t="str">
        <f>_xlfn.XLOOKUP(A56,'Customer Data'!B56,'Customer Data'!M56)</f>
        <v>Microphone</v>
      </c>
      <c r="D56" s="2" t="s">
        <v>34</v>
      </c>
      <c r="E56" s="2" t="str">
        <f t="shared" si="0"/>
        <v>Desk Lamp - Home Office</v>
      </c>
    </row>
    <row r="57" spans="1:5">
      <c r="A57" s="2">
        <v>101360</v>
      </c>
      <c r="B57" s="2" t="s">
        <v>43</v>
      </c>
      <c r="C57" s="2" t="str">
        <f>_xlfn.XLOOKUP(A57,'Customer Data'!B57,'Customer Data'!M57)</f>
        <v>Desk Lamp</v>
      </c>
      <c r="D57" s="2" t="s">
        <v>37</v>
      </c>
      <c r="E57" s="2" t="str">
        <f t="shared" si="0"/>
        <v>Microphone - Electronics</v>
      </c>
    </row>
    <row r="58" spans="1:5">
      <c r="A58" s="2">
        <v>104257</v>
      </c>
      <c r="B58" s="2" t="s">
        <v>32</v>
      </c>
      <c r="C58" s="2" t="str">
        <f>_xlfn.XLOOKUP(A58,'Customer Data'!B58,'Customer Data'!M58)</f>
        <v>Fitness Band</v>
      </c>
      <c r="D58" s="2" t="s">
        <v>59</v>
      </c>
      <c r="E58" s="2" t="str">
        <f t="shared" si="0"/>
        <v>Desk Lamp - Home Office</v>
      </c>
    </row>
    <row r="59" spans="1:5">
      <c r="A59" s="2">
        <v>109227</v>
      </c>
      <c r="B59" s="2" t="s">
        <v>32</v>
      </c>
      <c r="C59" s="2" t="str">
        <f>_xlfn.XLOOKUP(A59,'Customer Data'!B59,'Customer Data'!M59)</f>
        <v>USB-C Cable</v>
      </c>
      <c r="D59" s="2" t="s">
        <v>25</v>
      </c>
      <c r="E59" s="2" t="str">
        <f t="shared" si="0"/>
        <v>Fitness Band - Wearables</v>
      </c>
    </row>
    <row r="60" spans="1:5">
      <c r="A60" s="2">
        <v>104648</v>
      </c>
      <c r="B60" s="2" t="s">
        <v>43</v>
      </c>
      <c r="C60" s="2" t="str">
        <f>_xlfn.XLOOKUP(A60,'Customer Data'!B60,'Customer Data'!M60)</f>
        <v>Smart Watch</v>
      </c>
      <c r="D60" s="2" t="s">
        <v>59</v>
      </c>
      <c r="E60" s="2" t="str">
        <f t="shared" si="0"/>
        <v>USB-C Cable - Accessories</v>
      </c>
    </row>
    <row r="61" spans="1:5">
      <c r="A61" s="2">
        <v>103566</v>
      </c>
      <c r="B61" s="2" t="s">
        <v>45</v>
      </c>
      <c r="C61" s="2" t="str">
        <f>_xlfn.XLOOKUP(A61,'Customer Data'!B61,'Customer Data'!M61)</f>
        <v>Desk Lamp</v>
      </c>
      <c r="D61" s="2" t="s">
        <v>37</v>
      </c>
      <c r="E61" s="2" t="str">
        <f t="shared" si="0"/>
        <v>Smart Watch - Wearables</v>
      </c>
    </row>
    <row r="62" spans="1:5">
      <c r="A62" s="2">
        <v>103020</v>
      </c>
      <c r="B62" s="2" t="s">
        <v>48</v>
      </c>
      <c r="C62" s="2" t="str">
        <f>_xlfn.XLOOKUP(A62,'Customer Data'!B62,'Customer Data'!M62)</f>
        <v>Headphones</v>
      </c>
      <c r="D62" s="2" t="s">
        <v>34</v>
      </c>
      <c r="E62" s="2" t="str">
        <f t="shared" si="0"/>
        <v>Desk Lamp - Home Office</v>
      </c>
    </row>
    <row r="63" spans="1:5">
      <c r="A63" s="2">
        <v>106946</v>
      </c>
      <c r="B63" s="2" t="s">
        <v>48</v>
      </c>
      <c r="C63" s="2" t="str">
        <f>_xlfn.XLOOKUP(A63,'Customer Data'!B63,'Customer Data'!M63)</f>
        <v>Desk Lamp</v>
      </c>
      <c r="D63" s="2" t="s">
        <v>37</v>
      </c>
      <c r="E63" s="2" t="str">
        <f t="shared" si="0"/>
        <v>Headphones - Electronics</v>
      </c>
    </row>
    <row r="64" spans="1:5">
      <c r="A64" s="2">
        <v>107003</v>
      </c>
      <c r="B64" s="2" t="s">
        <v>32</v>
      </c>
      <c r="C64" s="2" t="str">
        <f>_xlfn.XLOOKUP(A64,'Customer Data'!B64,'Customer Data'!M64)</f>
        <v>Bluetooth Speaker</v>
      </c>
      <c r="D64" s="2" t="s">
        <v>34</v>
      </c>
      <c r="E64" s="2" t="str">
        <f t="shared" si="0"/>
        <v>Desk Lamp - Home Office</v>
      </c>
    </row>
    <row r="65" spans="1:5">
      <c r="A65" s="2">
        <v>104518</v>
      </c>
      <c r="B65" s="2" t="s">
        <v>45</v>
      </c>
      <c r="C65" s="2" t="str">
        <f>_xlfn.XLOOKUP(A65,'Customer Data'!B65,'Customer Data'!M65)</f>
        <v>Backpack</v>
      </c>
      <c r="D65" s="2" t="s">
        <v>25</v>
      </c>
      <c r="E65" s="2" t="str">
        <f t="shared" si="0"/>
        <v>Bluetooth Speaker - Electronics</v>
      </c>
    </row>
    <row r="66" spans="1:5">
      <c r="A66" s="2">
        <v>102799</v>
      </c>
      <c r="B66" s="2" t="s">
        <v>45</v>
      </c>
      <c r="C66" s="2" t="str">
        <f>_xlfn.XLOOKUP(A66,'Customer Data'!B66,'Customer Data'!M66)</f>
        <v>HDMI Cable</v>
      </c>
      <c r="D66" s="2" t="s">
        <v>25</v>
      </c>
      <c r="E66" s="2" t="str">
        <f t="shared" si="0"/>
        <v>Backpack - Accessories</v>
      </c>
    </row>
    <row r="67" spans="1:5">
      <c r="A67" s="2">
        <v>100378</v>
      </c>
      <c r="B67" s="2" t="s">
        <v>38</v>
      </c>
      <c r="C67" s="2" t="str">
        <f>_xlfn.XLOOKUP(A67,'Customer Data'!B67,'Customer Data'!M67)</f>
        <v>Notebook</v>
      </c>
      <c r="D67" s="2" t="s">
        <v>54</v>
      </c>
      <c r="E67" s="2" t="str">
        <f t="shared" ref="E67:E130" si="1">CONCATENATE(C66," - ",D66)</f>
        <v>HDMI Cable - Accessories</v>
      </c>
    </row>
    <row r="68" spans="1:5">
      <c r="A68" s="2">
        <v>104093</v>
      </c>
      <c r="B68" s="2" t="s">
        <v>32</v>
      </c>
      <c r="C68" s="2" t="str">
        <f>_xlfn.XLOOKUP(A68,'Customer Data'!B68,'Customer Data'!M68)</f>
        <v>Mechanical Keyboard</v>
      </c>
      <c r="D68" s="2" t="s">
        <v>34</v>
      </c>
      <c r="E68" s="2" t="str">
        <f t="shared" si="1"/>
        <v>Notebook - Stationery</v>
      </c>
    </row>
    <row r="69" spans="1:5">
      <c r="A69" s="2">
        <v>103550</v>
      </c>
      <c r="B69" s="2" t="s">
        <v>48</v>
      </c>
      <c r="C69" s="2" t="str">
        <f>_xlfn.XLOOKUP(A69,'Customer Data'!B69,'Customer Data'!M69)</f>
        <v>Desk Lamp</v>
      </c>
      <c r="D69" s="2" t="s">
        <v>37</v>
      </c>
      <c r="E69" s="2" t="str">
        <f t="shared" si="1"/>
        <v>Mechanical Keyboard - Electronics</v>
      </c>
    </row>
    <row r="70" spans="1:5">
      <c r="A70" s="2">
        <v>105158</v>
      </c>
      <c r="B70" s="2" t="s">
        <v>22</v>
      </c>
      <c r="C70" s="2" t="str">
        <f>_xlfn.XLOOKUP(A70,'Customer Data'!B70,'Customer Data'!M70)</f>
        <v>USB-C Cable</v>
      </c>
      <c r="D70" s="2" t="s">
        <v>25</v>
      </c>
      <c r="E70" s="2" t="str">
        <f t="shared" si="1"/>
        <v>Desk Lamp - Home Office</v>
      </c>
    </row>
    <row r="71" spans="1:5">
      <c r="A71" s="2">
        <v>100053</v>
      </c>
      <c r="B71" s="2" t="s">
        <v>35</v>
      </c>
      <c r="C71" s="2" t="str">
        <f>_xlfn.XLOOKUP(A71,'Customer Data'!B71,'Customer Data'!M71)</f>
        <v>Phone Case</v>
      </c>
      <c r="D71" s="2" t="s">
        <v>25</v>
      </c>
      <c r="E71" s="2" t="str">
        <f t="shared" si="1"/>
        <v>USB-C Cable - Accessories</v>
      </c>
    </row>
    <row r="72" spans="1:5">
      <c r="A72" s="2">
        <v>108212</v>
      </c>
      <c r="B72" s="2" t="s">
        <v>45</v>
      </c>
      <c r="C72" s="2" t="str">
        <f>_xlfn.XLOOKUP(A72,'Customer Data'!B72,'Customer Data'!M72)</f>
        <v>HDMI Cable</v>
      </c>
      <c r="D72" s="2" t="s">
        <v>25</v>
      </c>
      <c r="E72" s="2" t="str">
        <f t="shared" si="1"/>
        <v>Phone Case - Accessories</v>
      </c>
    </row>
    <row r="73" spans="1:5">
      <c r="A73" s="2">
        <v>102545</v>
      </c>
      <c r="B73" s="2" t="s">
        <v>35</v>
      </c>
      <c r="C73" s="2" t="str">
        <f>_xlfn.XLOOKUP(A73,'Customer Data'!B73,'Customer Data'!M73)</f>
        <v>Mechanical Keyboard</v>
      </c>
      <c r="D73" s="2" t="s">
        <v>34</v>
      </c>
      <c r="E73" s="2" t="str">
        <f t="shared" si="1"/>
        <v>HDMI Cable - Accessories</v>
      </c>
    </row>
    <row r="74" spans="1:5">
      <c r="A74" s="2">
        <v>106487</v>
      </c>
      <c r="B74" s="2" t="s">
        <v>28</v>
      </c>
      <c r="C74" s="2" t="str">
        <f>_xlfn.XLOOKUP(A74,'Customer Data'!B74,'Customer Data'!M74)</f>
        <v>Backpack</v>
      </c>
      <c r="D74" s="2" t="s">
        <v>25</v>
      </c>
      <c r="E74" s="2" t="str">
        <f t="shared" si="1"/>
        <v>Mechanical Keyboard - Electronics</v>
      </c>
    </row>
    <row r="75" spans="1:5">
      <c r="A75" s="2">
        <v>104951</v>
      </c>
      <c r="B75" s="2" t="s">
        <v>32</v>
      </c>
      <c r="C75" s="2" t="str">
        <f>_xlfn.XLOOKUP(A75,'Customer Data'!B75,'Customer Data'!M75)</f>
        <v>Headphones</v>
      </c>
      <c r="D75" s="2" t="s">
        <v>34</v>
      </c>
      <c r="E75" s="2" t="str">
        <f t="shared" si="1"/>
        <v>Backpack - Accessories</v>
      </c>
    </row>
    <row r="76" spans="1:5">
      <c r="A76" s="2">
        <v>105369</v>
      </c>
      <c r="B76" s="2" t="s">
        <v>43</v>
      </c>
      <c r="C76" s="2" t="str">
        <f>_xlfn.XLOOKUP(A76,'Customer Data'!B76,'Customer Data'!M76)</f>
        <v>Backpack</v>
      </c>
      <c r="D76" s="2" t="s">
        <v>25</v>
      </c>
      <c r="E76" s="2" t="str">
        <f t="shared" si="1"/>
        <v>Headphones - Electronics</v>
      </c>
    </row>
    <row r="77" spans="1:5">
      <c r="A77" s="2">
        <v>108987</v>
      </c>
      <c r="B77" s="2" t="s">
        <v>32</v>
      </c>
      <c r="C77" s="2" t="str">
        <f>_xlfn.XLOOKUP(A77,'Customer Data'!B77,'Customer Data'!M77)</f>
        <v>USB-C Cable</v>
      </c>
      <c r="D77" s="2" t="s">
        <v>25</v>
      </c>
      <c r="E77" s="2" t="str">
        <f t="shared" si="1"/>
        <v>Backpack - Accessories</v>
      </c>
    </row>
    <row r="78" spans="1:5">
      <c r="A78" s="2">
        <v>100771</v>
      </c>
      <c r="B78" s="2" t="s">
        <v>22</v>
      </c>
      <c r="C78" s="2" t="str">
        <f>_xlfn.XLOOKUP(A78,'Customer Data'!B78,'Customer Data'!M78)</f>
        <v>Mechanical Keyboard</v>
      </c>
      <c r="D78" s="2" t="s">
        <v>34</v>
      </c>
      <c r="E78" s="2" t="str">
        <f t="shared" si="1"/>
        <v>USB-C Cable - Accessories</v>
      </c>
    </row>
    <row r="79" spans="1:5">
      <c r="A79" s="2">
        <v>103388</v>
      </c>
      <c r="B79" s="2" t="s">
        <v>35</v>
      </c>
      <c r="C79" s="2" t="str">
        <f>_xlfn.XLOOKUP(A79,'Customer Data'!B79,'Customer Data'!M79)</f>
        <v>Bluetooth Speaker</v>
      </c>
      <c r="D79" s="2" t="s">
        <v>34</v>
      </c>
      <c r="E79" s="2" t="str">
        <f t="shared" si="1"/>
        <v>Mechanical Keyboard - Electronics</v>
      </c>
    </row>
    <row r="80" spans="1:5">
      <c r="A80" s="2">
        <v>100685</v>
      </c>
      <c r="B80" s="2" t="s">
        <v>43</v>
      </c>
      <c r="C80" s="2" t="str">
        <f>_xlfn.XLOOKUP(A80,'Customer Data'!B80,'Customer Data'!M80)</f>
        <v>Notebook</v>
      </c>
      <c r="D80" s="2" t="s">
        <v>54</v>
      </c>
      <c r="E80" s="2" t="str">
        <f t="shared" si="1"/>
        <v>Bluetooth Speaker - Electronics</v>
      </c>
    </row>
    <row r="81" spans="1:5">
      <c r="A81" s="2">
        <v>107845</v>
      </c>
      <c r="B81" s="2" t="s">
        <v>32</v>
      </c>
      <c r="C81" s="2" t="str">
        <f>_xlfn.XLOOKUP(A81,'Customer Data'!B81,'Customer Data'!M81)</f>
        <v>Microphone</v>
      </c>
      <c r="D81" s="2" t="s">
        <v>34</v>
      </c>
      <c r="E81" s="2" t="str">
        <f t="shared" si="1"/>
        <v>Notebook - Stationery</v>
      </c>
    </row>
    <row r="82" spans="1:5">
      <c r="A82" s="2">
        <v>103580</v>
      </c>
      <c r="B82" s="2" t="s">
        <v>32</v>
      </c>
      <c r="C82" s="2" t="str">
        <f>_xlfn.XLOOKUP(A82,'Customer Data'!B82,'Customer Data'!M82)</f>
        <v>Headphones</v>
      </c>
      <c r="D82" s="2" t="s">
        <v>34</v>
      </c>
      <c r="E82" s="2" t="str">
        <f t="shared" si="1"/>
        <v>Microphone - Electronics</v>
      </c>
    </row>
    <row r="83" spans="1:5">
      <c r="A83" s="2">
        <v>104496</v>
      </c>
      <c r="B83" s="2" t="s">
        <v>32</v>
      </c>
      <c r="C83" s="2" t="str">
        <f>_xlfn.XLOOKUP(A83,'Customer Data'!B83,'Customer Data'!M83)</f>
        <v>Phone Case</v>
      </c>
      <c r="D83" s="2" t="s">
        <v>25</v>
      </c>
      <c r="E83" s="2" t="str">
        <f t="shared" si="1"/>
        <v>Headphones - Electronics</v>
      </c>
    </row>
    <row r="84" spans="1:5">
      <c r="A84" s="2">
        <v>100243</v>
      </c>
      <c r="B84" s="2" t="s">
        <v>45</v>
      </c>
      <c r="C84" s="2" t="str">
        <f>_xlfn.XLOOKUP(A84,'Customer Data'!B84,'Customer Data'!M84)</f>
        <v>Notebook</v>
      </c>
      <c r="D84" s="2" t="s">
        <v>54</v>
      </c>
      <c r="E84" s="2" t="str">
        <f t="shared" si="1"/>
        <v>Phone Case - Accessories</v>
      </c>
    </row>
    <row r="85" spans="1:5">
      <c r="A85" s="2">
        <v>106025</v>
      </c>
      <c r="B85" s="2" t="s">
        <v>32</v>
      </c>
      <c r="C85" s="2" t="str">
        <f>_xlfn.XLOOKUP(A85,'Customer Data'!B85,'Customer Data'!M85)</f>
        <v>USB-C Cable</v>
      </c>
      <c r="D85" s="2" t="s">
        <v>25</v>
      </c>
      <c r="E85" s="2" t="str">
        <f t="shared" si="1"/>
        <v>Notebook - Stationery</v>
      </c>
    </row>
    <row r="86" spans="1:5">
      <c r="A86" s="2">
        <v>102251</v>
      </c>
      <c r="B86" s="2" t="s">
        <v>35</v>
      </c>
      <c r="C86" s="2" t="str">
        <f>_xlfn.XLOOKUP(A86,'Customer Data'!B86,'Customer Data'!M86)</f>
        <v>Wireless Mouse</v>
      </c>
      <c r="D86" s="2" t="s">
        <v>34</v>
      </c>
      <c r="E86" s="2" t="str">
        <f t="shared" si="1"/>
        <v>USB-C Cable - Accessories</v>
      </c>
    </row>
    <row r="87" spans="1:5">
      <c r="A87" s="2">
        <v>100613</v>
      </c>
      <c r="B87" s="2" t="s">
        <v>45</v>
      </c>
      <c r="C87" s="2" t="str">
        <f>_xlfn.XLOOKUP(A87,'Customer Data'!B87,'Customer Data'!M87)</f>
        <v>Bluetooth Speaker</v>
      </c>
      <c r="D87" s="2" t="s">
        <v>34</v>
      </c>
      <c r="E87" s="2" t="str">
        <f t="shared" si="1"/>
        <v>Wireless Mouse - Electronics</v>
      </c>
    </row>
    <row r="88" spans="1:5">
      <c r="A88" s="2">
        <v>109509</v>
      </c>
      <c r="B88" s="2" t="s">
        <v>48</v>
      </c>
      <c r="C88" s="2" t="str">
        <f>_xlfn.XLOOKUP(A88,'Customer Data'!B88,'Customer Data'!M88)</f>
        <v>Phone Case</v>
      </c>
      <c r="D88" s="2" t="s">
        <v>25</v>
      </c>
      <c r="E88" s="2" t="str">
        <f t="shared" si="1"/>
        <v>Bluetooth Speaker - Electronics</v>
      </c>
    </row>
    <row r="89" spans="1:5">
      <c r="A89" s="2">
        <v>105172</v>
      </c>
      <c r="B89" s="2" t="s">
        <v>45</v>
      </c>
      <c r="C89" s="2" t="str">
        <f>_xlfn.XLOOKUP(A89,'Customer Data'!B89,'Customer Data'!M89)</f>
        <v>Tablet</v>
      </c>
      <c r="D89" s="2" t="s">
        <v>34</v>
      </c>
      <c r="E89" s="2" t="str">
        <f t="shared" si="1"/>
        <v>Phone Case - Accessories</v>
      </c>
    </row>
    <row r="90" spans="1:5">
      <c r="A90" s="2">
        <v>102165</v>
      </c>
      <c r="B90" s="2" t="s">
        <v>52</v>
      </c>
      <c r="C90" s="2" t="str">
        <f>_xlfn.XLOOKUP(A90,'Customer Data'!B90,'Customer Data'!M90)</f>
        <v>USB-C Cable</v>
      </c>
      <c r="D90" s="2" t="s">
        <v>25</v>
      </c>
      <c r="E90" s="2" t="str">
        <f t="shared" si="1"/>
        <v>Tablet - Electronics</v>
      </c>
    </row>
    <row r="91" spans="1:5">
      <c r="A91" s="2">
        <v>103486</v>
      </c>
      <c r="B91" s="2" t="s">
        <v>55</v>
      </c>
      <c r="C91" s="2" t="str">
        <f>_xlfn.XLOOKUP(A91,'Customer Data'!B91,'Customer Data'!M91)</f>
        <v>USB-C Cable</v>
      </c>
      <c r="D91" s="2" t="s">
        <v>25</v>
      </c>
      <c r="E91" s="2" t="str">
        <f t="shared" si="1"/>
        <v>USB-C Cable - Accessories</v>
      </c>
    </row>
    <row r="92" spans="1:5">
      <c r="A92" s="2">
        <v>107995</v>
      </c>
      <c r="B92" s="2" t="s">
        <v>22</v>
      </c>
      <c r="C92" s="2" t="str">
        <f>_xlfn.XLOOKUP(A92,'Customer Data'!B92,'Customer Data'!M92)</f>
        <v>Wireless Mouse</v>
      </c>
      <c r="D92" s="2" t="s">
        <v>34</v>
      </c>
      <c r="E92" s="2" t="str">
        <f t="shared" si="1"/>
        <v>USB-C Cable - Accessories</v>
      </c>
    </row>
    <row r="93" spans="1:5">
      <c r="A93" s="2">
        <v>106590</v>
      </c>
      <c r="B93" s="2" t="s">
        <v>32</v>
      </c>
      <c r="C93" s="2" t="str">
        <f>_xlfn.XLOOKUP(A93,'Customer Data'!B93,'Customer Data'!M93)</f>
        <v>Bluetooth Speaker</v>
      </c>
      <c r="D93" s="2" t="s">
        <v>34</v>
      </c>
      <c r="E93" s="2" t="str">
        <f t="shared" si="1"/>
        <v>Wireless Mouse - Electronics</v>
      </c>
    </row>
    <row r="94" spans="1:5">
      <c r="A94" s="2">
        <v>102948</v>
      </c>
      <c r="B94" s="2" t="s">
        <v>43</v>
      </c>
      <c r="C94" s="2" t="str">
        <f>_xlfn.XLOOKUP(A94,'Customer Data'!B94,'Customer Data'!M94)</f>
        <v>Gaming Controller</v>
      </c>
      <c r="D94" s="2" t="s">
        <v>63</v>
      </c>
      <c r="E94" s="2" t="str">
        <f t="shared" si="1"/>
        <v>Bluetooth Speaker - Electronics</v>
      </c>
    </row>
    <row r="95" spans="1:5">
      <c r="A95" s="2">
        <v>101255</v>
      </c>
      <c r="B95" s="2" t="s">
        <v>52</v>
      </c>
      <c r="C95" s="2" t="str">
        <f>_xlfn.XLOOKUP(A95,'Customer Data'!B95,'Customer Data'!M95)</f>
        <v>Microphone</v>
      </c>
      <c r="D95" s="2" t="s">
        <v>34</v>
      </c>
      <c r="E95" s="2" t="str">
        <f t="shared" si="1"/>
        <v>Gaming Controller - Gaming</v>
      </c>
    </row>
    <row r="96" spans="1:5">
      <c r="A96" s="2">
        <v>100083</v>
      </c>
      <c r="B96" s="2" t="s">
        <v>43</v>
      </c>
      <c r="C96" s="2" t="str">
        <f>_xlfn.XLOOKUP(A96,'Customer Data'!B96,'Customer Data'!M96)</f>
        <v>Power Bank</v>
      </c>
      <c r="D96" s="2" t="s">
        <v>34</v>
      </c>
      <c r="E96" s="2" t="str">
        <f t="shared" si="1"/>
        <v>Microphone - Electronics</v>
      </c>
    </row>
    <row r="97" spans="1:5">
      <c r="A97" s="2">
        <v>102041</v>
      </c>
      <c r="B97" s="2" t="s">
        <v>48</v>
      </c>
      <c r="C97" s="2" t="str">
        <f>_xlfn.XLOOKUP(A97,'Customer Data'!B97,'Customer Data'!M97)</f>
        <v>HDMI Cable</v>
      </c>
      <c r="D97" s="2" t="s">
        <v>25</v>
      </c>
      <c r="E97" s="2" t="str">
        <f t="shared" si="1"/>
        <v>Power Bank - Electronics</v>
      </c>
    </row>
    <row r="98" spans="1:5">
      <c r="A98" s="2">
        <v>109236</v>
      </c>
      <c r="B98" s="2" t="s">
        <v>43</v>
      </c>
      <c r="C98" s="2" t="str">
        <f>_xlfn.XLOOKUP(A98,'Customer Data'!B98,'Customer Data'!M98)</f>
        <v>Backpack</v>
      </c>
      <c r="D98" s="2" t="s">
        <v>25</v>
      </c>
      <c r="E98" s="2" t="str">
        <f t="shared" si="1"/>
        <v>HDMI Cable - Accessories</v>
      </c>
    </row>
    <row r="99" spans="1:5">
      <c r="A99" s="2">
        <v>100300</v>
      </c>
      <c r="B99" s="2" t="s">
        <v>32</v>
      </c>
      <c r="C99" s="2" t="str">
        <f>_xlfn.XLOOKUP(A99,'Customer Data'!B99,'Customer Data'!M99)</f>
        <v>Laptop Stand</v>
      </c>
      <c r="D99" s="2" t="s">
        <v>25</v>
      </c>
      <c r="E99" s="2" t="str">
        <f t="shared" si="1"/>
        <v>Backpack - Accessories</v>
      </c>
    </row>
    <row r="100" spans="1:5">
      <c r="A100" s="2">
        <v>100163</v>
      </c>
      <c r="B100" s="2" t="s">
        <v>32</v>
      </c>
      <c r="C100" s="2" t="str">
        <f>_xlfn.XLOOKUP(A100,'Customer Data'!B100,'Customer Data'!M100)</f>
        <v>Phone Case</v>
      </c>
      <c r="D100" s="2" t="s">
        <v>25</v>
      </c>
      <c r="E100" s="2" t="str">
        <f t="shared" si="1"/>
        <v>Laptop Stand - Accessories</v>
      </c>
    </row>
    <row r="101" spans="1:5">
      <c r="A101" s="2">
        <v>100303</v>
      </c>
      <c r="B101" s="2" t="s">
        <v>38</v>
      </c>
      <c r="C101" s="2" t="str">
        <f>_xlfn.XLOOKUP(A101,'Customer Data'!B101,'Customer Data'!M101)</f>
        <v>Fitness Band</v>
      </c>
      <c r="D101" s="2" t="s">
        <v>59</v>
      </c>
      <c r="E101" s="2" t="str">
        <f t="shared" si="1"/>
        <v>Phone Case - Accessories</v>
      </c>
    </row>
    <row r="102" spans="1:5">
      <c r="A102" s="2">
        <v>107340</v>
      </c>
      <c r="B102" s="2" t="s">
        <v>48</v>
      </c>
      <c r="C102" s="2" t="str">
        <f>_xlfn.XLOOKUP(A102,'Customer Data'!B102,'Customer Data'!M102)</f>
        <v>Laptop Stand</v>
      </c>
      <c r="D102" s="2" t="s">
        <v>25</v>
      </c>
      <c r="E102" s="2" t="str">
        <f t="shared" si="1"/>
        <v>Fitness Band - Wearables</v>
      </c>
    </row>
    <row r="103" spans="1:5">
      <c r="A103" s="2">
        <v>108874</v>
      </c>
      <c r="B103" s="2" t="s">
        <v>52</v>
      </c>
      <c r="C103" s="2" t="str">
        <f>_xlfn.XLOOKUP(A103,'Customer Data'!B103,'Customer Data'!M103)</f>
        <v>Laptop Stand</v>
      </c>
      <c r="D103" s="2" t="s">
        <v>25</v>
      </c>
      <c r="E103" s="2" t="str">
        <f t="shared" si="1"/>
        <v>Laptop Stand - Accessories</v>
      </c>
    </row>
    <row r="104" spans="1:5">
      <c r="A104" s="2">
        <v>104487</v>
      </c>
      <c r="B104" s="2" t="s">
        <v>48</v>
      </c>
      <c r="C104" s="2" t="str">
        <f>_xlfn.XLOOKUP(A104,'Customer Data'!B104,'Customer Data'!M104)</f>
        <v>Bluetooth Speaker</v>
      </c>
      <c r="D104" s="2" t="s">
        <v>34</v>
      </c>
      <c r="E104" s="2" t="str">
        <f t="shared" si="1"/>
        <v>Laptop Stand - Accessories</v>
      </c>
    </row>
    <row r="105" spans="1:5">
      <c r="A105" s="2">
        <v>109797</v>
      </c>
      <c r="B105" s="2" t="s">
        <v>43</v>
      </c>
      <c r="C105" s="2" t="str">
        <f>_xlfn.XLOOKUP(A105,'Customer Data'!B105,'Customer Data'!M105)</f>
        <v>Headphones</v>
      </c>
      <c r="D105" s="2" t="s">
        <v>34</v>
      </c>
      <c r="E105" s="2" t="str">
        <f t="shared" si="1"/>
        <v>Bluetooth Speaker - Electronics</v>
      </c>
    </row>
    <row r="106" spans="1:5">
      <c r="A106" s="2">
        <v>103568</v>
      </c>
      <c r="B106" s="2" t="s">
        <v>43</v>
      </c>
      <c r="C106" s="2" t="str">
        <f>_xlfn.XLOOKUP(A106,'Customer Data'!B106,'Customer Data'!M106)</f>
        <v>Headphones</v>
      </c>
      <c r="D106" s="2" t="s">
        <v>34</v>
      </c>
      <c r="E106" s="2" t="str">
        <f t="shared" si="1"/>
        <v>Headphones - Electronics</v>
      </c>
    </row>
    <row r="107" spans="1:5">
      <c r="A107" s="2">
        <v>109290</v>
      </c>
      <c r="B107" s="2" t="s">
        <v>45</v>
      </c>
      <c r="C107" s="2" t="str">
        <f>_xlfn.XLOOKUP(A107,'Customer Data'!B107,'Customer Data'!M107)</f>
        <v>Microphone</v>
      </c>
      <c r="D107" s="2" t="s">
        <v>34</v>
      </c>
      <c r="E107" s="2" t="str">
        <f t="shared" si="1"/>
        <v>Headphones - Electronics</v>
      </c>
    </row>
    <row r="108" spans="1:5">
      <c r="A108" s="2">
        <v>104967</v>
      </c>
      <c r="B108" s="2" t="s">
        <v>45</v>
      </c>
      <c r="C108" s="2" t="str">
        <f>_xlfn.XLOOKUP(A108,'Customer Data'!B108,'Customer Data'!M108)</f>
        <v>HDMI Cable</v>
      </c>
      <c r="D108" s="2" t="s">
        <v>25</v>
      </c>
      <c r="E108" s="2" t="str">
        <f t="shared" si="1"/>
        <v>Microphone - Electronics</v>
      </c>
    </row>
    <row r="109" spans="1:5">
      <c r="A109" s="2">
        <v>103549</v>
      </c>
      <c r="B109" s="2" t="s">
        <v>38</v>
      </c>
      <c r="C109" s="2" t="str">
        <f>_xlfn.XLOOKUP(A109,'Customer Data'!B109,'Customer Data'!M109)</f>
        <v>USB-C Cable</v>
      </c>
      <c r="D109" s="2" t="s">
        <v>25</v>
      </c>
      <c r="E109" s="2" t="str">
        <f t="shared" si="1"/>
        <v>HDMI Cable - Accessories</v>
      </c>
    </row>
    <row r="110" spans="1:5">
      <c r="A110" s="2">
        <v>108820</v>
      </c>
      <c r="B110" s="2" t="s">
        <v>22</v>
      </c>
      <c r="C110" s="2" t="str">
        <f>_xlfn.XLOOKUP(A110,'Customer Data'!B110,'Customer Data'!M110)</f>
        <v>USB-C Cable</v>
      </c>
      <c r="D110" s="2" t="s">
        <v>25</v>
      </c>
      <c r="E110" s="2" t="str">
        <f t="shared" si="1"/>
        <v>USB-C Cable - Accessories</v>
      </c>
    </row>
    <row r="111" spans="1:5">
      <c r="A111" s="2">
        <v>100737</v>
      </c>
      <c r="B111" s="2" t="s">
        <v>48</v>
      </c>
      <c r="C111" s="2" t="str">
        <f>_xlfn.XLOOKUP(A111,'Customer Data'!B111,'Customer Data'!M111)</f>
        <v>Laptop Stand</v>
      </c>
      <c r="D111" s="2" t="s">
        <v>25</v>
      </c>
      <c r="E111" s="2" t="str">
        <f t="shared" si="1"/>
        <v>USB-C Cable - Accessories</v>
      </c>
    </row>
    <row r="112" spans="1:5">
      <c r="A112" s="2">
        <v>101140</v>
      </c>
      <c r="B112" s="2" t="s">
        <v>43</v>
      </c>
      <c r="C112" s="2" t="str">
        <f>_xlfn.XLOOKUP(A112,'Customer Data'!B112,'Customer Data'!M112)</f>
        <v>Notebook</v>
      </c>
      <c r="D112" s="2" t="s">
        <v>54</v>
      </c>
      <c r="E112" s="2" t="str">
        <f t="shared" si="1"/>
        <v>Laptop Stand - Accessories</v>
      </c>
    </row>
    <row r="113" spans="1:5">
      <c r="A113" s="2">
        <v>107642</v>
      </c>
      <c r="B113" s="2" t="s">
        <v>35</v>
      </c>
      <c r="C113" s="2" t="str">
        <f>_xlfn.XLOOKUP(A113,'Customer Data'!B113,'Customer Data'!M113)</f>
        <v>Headphones</v>
      </c>
      <c r="D113" s="2" t="s">
        <v>34</v>
      </c>
      <c r="E113" s="2" t="str">
        <f t="shared" si="1"/>
        <v>Notebook - Stationery</v>
      </c>
    </row>
    <row r="114" spans="1:5">
      <c r="A114" s="2">
        <v>109188</v>
      </c>
      <c r="B114" s="2" t="s">
        <v>43</v>
      </c>
      <c r="C114" s="2" t="str">
        <f>_xlfn.XLOOKUP(A114,'Customer Data'!B114,'Customer Data'!M114)</f>
        <v>Phone Case</v>
      </c>
      <c r="D114" s="2" t="s">
        <v>25</v>
      </c>
      <c r="E114" s="2" t="str">
        <f t="shared" si="1"/>
        <v>Headphones - Electronics</v>
      </c>
    </row>
    <row r="115" spans="1:5">
      <c r="A115" s="2">
        <v>102851</v>
      </c>
      <c r="B115" s="2" t="s">
        <v>35</v>
      </c>
      <c r="C115" s="2" t="str">
        <f>_xlfn.XLOOKUP(A115,'Customer Data'!B115,'Customer Data'!M115)</f>
        <v>Wireless Mouse</v>
      </c>
      <c r="D115" s="2" t="s">
        <v>34</v>
      </c>
      <c r="E115" s="2" t="str">
        <f t="shared" si="1"/>
        <v>Phone Case - Accessories</v>
      </c>
    </row>
    <row r="116" spans="1:5">
      <c r="A116" s="2">
        <v>106117</v>
      </c>
      <c r="B116" s="2" t="s">
        <v>32</v>
      </c>
      <c r="C116" s="2" t="str">
        <f>_xlfn.XLOOKUP(A116,'Customer Data'!B116,'Customer Data'!M116)</f>
        <v>Phone Case</v>
      </c>
      <c r="D116" s="2" t="s">
        <v>25</v>
      </c>
      <c r="E116" s="2" t="str">
        <f t="shared" si="1"/>
        <v>Wireless Mouse - Electronics</v>
      </c>
    </row>
    <row r="117" spans="1:5">
      <c r="A117" s="2">
        <v>101946</v>
      </c>
      <c r="B117" s="2" t="s">
        <v>38</v>
      </c>
      <c r="C117" s="2" t="str">
        <f>_xlfn.XLOOKUP(A117,'Customer Data'!B117,'Customer Data'!M117)</f>
        <v>Laptop Stand</v>
      </c>
      <c r="D117" s="2" t="s">
        <v>25</v>
      </c>
      <c r="E117" s="2" t="str">
        <f t="shared" si="1"/>
        <v>Phone Case - Accessories</v>
      </c>
    </row>
    <row r="118" spans="1:5">
      <c r="A118" s="2">
        <v>101651</v>
      </c>
      <c r="B118" s="2" t="s">
        <v>48</v>
      </c>
      <c r="C118" s="2" t="str">
        <f>_xlfn.XLOOKUP(A118,'Customer Data'!B118,'Customer Data'!M118)</f>
        <v>Headphones</v>
      </c>
      <c r="D118" s="2" t="s">
        <v>34</v>
      </c>
      <c r="E118" s="2" t="str">
        <f t="shared" si="1"/>
        <v>Laptop Stand - Accessories</v>
      </c>
    </row>
    <row r="119" spans="1:5">
      <c r="A119" s="2">
        <v>104593</v>
      </c>
      <c r="B119" s="2" t="s">
        <v>52</v>
      </c>
      <c r="C119" s="2" t="str">
        <f>_xlfn.XLOOKUP(A119,'Customer Data'!B119,'Customer Data'!M119)</f>
        <v>Wireless Mouse</v>
      </c>
      <c r="D119" s="2" t="s">
        <v>34</v>
      </c>
      <c r="E119" s="2" t="str">
        <f t="shared" si="1"/>
        <v>Headphones - Electronics</v>
      </c>
    </row>
    <row r="120" spans="1:5">
      <c r="A120" s="2">
        <v>109488</v>
      </c>
      <c r="B120" s="2" t="s">
        <v>22</v>
      </c>
      <c r="C120" s="2" t="str">
        <f>_xlfn.XLOOKUP(A120,'Customer Data'!B120,'Customer Data'!M120)</f>
        <v>Phone Case</v>
      </c>
      <c r="D120" s="2" t="s">
        <v>25</v>
      </c>
      <c r="E120" s="2" t="str">
        <f t="shared" si="1"/>
        <v>Wireless Mouse - Electronics</v>
      </c>
    </row>
    <row r="121" spans="1:5">
      <c r="A121" s="2">
        <v>100808</v>
      </c>
      <c r="B121" s="2" t="s">
        <v>55</v>
      </c>
      <c r="C121" s="2" t="str">
        <f>_xlfn.XLOOKUP(A121,'Customer Data'!B121,'Customer Data'!M121)</f>
        <v>Office Chair</v>
      </c>
      <c r="D121" s="2" t="s">
        <v>37</v>
      </c>
      <c r="E121" s="2" t="str">
        <f t="shared" si="1"/>
        <v>Phone Case - Accessories</v>
      </c>
    </row>
    <row r="122" spans="1:5">
      <c r="A122" s="2">
        <v>108989</v>
      </c>
      <c r="B122" s="2" t="s">
        <v>55</v>
      </c>
      <c r="C122" s="2" t="str">
        <f>_xlfn.XLOOKUP(A122,'Customer Data'!B122,'Customer Data'!M122)</f>
        <v>Phone Case</v>
      </c>
      <c r="D122" s="2" t="s">
        <v>25</v>
      </c>
      <c r="E122" s="2" t="str">
        <f t="shared" si="1"/>
        <v>Office Chair - Home Office</v>
      </c>
    </row>
    <row r="123" spans="1:5">
      <c r="A123" s="2">
        <v>100247</v>
      </c>
      <c r="B123" s="2" t="s">
        <v>43</v>
      </c>
      <c r="C123" s="2" t="str">
        <f>_xlfn.XLOOKUP(A123,'Customer Data'!B123,'Customer Data'!M123)</f>
        <v>Mechanical Keyboard</v>
      </c>
      <c r="D123" s="2" t="s">
        <v>34</v>
      </c>
      <c r="E123" s="2" t="str">
        <f t="shared" si="1"/>
        <v>Phone Case - Accessories</v>
      </c>
    </row>
    <row r="124" spans="1:5">
      <c r="A124" s="2">
        <v>109971</v>
      </c>
      <c r="B124" s="2" t="s">
        <v>38</v>
      </c>
      <c r="C124" s="2" t="str">
        <f>_xlfn.XLOOKUP(A124,'Customer Data'!B124,'Customer Data'!M124)</f>
        <v>Headphones</v>
      </c>
      <c r="D124" s="2" t="s">
        <v>34</v>
      </c>
      <c r="E124" s="2" t="str">
        <f t="shared" si="1"/>
        <v>Mechanical Keyboard - Electronics</v>
      </c>
    </row>
    <row r="125" spans="1:5">
      <c r="A125" s="2">
        <v>105041</v>
      </c>
      <c r="B125" s="2" t="s">
        <v>32</v>
      </c>
      <c r="C125" s="2" t="str">
        <f>_xlfn.XLOOKUP(A125,'Customer Data'!B125,'Customer Data'!M125)</f>
        <v>Laptop Stand</v>
      </c>
      <c r="D125" s="2" t="s">
        <v>25</v>
      </c>
      <c r="E125" s="2" t="str">
        <f t="shared" si="1"/>
        <v>Headphones - Electronics</v>
      </c>
    </row>
    <row r="126" spans="1:5">
      <c r="A126" s="2">
        <v>108080</v>
      </c>
      <c r="B126" s="2" t="s">
        <v>28</v>
      </c>
      <c r="C126" s="2" t="str">
        <f>_xlfn.XLOOKUP(A126,'Customer Data'!B126,'Customer Data'!M126)</f>
        <v>Headphones</v>
      </c>
      <c r="D126" s="2" t="s">
        <v>34</v>
      </c>
      <c r="E126" s="2" t="str">
        <f t="shared" si="1"/>
        <v>Laptop Stand - Accessories</v>
      </c>
    </row>
    <row r="127" spans="1:5">
      <c r="A127" s="2">
        <v>106290</v>
      </c>
      <c r="B127" s="2" t="s">
        <v>32</v>
      </c>
      <c r="C127" s="2" t="str">
        <f>_xlfn.XLOOKUP(A127,'Customer Data'!B127,'Customer Data'!M127)</f>
        <v>Backpack</v>
      </c>
      <c r="D127" s="2" t="s">
        <v>25</v>
      </c>
      <c r="E127" s="2" t="str">
        <f t="shared" si="1"/>
        <v>Headphones - Electronics</v>
      </c>
    </row>
    <row r="128" spans="1:5">
      <c r="A128" s="2">
        <v>108436</v>
      </c>
      <c r="B128" s="2" t="s">
        <v>43</v>
      </c>
      <c r="C128" s="2" t="str">
        <f>_xlfn.XLOOKUP(A128,'Customer Data'!B128,'Customer Data'!M128)</f>
        <v>Tablet</v>
      </c>
      <c r="D128" s="2" t="s">
        <v>34</v>
      </c>
      <c r="E128" s="2" t="str">
        <f t="shared" si="1"/>
        <v>Backpack - Accessories</v>
      </c>
    </row>
    <row r="129" spans="1:5">
      <c r="A129" s="2">
        <v>106102</v>
      </c>
      <c r="B129" s="2" t="s">
        <v>32</v>
      </c>
      <c r="C129" s="2" t="str">
        <f>_xlfn.XLOOKUP(A129,'Customer Data'!B129,'Customer Data'!M129)</f>
        <v>Office Chair</v>
      </c>
      <c r="D129" s="2" t="s">
        <v>37</v>
      </c>
      <c r="E129" s="2" t="str">
        <f t="shared" si="1"/>
        <v>Tablet - Electronics</v>
      </c>
    </row>
    <row r="130" spans="1:5">
      <c r="A130" s="2">
        <v>101553</v>
      </c>
      <c r="B130" s="2" t="s">
        <v>55</v>
      </c>
      <c r="C130" s="2" t="str">
        <f>_xlfn.XLOOKUP(A130,'Customer Data'!B130,'Customer Data'!M130)</f>
        <v>Headphones</v>
      </c>
      <c r="D130" s="2" t="s">
        <v>34</v>
      </c>
      <c r="E130" s="2" t="str">
        <f t="shared" si="1"/>
        <v>Office Chair - Home Office</v>
      </c>
    </row>
    <row r="131" spans="1:5">
      <c r="A131" s="2">
        <v>100253</v>
      </c>
      <c r="B131" s="2" t="s">
        <v>32</v>
      </c>
      <c r="C131" s="2" t="str">
        <f>_xlfn.XLOOKUP(A131,'Customer Data'!B131,'Customer Data'!M131)</f>
        <v>Phone Case</v>
      </c>
      <c r="D131" s="2" t="s">
        <v>25</v>
      </c>
      <c r="E131" s="2" t="str">
        <f t="shared" ref="E131:E194" si="2">CONCATENATE(C130," - ",D130)</f>
        <v>Headphones - Electronics</v>
      </c>
    </row>
    <row r="132" spans="1:5">
      <c r="A132" s="2">
        <v>108318</v>
      </c>
      <c r="B132" s="2" t="s">
        <v>45</v>
      </c>
      <c r="C132" s="2" t="str">
        <f>_xlfn.XLOOKUP(A132,'Customer Data'!B132,'Customer Data'!M132)</f>
        <v>HDMI Cable</v>
      </c>
      <c r="D132" s="2" t="s">
        <v>25</v>
      </c>
      <c r="E132" s="2" t="str">
        <f t="shared" si="2"/>
        <v>Phone Case - Accessories</v>
      </c>
    </row>
    <row r="133" spans="1:5">
      <c r="A133" s="2">
        <v>100871</v>
      </c>
      <c r="B133" s="2" t="s">
        <v>48</v>
      </c>
      <c r="C133" s="2" t="str">
        <f>_xlfn.XLOOKUP(A133,'Customer Data'!B133,'Customer Data'!M133)</f>
        <v>HDMI Cable</v>
      </c>
      <c r="D133" s="2" t="s">
        <v>25</v>
      </c>
      <c r="E133" s="2" t="str">
        <f t="shared" si="2"/>
        <v>HDMI Cable - Accessories</v>
      </c>
    </row>
    <row r="134" spans="1:5">
      <c r="A134" s="2">
        <v>107244</v>
      </c>
      <c r="B134" s="2" t="s">
        <v>22</v>
      </c>
      <c r="C134" s="2" t="str">
        <f>_xlfn.XLOOKUP(A134,'Customer Data'!B134,'Customer Data'!M134)</f>
        <v>HDMI Cable</v>
      </c>
      <c r="D134" s="2" t="s">
        <v>25</v>
      </c>
      <c r="E134" s="2" t="str">
        <f t="shared" si="2"/>
        <v>HDMI Cable - Accessories</v>
      </c>
    </row>
    <row r="135" spans="1:5">
      <c r="A135" s="2">
        <v>101858</v>
      </c>
      <c r="B135" s="2" t="s">
        <v>45</v>
      </c>
      <c r="C135" s="2" t="str">
        <f>_xlfn.XLOOKUP(A135,'Customer Data'!B135,'Customer Data'!M135)</f>
        <v>Microphone</v>
      </c>
      <c r="D135" s="2" t="s">
        <v>34</v>
      </c>
      <c r="E135" s="2" t="str">
        <f t="shared" si="2"/>
        <v>HDMI Cable - Accessories</v>
      </c>
    </row>
    <row r="136" spans="1:5">
      <c r="A136" s="2">
        <v>106607</v>
      </c>
      <c r="B136" s="2" t="s">
        <v>48</v>
      </c>
      <c r="C136" s="2" t="str">
        <f>_xlfn.XLOOKUP(A136,'Customer Data'!B136,'Customer Data'!M136)</f>
        <v>HDMI Cable</v>
      </c>
      <c r="D136" s="2" t="s">
        <v>25</v>
      </c>
      <c r="E136" s="2" t="str">
        <f t="shared" si="2"/>
        <v>Microphone - Electronics</v>
      </c>
    </row>
    <row r="137" spans="1:5">
      <c r="A137" s="2">
        <v>103340</v>
      </c>
      <c r="B137" s="2" t="s">
        <v>38</v>
      </c>
      <c r="C137" s="2" t="str">
        <f>_xlfn.XLOOKUP(A137,'Customer Data'!B137,'Customer Data'!M137)</f>
        <v>Headphones</v>
      </c>
      <c r="D137" s="2" t="s">
        <v>34</v>
      </c>
      <c r="E137" s="2" t="str">
        <f t="shared" si="2"/>
        <v>HDMI Cable - Accessories</v>
      </c>
    </row>
    <row r="138" spans="1:5">
      <c r="A138" s="2">
        <v>108835</v>
      </c>
      <c r="B138" s="2" t="s">
        <v>38</v>
      </c>
      <c r="C138" s="2" t="str">
        <f>_xlfn.XLOOKUP(A138,'Customer Data'!B138,'Customer Data'!M138)</f>
        <v>Desk Lamp</v>
      </c>
      <c r="D138" s="2" t="s">
        <v>37</v>
      </c>
      <c r="E138" s="2" t="str">
        <f t="shared" si="2"/>
        <v>Headphones - Electronics</v>
      </c>
    </row>
    <row r="139" spans="1:5">
      <c r="A139" s="2">
        <v>107286</v>
      </c>
      <c r="B139" s="2" t="s">
        <v>32</v>
      </c>
      <c r="C139" s="2" t="str">
        <f>_xlfn.XLOOKUP(A139,'Customer Data'!B139,'Customer Data'!M139)</f>
        <v>Phone Case</v>
      </c>
      <c r="D139" s="2" t="s">
        <v>25</v>
      </c>
      <c r="E139" s="2" t="str">
        <f t="shared" si="2"/>
        <v>Desk Lamp - Home Office</v>
      </c>
    </row>
    <row r="140" spans="1:5">
      <c r="A140" s="2">
        <v>104773</v>
      </c>
      <c r="B140" s="2" t="s">
        <v>38</v>
      </c>
      <c r="C140" s="2" t="str">
        <f>_xlfn.XLOOKUP(A140,'Customer Data'!B140,'Customer Data'!M140)</f>
        <v>Fitness Band</v>
      </c>
      <c r="D140" s="2" t="s">
        <v>59</v>
      </c>
      <c r="E140" s="2" t="str">
        <f t="shared" si="2"/>
        <v>Phone Case - Accessories</v>
      </c>
    </row>
    <row r="141" spans="1:5">
      <c r="A141" s="2">
        <v>100252</v>
      </c>
      <c r="B141" s="2" t="s">
        <v>32</v>
      </c>
      <c r="C141" s="2" t="str">
        <f>_xlfn.XLOOKUP(A141,'Customer Data'!B141,'Customer Data'!M141)</f>
        <v>Fitness Band</v>
      </c>
      <c r="D141" s="2" t="s">
        <v>59</v>
      </c>
      <c r="E141" s="2" t="str">
        <f t="shared" si="2"/>
        <v>Fitness Band - Wearables</v>
      </c>
    </row>
    <row r="142" spans="1:5">
      <c r="A142" s="2">
        <v>103103</v>
      </c>
      <c r="B142" s="2" t="s">
        <v>38</v>
      </c>
      <c r="C142" s="2" t="str">
        <f>_xlfn.XLOOKUP(A142,'Customer Data'!B142,'Customer Data'!M142)</f>
        <v>Monitor</v>
      </c>
      <c r="D142" s="2" t="s">
        <v>34</v>
      </c>
      <c r="E142" s="2" t="str">
        <f t="shared" si="2"/>
        <v>Fitness Band - Wearables</v>
      </c>
    </row>
    <row r="143" spans="1:5">
      <c r="A143" s="2">
        <v>107442</v>
      </c>
      <c r="B143" s="2" t="s">
        <v>48</v>
      </c>
      <c r="C143" s="2" t="str">
        <f>_xlfn.XLOOKUP(A143,'Customer Data'!B143,'Customer Data'!M143)</f>
        <v>Phone Case</v>
      </c>
      <c r="D143" s="2" t="s">
        <v>25</v>
      </c>
      <c r="E143" s="2" t="str">
        <f t="shared" si="2"/>
        <v>Monitor - Electronics</v>
      </c>
    </row>
    <row r="144" spans="1:5">
      <c r="A144" s="2">
        <v>107442</v>
      </c>
      <c r="B144" s="2" t="s">
        <v>48</v>
      </c>
      <c r="C144" s="2" t="str">
        <f>_xlfn.XLOOKUP(A144,'Customer Data'!B144,'Customer Data'!M144)</f>
        <v>Smart Watch</v>
      </c>
      <c r="D144" s="2" t="s">
        <v>59</v>
      </c>
      <c r="E144" s="2" t="str">
        <f t="shared" si="2"/>
        <v>Phone Case - Accessories</v>
      </c>
    </row>
    <row r="145" spans="1:5">
      <c r="A145" s="2">
        <v>104242</v>
      </c>
      <c r="B145" s="2" t="s">
        <v>43</v>
      </c>
      <c r="C145" s="2" t="str">
        <f>_xlfn.XLOOKUP(A145,'Customer Data'!B145,'Customer Data'!M145)</f>
        <v>Fitness Band</v>
      </c>
      <c r="D145" s="2" t="s">
        <v>59</v>
      </c>
      <c r="E145" s="2" t="str">
        <f t="shared" si="2"/>
        <v>Smart Watch - Wearables</v>
      </c>
    </row>
    <row r="146" spans="1:5">
      <c r="A146" s="2">
        <v>103890</v>
      </c>
      <c r="B146" s="2" t="s">
        <v>32</v>
      </c>
      <c r="C146" s="2" t="str">
        <f>_xlfn.XLOOKUP(A146,'Customer Data'!B146,'Customer Data'!M146)</f>
        <v>Notebook</v>
      </c>
      <c r="D146" s="2" t="s">
        <v>54</v>
      </c>
      <c r="E146" s="2" t="str">
        <f t="shared" si="2"/>
        <v>Fitness Band - Wearables</v>
      </c>
    </row>
    <row r="147" spans="1:5">
      <c r="A147" s="2">
        <v>105747</v>
      </c>
      <c r="B147" s="2" t="s">
        <v>43</v>
      </c>
      <c r="C147" s="2" t="str">
        <f>_xlfn.XLOOKUP(A147,'Customer Data'!B147,'Customer Data'!M147)</f>
        <v>Smart Watch</v>
      </c>
      <c r="D147" s="2" t="s">
        <v>59</v>
      </c>
      <c r="E147" s="2" t="str">
        <f t="shared" si="2"/>
        <v>Notebook - Stationery</v>
      </c>
    </row>
    <row r="148" spans="1:5">
      <c r="A148" s="2">
        <v>104546</v>
      </c>
      <c r="B148" s="2" t="s">
        <v>32</v>
      </c>
      <c r="C148" s="2" t="str">
        <f>_xlfn.XLOOKUP(A148,'Customer Data'!B148,'Customer Data'!M148)</f>
        <v>Backpack</v>
      </c>
      <c r="D148" s="2" t="s">
        <v>25</v>
      </c>
      <c r="E148" s="2" t="str">
        <f t="shared" si="2"/>
        <v>Smart Watch - Wearables</v>
      </c>
    </row>
    <row r="149" spans="1:5">
      <c r="A149" s="2">
        <v>104785</v>
      </c>
      <c r="B149" s="2" t="s">
        <v>35</v>
      </c>
      <c r="C149" s="2" t="str">
        <f>_xlfn.XLOOKUP(A149,'Customer Data'!B149,'Customer Data'!M149)</f>
        <v>Webcam</v>
      </c>
      <c r="D149" s="2" t="s">
        <v>34</v>
      </c>
      <c r="E149" s="2" t="str">
        <f t="shared" si="2"/>
        <v>Backpack - Accessories</v>
      </c>
    </row>
    <row r="150" spans="1:5">
      <c r="A150" s="2">
        <v>101032</v>
      </c>
      <c r="B150" s="2" t="s">
        <v>43</v>
      </c>
      <c r="C150" s="2" t="str">
        <f>_xlfn.XLOOKUP(A150,'Customer Data'!B150,'Customer Data'!M150)</f>
        <v>Office Chair</v>
      </c>
      <c r="D150" s="2" t="s">
        <v>37</v>
      </c>
      <c r="E150" s="2" t="str">
        <f t="shared" si="2"/>
        <v>Webcam - Electronics</v>
      </c>
    </row>
    <row r="151" spans="1:5">
      <c r="A151" s="2">
        <v>108727</v>
      </c>
      <c r="B151" s="2" t="s">
        <v>43</v>
      </c>
      <c r="C151" s="2" t="str">
        <f>_xlfn.XLOOKUP(A151,'Customer Data'!B151,'Customer Data'!M151)</f>
        <v>Microphone</v>
      </c>
      <c r="D151" s="2" t="s">
        <v>34</v>
      </c>
      <c r="E151" s="2" t="str">
        <f t="shared" si="2"/>
        <v>Office Chair - Home Office</v>
      </c>
    </row>
    <row r="152" spans="1:5">
      <c r="A152" s="2">
        <v>102971</v>
      </c>
      <c r="B152" s="2" t="s">
        <v>48</v>
      </c>
      <c r="C152" s="2" t="str">
        <f>_xlfn.XLOOKUP(A152,'Customer Data'!B152,'Customer Data'!M152)</f>
        <v>Headphones</v>
      </c>
      <c r="D152" s="2" t="s">
        <v>34</v>
      </c>
      <c r="E152" s="2" t="str">
        <f t="shared" si="2"/>
        <v>Microphone - Electronics</v>
      </c>
    </row>
    <row r="153" spans="1:5">
      <c r="A153" s="2">
        <v>103997</v>
      </c>
      <c r="B153" s="2" t="s">
        <v>55</v>
      </c>
      <c r="C153" s="2" t="str">
        <f>_xlfn.XLOOKUP(A153,'Customer Data'!B153,'Customer Data'!M153)</f>
        <v>USB-C Cable</v>
      </c>
      <c r="D153" s="2" t="s">
        <v>25</v>
      </c>
      <c r="E153" s="2" t="str">
        <f t="shared" si="2"/>
        <v>Headphones - Electronics</v>
      </c>
    </row>
    <row r="154" spans="1:5">
      <c r="A154" s="2">
        <v>103396</v>
      </c>
      <c r="B154" s="2" t="s">
        <v>35</v>
      </c>
      <c r="C154" s="2" t="str">
        <f>_xlfn.XLOOKUP(A154,'Customer Data'!B154,'Customer Data'!M154)</f>
        <v>Backpack</v>
      </c>
      <c r="D154" s="2" t="s">
        <v>25</v>
      </c>
      <c r="E154" s="2" t="str">
        <f t="shared" si="2"/>
        <v>USB-C Cable - Accessories</v>
      </c>
    </row>
    <row r="155" spans="1:5">
      <c r="A155" s="2">
        <v>109573</v>
      </c>
      <c r="B155" s="2" t="s">
        <v>32</v>
      </c>
      <c r="C155" s="2" t="str">
        <f>_xlfn.XLOOKUP(A155,'Customer Data'!B155,'Customer Data'!M155)</f>
        <v>Backpack</v>
      </c>
      <c r="D155" s="2" t="s">
        <v>25</v>
      </c>
      <c r="E155" s="2" t="str">
        <f t="shared" si="2"/>
        <v>Backpack - Accessories</v>
      </c>
    </row>
    <row r="156" spans="1:5">
      <c r="A156" s="2">
        <v>109579</v>
      </c>
      <c r="B156" s="2" t="s">
        <v>32</v>
      </c>
      <c r="C156" s="2" t="str">
        <f>_xlfn.XLOOKUP(A156,'Customer Data'!B156,'Customer Data'!M156)</f>
        <v>Smart Watch</v>
      </c>
      <c r="D156" s="2" t="s">
        <v>59</v>
      </c>
      <c r="E156" s="2" t="str">
        <f t="shared" si="2"/>
        <v>Backpack - Accessories</v>
      </c>
    </row>
    <row r="157" spans="1:5">
      <c r="A157" s="2">
        <v>109132</v>
      </c>
      <c r="B157" s="2" t="s">
        <v>28</v>
      </c>
      <c r="C157" s="2" t="str">
        <f>_xlfn.XLOOKUP(A157,'Customer Data'!B157,'Customer Data'!M157)</f>
        <v>USB-C Cable</v>
      </c>
      <c r="D157" s="2" t="s">
        <v>25</v>
      </c>
      <c r="E157" s="2" t="str">
        <f t="shared" si="2"/>
        <v>Smart Watch - Wearables</v>
      </c>
    </row>
    <row r="158" spans="1:5">
      <c r="A158" s="2">
        <v>105558</v>
      </c>
      <c r="B158" s="2" t="s">
        <v>32</v>
      </c>
      <c r="C158" s="2" t="str">
        <f>_xlfn.XLOOKUP(A158,'Customer Data'!B158,'Customer Data'!M158)</f>
        <v>Headphones</v>
      </c>
      <c r="D158" s="2" t="s">
        <v>34</v>
      </c>
      <c r="E158" s="2" t="str">
        <f t="shared" si="2"/>
        <v>USB-C Cable - Accessories</v>
      </c>
    </row>
    <row r="159" spans="1:5">
      <c r="A159" s="2">
        <v>103309</v>
      </c>
      <c r="B159" s="2" t="s">
        <v>45</v>
      </c>
      <c r="C159" s="2" t="str">
        <f>_xlfn.XLOOKUP(A159,'Customer Data'!B159,'Customer Data'!M159)</f>
        <v>Monitor</v>
      </c>
      <c r="D159" s="2" t="s">
        <v>34</v>
      </c>
      <c r="E159" s="2" t="str">
        <f t="shared" si="2"/>
        <v>Headphones - Electronics</v>
      </c>
    </row>
    <row r="160" spans="1:5">
      <c r="A160" s="2">
        <v>101330</v>
      </c>
      <c r="B160" s="2" t="s">
        <v>32</v>
      </c>
      <c r="C160" s="2" t="str">
        <f>_xlfn.XLOOKUP(A160,'Customer Data'!B160,'Customer Data'!M160)</f>
        <v>Backpack</v>
      </c>
      <c r="D160" s="2" t="s">
        <v>25</v>
      </c>
      <c r="E160" s="2" t="str">
        <f t="shared" si="2"/>
        <v>Monitor - Electronics</v>
      </c>
    </row>
    <row r="161" spans="1:5">
      <c r="A161" s="2">
        <v>105525</v>
      </c>
      <c r="B161" s="2" t="s">
        <v>52</v>
      </c>
      <c r="C161" s="2" t="str">
        <f>_xlfn.XLOOKUP(A161,'Customer Data'!B161,'Customer Data'!M161)</f>
        <v>Webcam</v>
      </c>
      <c r="D161" s="2" t="s">
        <v>34</v>
      </c>
      <c r="E161" s="2" t="str">
        <f t="shared" si="2"/>
        <v>Backpack - Accessories</v>
      </c>
    </row>
    <row r="162" spans="1:5">
      <c r="A162" s="2">
        <v>107488</v>
      </c>
      <c r="B162" s="2" t="s">
        <v>43</v>
      </c>
      <c r="C162" s="2" t="str">
        <f>_xlfn.XLOOKUP(A162,'Customer Data'!B162,'Customer Data'!M162)</f>
        <v>Power Bank</v>
      </c>
      <c r="D162" s="2" t="s">
        <v>34</v>
      </c>
      <c r="E162" s="2" t="str">
        <f t="shared" si="2"/>
        <v>Webcam - Electronics</v>
      </c>
    </row>
    <row r="163" spans="1:5">
      <c r="A163" s="2">
        <v>106784</v>
      </c>
      <c r="B163" s="2" t="s">
        <v>38</v>
      </c>
      <c r="C163" s="2" t="str">
        <f>_xlfn.XLOOKUP(A163,'Customer Data'!B163,'Customer Data'!M163)</f>
        <v>USB-C Cable</v>
      </c>
      <c r="D163" s="2" t="s">
        <v>25</v>
      </c>
      <c r="E163" s="2" t="str">
        <f t="shared" si="2"/>
        <v>Power Bank - Electronics</v>
      </c>
    </row>
    <row r="164" spans="1:5">
      <c r="A164" s="2">
        <v>109289</v>
      </c>
      <c r="B164" s="2" t="s">
        <v>45</v>
      </c>
      <c r="C164" s="2" t="str">
        <f>_xlfn.XLOOKUP(A164,'Customer Data'!B164,'Customer Data'!M164)</f>
        <v>Headphones</v>
      </c>
      <c r="D164" s="2" t="s">
        <v>34</v>
      </c>
      <c r="E164" s="2" t="str">
        <f t="shared" si="2"/>
        <v>USB-C Cable - Accessories</v>
      </c>
    </row>
    <row r="165" spans="1:5">
      <c r="A165" s="2">
        <v>109697</v>
      </c>
      <c r="B165" s="2" t="s">
        <v>32</v>
      </c>
      <c r="C165" s="2" t="str">
        <f>_xlfn.XLOOKUP(A165,'Customer Data'!B165,'Customer Data'!M165)</f>
        <v>Power Bank</v>
      </c>
      <c r="D165" s="2" t="s">
        <v>34</v>
      </c>
      <c r="E165" s="2" t="str">
        <f t="shared" si="2"/>
        <v>Headphones - Electronics</v>
      </c>
    </row>
    <row r="166" spans="1:5">
      <c r="A166" s="2">
        <v>100360</v>
      </c>
      <c r="B166" s="2" t="s">
        <v>22</v>
      </c>
      <c r="C166" s="2" t="str">
        <f>_xlfn.XLOOKUP(A166,'Customer Data'!B166,'Customer Data'!M166)</f>
        <v>Phone Case</v>
      </c>
      <c r="D166" s="2" t="s">
        <v>25</v>
      </c>
      <c r="E166" s="2" t="str">
        <f t="shared" si="2"/>
        <v>Power Bank - Electronics</v>
      </c>
    </row>
    <row r="167" spans="1:5">
      <c r="A167" s="2">
        <v>104134</v>
      </c>
      <c r="B167" s="2" t="s">
        <v>35</v>
      </c>
      <c r="C167" s="2" t="str">
        <f>_xlfn.XLOOKUP(A167,'Customer Data'!B167,'Customer Data'!M167)</f>
        <v>USB-C Cable</v>
      </c>
      <c r="D167" s="2" t="s">
        <v>25</v>
      </c>
      <c r="E167" s="2" t="str">
        <f t="shared" si="2"/>
        <v>Phone Case - Accessories</v>
      </c>
    </row>
    <row r="168" spans="1:5">
      <c r="A168" s="2">
        <v>105228</v>
      </c>
      <c r="B168" s="2" t="s">
        <v>32</v>
      </c>
      <c r="C168" s="2" t="str">
        <f>_xlfn.XLOOKUP(A168,'Customer Data'!B168,'Customer Data'!M168)</f>
        <v>Phone Case</v>
      </c>
      <c r="D168" s="2" t="s">
        <v>25</v>
      </c>
      <c r="E168" s="2" t="str">
        <f t="shared" si="2"/>
        <v>USB-C Cable - Accessories</v>
      </c>
    </row>
    <row r="169" spans="1:5">
      <c r="A169" s="2">
        <v>105936</v>
      </c>
      <c r="B169" s="2" t="s">
        <v>32</v>
      </c>
      <c r="C169" s="2" t="str">
        <f>_xlfn.XLOOKUP(A169,'Customer Data'!B169,'Customer Data'!M169)</f>
        <v>Desk Lamp</v>
      </c>
      <c r="D169" s="2" t="s">
        <v>37</v>
      </c>
      <c r="E169" s="2" t="str">
        <f t="shared" si="2"/>
        <v>Phone Case - Accessories</v>
      </c>
    </row>
    <row r="170" spans="1:5">
      <c r="A170" s="2">
        <v>104045</v>
      </c>
      <c r="B170" s="2" t="s">
        <v>45</v>
      </c>
      <c r="C170" s="2" t="str">
        <f>_xlfn.XLOOKUP(A170,'Customer Data'!B170,'Customer Data'!M170)</f>
        <v>Wireless Mouse</v>
      </c>
      <c r="D170" s="2" t="s">
        <v>34</v>
      </c>
      <c r="E170" s="2" t="str">
        <f t="shared" si="2"/>
        <v>Desk Lamp - Home Office</v>
      </c>
    </row>
    <row r="171" spans="1:5">
      <c r="A171" s="2">
        <v>106613</v>
      </c>
      <c r="B171" s="2" t="s">
        <v>32</v>
      </c>
      <c r="C171" s="2" t="str">
        <f>_xlfn.XLOOKUP(A171,'Customer Data'!B171,'Customer Data'!M171)</f>
        <v>Phone Case</v>
      </c>
      <c r="D171" s="2" t="s">
        <v>25</v>
      </c>
      <c r="E171" s="2" t="str">
        <f t="shared" si="2"/>
        <v>Wireless Mouse - Electronics</v>
      </c>
    </row>
    <row r="172" spans="1:5">
      <c r="A172" s="2">
        <v>106216</v>
      </c>
      <c r="B172" s="2" t="s">
        <v>32</v>
      </c>
      <c r="C172" s="2" t="str">
        <f>_xlfn.XLOOKUP(A172,'Customer Data'!B172,'Customer Data'!M172)</f>
        <v>Monitor</v>
      </c>
      <c r="D172" s="2" t="s">
        <v>34</v>
      </c>
      <c r="E172" s="2" t="str">
        <f t="shared" si="2"/>
        <v>Phone Case - Accessories</v>
      </c>
    </row>
    <row r="173" spans="1:5">
      <c r="A173" s="2">
        <v>105281</v>
      </c>
      <c r="B173" s="2" t="s">
        <v>48</v>
      </c>
      <c r="C173" s="2" t="str">
        <f>_xlfn.XLOOKUP(A173,'Customer Data'!B173,'Customer Data'!M173)</f>
        <v>Laptop Stand</v>
      </c>
      <c r="D173" s="2" t="s">
        <v>25</v>
      </c>
      <c r="E173" s="2" t="str">
        <f t="shared" si="2"/>
        <v>Monitor - Electronics</v>
      </c>
    </row>
    <row r="174" spans="1:5">
      <c r="A174" s="2">
        <v>101073</v>
      </c>
      <c r="B174" s="2" t="s">
        <v>32</v>
      </c>
      <c r="C174" s="2" t="str">
        <f>_xlfn.XLOOKUP(A174,'Customer Data'!B174,'Customer Data'!M174)</f>
        <v>HDMI Cable</v>
      </c>
      <c r="D174" s="2" t="s">
        <v>25</v>
      </c>
      <c r="E174" s="2" t="str">
        <f t="shared" si="2"/>
        <v>Laptop Stand - Accessories</v>
      </c>
    </row>
    <row r="175" spans="1:5">
      <c r="A175" s="2">
        <v>102785</v>
      </c>
      <c r="B175" s="2" t="s">
        <v>45</v>
      </c>
      <c r="C175" s="2" t="str">
        <f>_xlfn.XLOOKUP(A175,'Customer Data'!B175,'Customer Data'!M175)</f>
        <v>Mechanical Keyboard</v>
      </c>
      <c r="D175" s="2" t="s">
        <v>34</v>
      </c>
      <c r="E175" s="2" t="str">
        <f t="shared" si="2"/>
        <v>HDMI Cable - Accessories</v>
      </c>
    </row>
    <row r="176" spans="1:5">
      <c r="A176" s="2">
        <v>101517</v>
      </c>
      <c r="B176" s="2" t="s">
        <v>38</v>
      </c>
      <c r="C176" s="2" t="str">
        <f>_xlfn.XLOOKUP(A176,'Customer Data'!B176,'Customer Data'!M176)</f>
        <v>Notebook</v>
      </c>
      <c r="D176" s="2" t="s">
        <v>54</v>
      </c>
      <c r="E176" s="2" t="str">
        <f t="shared" si="2"/>
        <v>Mechanical Keyboard - Electronics</v>
      </c>
    </row>
    <row r="177" spans="1:5">
      <c r="A177" s="2">
        <v>103489</v>
      </c>
      <c r="B177" s="2" t="s">
        <v>22</v>
      </c>
      <c r="C177" s="2" t="str">
        <f>_xlfn.XLOOKUP(A177,'Customer Data'!B177,'Customer Data'!M177)</f>
        <v>Phone Case</v>
      </c>
      <c r="D177" s="2" t="s">
        <v>25</v>
      </c>
      <c r="E177" s="2" t="str">
        <f t="shared" si="2"/>
        <v>Notebook - Stationery</v>
      </c>
    </row>
    <row r="178" spans="1:5">
      <c r="A178" s="2">
        <v>105531</v>
      </c>
      <c r="B178" s="2" t="s">
        <v>38</v>
      </c>
      <c r="C178" s="2" t="str">
        <f>_xlfn.XLOOKUP(A178,'Customer Data'!B178,'Customer Data'!M178)</f>
        <v>Backpack</v>
      </c>
      <c r="D178" s="2" t="s">
        <v>25</v>
      </c>
      <c r="E178" s="2" t="str">
        <f t="shared" si="2"/>
        <v>Phone Case - Accessories</v>
      </c>
    </row>
    <row r="179" spans="1:5">
      <c r="A179" s="2">
        <v>103745</v>
      </c>
      <c r="B179" s="2" t="s">
        <v>35</v>
      </c>
      <c r="C179" s="2" t="str">
        <f>_xlfn.XLOOKUP(A179,'Customer Data'!B179,'Customer Data'!M179)</f>
        <v>Fitness Band</v>
      </c>
      <c r="D179" s="2" t="s">
        <v>59</v>
      </c>
      <c r="E179" s="2" t="str">
        <f t="shared" si="2"/>
        <v>Backpack - Accessories</v>
      </c>
    </row>
    <row r="180" spans="1:5">
      <c r="A180" s="2">
        <v>104872</v>
      </c>
      <c r="B180" s="2" t="s">
        <v>22</v>
      </c>
      <c r="C180" s="2" t="str">
        <f>_xlfn.XLOOKUP(A180,'Customer Data'!B180,'Customer Data'!M180)</f>
        <v>USB-C Cable</v>
      </c>
      <c r="D180" s="2" t="s">
        <v>25</v>
      </c>
      <c r="E180" s="2" t="str">
        <f t="shared" si="2"/>
        <v>Fitness Band - Wearables</v>
      </c>
    </row>
    <row r="181" spans="1:5">
      <c r="A181" s="2">
        <v>102886</v>
      </c>
      <c r="B181" s="2" t="s">
        <v>45</v>
      </c>
      <c r="C181" s="2" t="str">
        <f>_xlfn.XLOOKUP(A181,'Customer Data'!B181,'Customer Data'!M181)</f>
        <v>Monitor</v>
      </c>
      <c r="D181" s="2" t="s">
        <v>34</v>
      </c>
      <c r="E181" s="2" t="str">
        <f t="shared" si="2"/>
        <v>USB-C Cable - Accessories</v>
      </c>
    </row>
    <row r="182" spans="1:5">
      <c r="A182" s="2">
        <v>106987</v>
      </c>
      <c r="B182" s="2" t="s">
        <v>32</v>
      </c>
      <c r="C182" s="2" t="str">
        <f>_xlfn.XLOOKUP(A182,'Customer Data'!B182,'Customer Data'!M182)</f>
        <v>HDMI Cable</v>
      </c>
      <c r="D182" s="2" t="s">
        <v>25</v>
      </c>
      <c r="E182" s="2" t="str">
        <f t="shared" si="2"/>
        <v>Monitor - Electronics</v>
      </c>
    </row>
    <row r="183" spans="1:5">
      <c r="A183" s="2">
        <v>105068</v>
      </c>
      <c r="B183" s="2" t="s">
        <v>28</v>
      </c>
      <c r="C183" s="2" t="str">
        <f>_xlfn.XLOOKUP(A183,'Customer Data'!B183,'Customer Data'!M183)</f>
        <v>Notebook</v>
      </c>
      <c r="D183" s="2" t="s">
        <v>54</v>
      </c>
      <c r="E183" s="2" t="str">
        <f t="shared" si="2"/>
        <v>HDMI Cable - Accessories</v>
      </c>
    </row>
    <row r="184" spans="1:5">
      <c r="A184" s="2">
        <v>107190</v>
      </c>
      <c r="B184" s="2" t="s">
        <v>32</v>
      </c>
      <c r="C184" s="2" t="str">
        <f>_xlfn.XLOOKUP(A184,'Customer Data'!B184,'Customer Data'!M184)</f>
        <v>Headphones</v>
      </c>
      <c r="D184" s="2" t="s">
        <v>34</v>
      </c>
      <c r="E184" s="2" t="str">
        <f t="shared" si="2"/>
        <v>Notebook - Stationery</v>
      </c>
    </row>
    <row r="185" spans="1:5">
      <c r="A185" s="2">
        <v>100617</v>
      </c>
      <c r="B185" s="2" t="s">
        <v>43</v>
      </c>
      <c r="C185" s="2" t="str">
        <f>_xlfn.XLOOKUP(A185,'Customer Data'!B185,'Customer Data'!M185)</f>
        <v>USB-C Cable</v>
      </c>
      <c r="D185" s="2" t="s">
        <v>25</v>
      </c>
      <c r="E185" s="2" t="str">
        <f t="shared" si="2"/>
        <v>Headphones - Electronics</v>
      </c>
    </row>
    <row r="186" spans="1:5">
      <c r="A186" s="2">
        <v>108226</v>
      </c>
      <c r="B186" s="2" t="s">
        <v>45</v>
      </c>
      <c r="C186" s="2" t="str">
        <f>_xlfn.XLOOKUP(A186,'Customer Data'!B186,'Customer Data'!M186)</f>
        <v>Mechanical Keyboard</v>
      </c>
      <c r="D186" s="2" t="s">
        <v>34</v>
      </c>
      <c r="E186" s="2" t="str">
        <f t="shared" si="2"/>
        <v>USB-C Cable - Accessories</v>
      </c>
    </row>
    <row r="187" spans="1:5">
      <c r="A187" s="2">
        <v>107802</v>
      </c>
      <c r="B187" s="2" t="s">
        <v>48</v>
      </c>
      <c r="C187" s="2" t="str">
        <f>_xlfn.XLOOKUP(A187,'Customer Data'!B187,'Customer Data'!M187)</f>
        <v>Backpack</v>
      </c>
      <c r="D187" s="2" t="s">
        <v>25</v>
      </c>
      <c r="E187" s="2" t="str">
        <f t="shared" si="2"/>
        <v>Mechanical Keyboard - Electronics</v>
      </c>
    </row>
    <row r="188" spans="1:5">
      <c r="A188" s="2">
        <v>107506</v>
      </c>
      <c r="B188" s="2" t="s">
        <v>32</v>
      </c>
      <c r="C188" s="2" t="str">
        <f>_xlfn.XLOOKUP(A188,'Customer Data'!B188,'Customer Data'!M188)</f>
        <v>Power Bank</v>
      </c>
      <c r="D188" s="2" t="s">
        <v>34</v>
      </c>
      <c r="E188" s="2" t="str">
        <f t="shared" si="2"/>
        <v>Backpack - Accessories</v>
      </c>
    </row>
    <row r="189" spans="1:5">
      <c r="A189" s="2">
        <v>100026</v>
      </c>
      <c r="B189" s="2" t="s">
        <v>48</v>
      </c>
      <c r="C189" s="2" t="str">
        <f>_xlfn.XLOOKUP(A189,'Customer Data'!B189,'Customer Data'!M189)</f>
        <v>Office Chair</v>
      </c>
      <c r="D189" s="2" t="s">
        <v>37</v>
      </c>
      <c r="E189" s="2" t="str">
        <f t="shared" si="2"/>
        <v>Power Bank - Electronics</v>
      </c>
    </row>
    <row r="190" spans="1:5">
      <c r="A190" s="2">
        <v>109461</v>
      </c>
      <c r="B190" s="2" t="s">
        <v>48</v>
      </c>
      <c r="C190" s="2" t="str">
        <f>_xlfn.XLOOKUP(A190,'Customer Data'!B190,'Customer Data'!M190)</f>
        <v>Bluetooth Speaker</v>
      </c>
      <c r="D190" s="2" t="s">
        <v>34</v>
      </c>
      <c r="E190" s="2" t="str">
        <f t="shared" si="2"/>
        <v>Office Chair - Home Office</v>
      </c>
    </row>
    <row r="191" spans="1:5">
      <c r="A191" s="2">
        <v>106441</v>
      </c>
      <c r="B191" s="2" t="s">
        <v>45</v>
      </c>
      <c r="C191" s="2" t="str">
        <f>_xlfn.XLOOKUP(A191,'Customer Data'!B191,'Customer Data'!M191)</f>
        <v>Phone Case</v>
      </c>
      <c r="D191" s="2" t="s">
        <v>25</v>
      </c>
      <c r="E191" s="2" t="str">
        <f t="shared" si="2"/>
        <v>Bluetooth Speaker - Electronics</v>
      </c>
    </row>
    <row r="192" spans="1:5">
      <c r="A192" s="2">
        <v>105983</v>
      </c>
      <c r="B192" s="2" t="s">
        <v>32</v>
      </c>
      <c r="C192" s="2" t="str">
        <f>_xlfn.XLOOKUP(A192,'Customer Data'!B192,'Customer Data'!M192)</f>
        <v>Notebook</v>
      </c>
      <c r="D192" s="2" t="s">
        <v>54</v>
      </c>
      <c r="E192" s="2" t="str">
        <f t="shared" si="2"/>
        <v>Phone Case - Accessories</v>
      </c>
    </row>
    <row r="193" spans="1:5">
      <c r="A193" s="2">
        <v>100659</v>
      </c>
      <c r="B193" s="2" t="s">
        <v>32</v>
      </c>
      <c r="C193" s="2" t="str">
        <f>_xlfn.XLOOKUP(A193,'Customer Data'!B193,'Customer Data'!M193)</f>
        <v>Laptop Stand</v>
      </c>
      <c r="D193" s="2" t="s">
        <v>25</v>
      </c>
      <c r="E193" s="2" t="str">
        <f t="shared" si="2"/>
        <v>Notebook - Stationery</v>
      </c>
    </row>
    <row r="194" spans="1:5">
      <c r="A194" s="2">
        <v>107716</v>
      </c>
      <c r="B194" s="2" t="s">
        <v>32</v>
      </c>
      <c r="C194" s="2" t="str">
        <f>_xlfn.XLOOKUP(A194,'Customer Data'!B194,'Customer Data'!M194)</f>
        <v>Phone Case</v>
      </c>
      <c r="D194" s="2" t="s">
        <v>25</v>
      </c>
      <c r="E194" s="2" t="str">
        <f t="shared" si="2"/>
        <v>Laptop Stand - Accessories</v>
      </c>
    </row>
    <row r="195" spans="1:5">
      <c r="A195" s="2">
        <v>109561</v>
      </c>
      <c r="B195" s="2" t="s">
        <v>35</v>
      </c>
      <c r="C195" s="2" t="str">
        <f>_xlfn.XLOOKUP(A195,'Customer Data'!B195,'Customer Data'!M195)</f>
        <v>Phone Case</v>
      </c>
      <c r="D195" s="2" t="s">
        <v>25</v>
      </c>
      <c r="E195" s="2" t="str">
        <f t="shared" ref="E195:E258" si="3">CONCATENATE(C194," - ",D194)</f>
        <v>Phone Case - Accessories</v>
      </c>
    </row>
    <row r="196" spans="1:5">
      <c r="A196" s="2">
        <v>109142</v>
      </c>
      <c r="B196" s="2" t="s">
        <v>32</v>
      </c>
      <c r="C196" s="2" t="str">
        <f>_xlfn.XLOOKUP(A196,'Customer Data'!B196,'Customer Data'!M196)</f>
        <v>Desk Lamp</v>
      </c>
      <c r="D196" s="2" t="s">
        <v>37</v>
      </c>
      <c r="E196" s="2" t="str">
        <f t="shared" si="3"/>
        <v>Phone Case - Accessories</v>
      </c>
    </row>
    <row r="197" spans="1:5">
      <c r="A197" s="2">
        <v>105852</v>
      </c>
      <c r="B197" s="2" t="s">
        <v>43</v>
      </c>
      <c r="C197" s="2" t="str">
        <f>_xlfn.XLOOKUP(A197,'Customer Data'!B197,'Customer Data'!M197)</f>
        <v>Desk Lamp</v>
      </c>
      <c r="D197" s="2" t="s">
        <v>37</v>
      </c>
      <c r="E197" s="2" t="str">
        <f t="shared" si="3"/>
        <v>Desk Lamp - Home Office</v>
      </c>
    </row>
    <row r="198" spans="1:5">
      <c r="A198" s="2">
        <v>104768</v>
      </c>
      <c r="B198" s="2" t="s">
        <v>48</v>
      </c>
      <c r="C198" s="2" t="str">
        <f>_xlfn.XLOOKUP(A198,'Customer Data'!B198,'Customer Data'!M198)</f>
        <v>Phone Case</v>
      </c>
      <c r="D198" s="2" t="s">
        <v>25</v>
      </c>
      <c r="E198" s="2" t="str">
        <f t="shared" si="3"/>
        <v>Desk Lamp - Home Office</v>
      </c>
    </row>
    <row r="199" spans="1:5">
      <c r="A199" s="2">
        <v>104200</v>
      </c>
      <c r="B199" s="2" t="s">
        <v>43</v>
      </c>
      <c r="C199" s="2" t="str">
        <f>_xlfn.XLOOKUP(A199,'Customer Data'!B199,'Customer Data'!M199)</f>
        <v>Wireless Mouse</v>
      </c>
      <c r="D199" s="2" t="s">
        <v>34</v>
      </c>
      <c r="E199" s="2" t="str">
        <f t="shared" si="3"/>
        <v>Phone Case - Accessories</v>
      </c>
    </row>
    <row r="200" spans="1:5">
      <c r="A200" s="2">
        <v>101186</v>
      </c>
      <c r="B200" s="2" t="s">
        <v>38</v>
      </c>
      <c r="C200" s="2" t="str">
        <f>_xlfn.XLOOKUP(A200,'Customer Data'!B200,'Customer Data'!M200)</f>
        <v>Smart Watch</v>
      </c>
      <c r="D200" s="2" t="s">
        <v>59</v>
      </c>
      <c r="E200" s="2" t="str">
        <f t="shared" si="3"/>
        <v>Wireless Mouse - Electronics</v>
      </c>
    </row>
    <row r="201" spans="1:5">
      <c r="A201" s="2">
        <v>103758</v>
      </c>
      <c r="B201" s="2" t="s">
        <v>32</v>
      </c>
      <c r="C201" s="2" t="str">
        <f>_xlfn.XLOOKUP(A201,'Customer Data'!B201,'Customer Data'!M201)</f>
        <v>Phone Case</v>
      </c>
      <c r="D201" s="2" t="s">
        <v>25</v>
      </c>
      <c r="E201" s="2" t="str">
        <f t="shared" si="3"/>
        <v>Smart Watch - Wearables</v>
      </c>
    </row>
    <row r="202" spans="1:5">
      <c r="A202" s="2">
        <v>108390</v>
      </c>
      <c r="B202" s="2" t="s">
        <v>28</v>
      </c>
      <c r="C202" s="2" t="str">
        <f>_xlfn.XLOOKUP(A202,'Customer Data'!B202,'Customer Data'!M202)</f>
        <v>Notebook</v>
      </c>
      <c r="D202" s="2" t="s">
        <v>54</v>
      </c>
      <c r="E202" s="2" t="str">
        <f t="shared" si="3"/>
        <v>Phone Case - Accessories</v>
      </c>
    </row>
    <row r="203" spans="1:5">
      <c r="A203" s="2">
        <v>109364</v>
      </c>
      <c r="B203" s="2" t="s">
        <v>35</v>
      </c>
      <c r="C203" s="2" t="str">
        <f>_xlfn.XLOOKUP(A203,'Customer Data'!B203,'Customer Data'!M203)</f>
        <v>USB-C Cable</v>
      </c>
      <c r="D203" s="2" t="s">
        <v>25</v>
      </c>
      <c r="E203" s="2" t="str">
        <f t="shared" si="3"/>
        <v>Notebook - Stationery</v>
      </c>
    </row>
    <row r="204" spans="1:5">
      <c r="A204" s="2">
        <v>101183</v>
      </c>
      <c r="B204" s="2" t="s">
        <v>22</v>
      </c>
      <c r="C204" s="2" t="str">
        <f>_xlfn.XLOOKUP(A204,'Customer Data'!B204,'Customer Data'!M204)</f>
        <v>Gaming Controller</v>
      </c>
      <c r="D204" s="2" t="s">
        <v>63</v>
      </c>
      <c r="E204" s="2" t="str">
        <f t="shared" si="3"/>
        <v>USB-C Cable - Accessories</v>
      </c>
    </row>
    <row r="205" spans="1:5">
      <c r="A205" s="2">
        <v>101856</v>
      </c>
      <c r="B205" s="2" t="s">
        <v>45</v>
      </c>
      <c r="C205" s="2" t="str">
        <f>_xlfn.XLOOKUP(A205,'Customer Data'!B205,'Customer Data'!M205)</f>
        <v>Microphone</v>
      </c>
      <c r="D205" s="2" t="s">
        <v>34</v>
      </c>
      <c r="E205" s="2" t="str">
        <f t="shared" si="3"/>
        <v>Gaming Controller - Gaming</v>
      </c>
    </row>
    <row r="206" spans="1:5">
      <c r="A206" s="2">
        <v>103338</v>
      </c>
      <c r="B206" s="2" t="s">
        <v>32</v>
      </c>
      <c r="C206" s="2" t="str">
        <f>_xlfn.XLOOKUP(A206,'Customer Data'!B206,'Customer Data'!M206)</f>
        <v>Backpack</v>
      </c>
      <c r="D206" s="2" t="s">
        <v>25</v>
      </c>
      <c r="E206" s="2" t="str">
        <f t="shared" si="3"/>
        <v>Microphone - Electronics</v>
      </c>
    </row>
    <row r="207" spans="1:5">
      <c r="A207" s="2">
        <v>104657</v>
      </c>
      <c r="B207" s="2" t="s">
        <v>43</v>
      </c>
      <c r="C207" s="2" t="str">
        <f>_xlfn.XLOOKUP(A207,'Customer Data'!B207,'Customer Data'!M207)</f>
        <v>Webcam</v>
      </c>
      <c r="D207" s="2" t="s">
        <v>34</v>
      </c>
      <c r="E207" s="2" t="str">
        <f t="shared" si="3"/>
        <v>Backpack - Accessories</v>
      </c>
    </row>
    <row r="208" spans="1:5">
      <c r="A208" s="2">
        <v>105761</v>
      </c>
      <c r="B208" s="2" t="s">
        <v>32</v>
      </c>
      <c r="C208" s="2" t="str">
        <f>_xlfn.XLOOKUP(A208,'Customer Data'!B208,'Customer Data'!M208)</f>
        <v>Smart Watch</v>
      </c>
      <c r="D208" s="2" t="s">
        <v>59</v>
      </c>
      <c r="E208" s="2" t="str">
        <f t="shared" si="3"/>
        <v>Webcam - Electronics</v>
      </c>
    </row>
    <row r="209" spans="1:5">
      <c r="A209" s="2">
        <v>102102</v>
      </c>
      <c r="B209" s="2" t="s">
        <v>32</v>
      </c>
      <c r="C209" s="2" t="str">
        <f>_xlfn.XLOOKUP(A209,'Customer Data'!B209,'Customer Data'!M209)</f>
        <v>Backpack</v>
      </c>
      <c r="D209" s="2" t="s">
        <v>25</v>
      </c>
      <c r="E209" s="2" t="str">
        <f t="shared" si="3"/>
        <v>Smart Watch - Wearables</v>
      </c>
    </row>
    <row r="210" spans="1:5">
      <c r="A210" s="2">
        <v>101342</v>
      </c>
      <c r="B210" s="2" t="s">
        <v>32</v>
      </c>
      <c r="C210" s="2" t="str">
        <f>_xlfn.XLOOKUP(A210,'Customer Data'!B210,'Customer Data'!M210)</f>
        <v>Phone Case</v>
      </c>
      <c r="D210" s="2" t="s">
        <v>25</v>
      </c>
      <c r="E210" s="2" t="str">
        <f t="shared" si="3"/>
        <v>Backpack - Accessories</v>
      </c>
    </row>
    <row r="211" spans="1:5">
      <c r="A211" s="2">
        <v>102133</v>
      </c>
      <c r="B211" s="2" t="s">
        <v>32</v>
      </c>
      <c r="C211" s="2" t="str">
        <f>_xlfn.XLOOKUP(A211,'Customer Data'!B211,'Customer Data'!M211)</f>
        <v>Phone Case</v>
      </c>
      <c r="D211" s="2" t="s">
        <v>25</v>
      </c>
      <c r="E211" s="2" t="str">
        <f t="shared" si="3"/>
        <v>Phone Case - Accessories</v>
      </c>
    </row>
    <row r="212" spans="1:5">
      <c r="A212" s="2">
        <v>101884</v>
      </c>
      <c r="B212" s="2" t="s">
        <v>22</v>
      </c>
      <c r="C212" s="2" t="str">
        <f>_xlfn.XLOOKUP(A212,'Customer Data'!B212,'Customer Data'!M212)</f>
        <v>Backpack</v>
      </c>
      <c r="D212" s="2" t="s">
        <v>25</v>
      </c>
      <c r="E212" s="2" t="str">
        <f t="shared" si="3"/>
        <v>Phone Case - Accessories</v>
      </c>
    </row>
    <row r="213" spans="1:5">
      <c r="A213" s="2">
        <v>108279</v>
      </c>
      <c r="B213" s="2" t="s">
        <v>45</v>
      </c>
      <c r="C213" s="2" t="str">
        <f>_xlfn.XLOOKUP(A213,'Customer Data'!B213,'Customer Data'!M213)</f>
        <v>Phone Case</v>
      </c>
      <c r="D213" s="2" t="s">
        <v>25</v>
      </c>
      <c r="E213" s="2" t="str">
        <f t="shared" si="3"/>
        <v>Backpack - Accessories</v>
      </c>
    </row>
    <row r="214" spans="1:5">
      <c r="A214" s="2">
        <v>101096</v>
      </c>
      <c r="B214" s="2" t="s">
        <v>45</v>
      </c>
      <c r="C214" s="2" t="str">
        <f>_xlfn.XLOOKUP(A214,'Customer Data'!B214,'Customer Data'!M214)</f>
        <v>Backpack</v>
      </c>
      <c r="D214" s="2" t="s">
        <v>25</v>
      </c>
      <c r="E214" s="2" t="str">
        <f t="shared" si="3"/>
        <v>Phone Case - Accessories</v>
      </c>
    </row>
    <row r="215" spans="1:5">
      <c r="A215" s="2">
        <v>103404</v>
      </c>
      <c r="B215" s="2" t="s">
        <v>55</v>
      </c>
      <c r="C215" s="2" t="str">
        <f>_xlfn.XLOOKUP(A215,'Customer Data'!B215,'Customer Data'!M215)</f>
        <v>Notebook</v>
      </c>
      <c r="D215" s="2" t="s">
        <v>54</v>
      </c>
      <c r="E215" s="2" t="str">
        <f t="shared" si="3"/>
        <v>Backpack - Accessories</v>
      </c>
    </row>
    <row r="216" spans="1:5">
      <c r="A216" s="2">
        <v>105098</v>
      </c>
      <c r="B216" s="2" t="s">
        <v>32</v>
      </c>
      <c r="C216" s="2" t="str">
        <f>_xlfn.XLOOKUP(A216,'Customer Data'!B216,'Customer Data'!M216)</f>
        <v>Headphones</v>
      </c>
      <c r="D216" s="2" t="s">
        <v>34</v>
      </c>
      <c r="E216" s="2" t="str">
        <f t="shared" si="3"/>
        <v>Notebook - Stationery</v>
      </c>
    </row>
    <row r="217" spans="1:5">
      <c r="A217" s="2">
        <v>100444</v>
      </c>
      <c r="B217" s="2" t="s">
        <v>38</v>
      </c>
      <c r="C217" s="2" t="str">
        <f>_xlfn.XLOOKUP(A217,'Customer Data'!B217,'Customer Data'!M217)</f>
        <v>Backpack</v>
      </c>
      <c r="D217" s="2" t="s">
        <v>25</v>
      </c>
      <c r="E217" s="2" t="str">
        <f t="shared" si="3"/>
        <v>Headphones - Electronics</v>
      </c>
    </row>
    <row r="218" spans="1:5">
      <c r="A218" s="2">
        <v>102621</v>
      </c>
      <c r="B218" s="2" t="s">
        <v>45</v>
      </c>
      <c r="C218" s="2" t="str">
        <f>_xlfn.XLOOKUP(A218,'Customer Data'!B218,'Customer Data'!M218)</f>
        <v>Notebook</v>
      </c>
      <c r="D218" s="2" t="s">
        <v>54</v>
      </c>
      <c r="E218" s="2" t="str">
        <f t="shared" si="3"/>
        <v>Backpack - Accessories</v>
      </c>
    </row>
    <row r="219" spans="1:5">
      <c r="A219" s="2">
        <v>101921</v>
      </c>
      <c r="B219" s="2" t="s">
        <v>38</v>
      </c>
      <c r="C219" s="2" t="str">
        <f>_xlfn.XLOOKUP(A219,'Customer Data'!B219,'Customer Data'!M219)</f>
        <v>Bluetooth Speaker</v>
      </c>
      <c r="D219" s="2" t="s">
        <v>34</v>
      </c>
      <c r="E219" s="2" t="str">
        <f t="shared" si="3"/>
        <v>Notebook - Stationery</v>
      </c>
    </row>
    <row r="220" spans="1:5">
      <c r="A220" s="2">
        <v>103652</v>
      </c>
      <c r="B220" s="2" t="s">
        <v>52</v>
      </c>
      <c r="C220" s="2" t="str">
        <f>_xlfn.XLOOKUP(A220,'Customer Data'!B220,'Customer Data'!M220)</f>
        <v>Headphones</v>
      </c>
      <c r="D220" s="2" t="s">
        <v>34</v>
      </c>
      <c r="E220" s="2" t="str">
        <f t="shared" si="3"/>
        <v>Bluetooth Speaker - Electronics</v>
      </c>
    </row>
    <row r="221" spans="1:5">
      <c r="A221" s="2">
        <v>105062</v>
      </c>
      <c r="B221" s="2" t="s">
        <v>43</v>
      </c>
      <c r="C221" s="2" t="str">
        <f>_xlfn.XLOOKUP(A221,'Customer Data'!B221,'Customer Data'!M221)</f>
        <v>Laptop Stand</v>
      </c>
      <c r="D221" s="2" t="s">
        <v>25</v>
      </c>
      <c r="E221" s="2" t="str">
        <f t="shared" si="3"/>
        <v>Headphones - Electronics</v>
      </c>
    </row>
    <row r="222" spans="1:5">
      <c r="A222" s="2">
        <v>107826</v>
      </c>
      <c r="B222" s="2" t="s">
        <v>55</v>
      </c>
      <c r="C222" s="2" t="str">
        <f>_xlfn.XLOOKUP(A222,'Customer Data'!B222,'Customer Data'!M222)</f>
        <v>Wireless Mouse</v>
      </c>
      <c r="D222" s="2" t="s">
        <v>34</v>
      </c>
      <c r="E222" s="2" t="str">
        <f t="shared" si="3"/>
        <v>Laptop Stand - Accessories</v>
      </c>
    </row>
    <row r="223" spans="1:5">
      <c r="A223" s="2">
        <v>109447</v>
      </c>
      <c r="B223" s="2" t="s">
        <v>38</v>
      </c>
      <c r="C223" s="2" t="str">
        <f>_xlfn.XLOOKUP(A223,'Customer Data'!B223,'Customer Data'!M223)</f>
        <v>Fitness Band</v>
      </c>
      <c r="D223" s="2" t="s">
        <v>59</v>
      </c>
      <c r="E223" s="2" t="str">
        <f t="shared" si="3"/>
        <v>Wireless Mouse - Electronics</v>
      </c>
    </row>
    <row r="224" spans="1:5">
      <c r="A224" s="2">
        <v>108616</v>
      </c>
      <c r="B224" s="2" t="s">
        <v>32</v>
      </c>
      <c r="C224" s="2" t="str">
        <f>_xlfn.XLOOKUP(A224,'Customer Data'!B224,'Customer Data'!M224)</f>
        <v>Backpack</v>
      </c>
      <c r="D224" s="2" t="s">
        <v>25</v>
      </c>
      <c r="E224" s="2" t="str">
        <f t="shared" si="3"/>
        <v>Fitness Band - Wearables</v>
      </c>
    </row>
    <row r="225" spans="1:5">
      <c r="A225" s="2">
        <v>105005</v>
      </c>
      <c r="B225" s="2" t="s">
        <v>45</v>
      </c>
      <c r="C225" s="2" t="str">
        <f>_xlfn.XLOOKUP(A225,'Customer Data'!B225,'Customer Data'!M225)</f>
        <v>Notebook</v>
      </c>
      <c r="D225" s="2" t="s">
        <v>54</v>
      </c>
      <c r="E225" s="2" t="str">
        <f t="shared" si="3"/>
        <v>Backpack - Accessories</v>
      </c>
    </row>
    <row r="226" spans="1:5">
      <c r="A226" s="2">
        <v>104694</v>
      </c>
      <c r="B226" s="2" t="s">
        <v>32</v>
      </c>
      <c r="C226" s="2" t="str">
        <f>_xlfn.XLOOKUP(A226,'Customer Data'!B226,'Customer Data'!M226)</f>
        <v>Notebook</v>
      </c>
      <c r="D226" s="2" t="s">
        <v>54</v>
      </c>
      <c r="E226" s="2" t="str">
        <f t="shared" si="3"/>
        <v>Notebook - Stationery</v>
      </c>
    </row>
    <row r="227" spans="1:5">
      <c r="A227" s="2">
        <v>103813</v>
      </c>
      <c r="B227" s="2" t="s">
        <v>35</v>
      </c>
      <c r="C227" s="2" t="str">
        <f>_xlfn.XLOOKUP(A227,'Customer Data'!B227,'Customer Data'!M227)</f>
        <v>Webcam</v>
      </c>
      <c r="D227" s="2" t="s">
        <v>34</v>
      </c>
      <c r="E227" s="2" t="str">
        <f t="shared" si="3"/>
        <v>Notebook - Stationery</v>
      </c>
    </row>
    <row r="228" spans="1:5">
      <c r="A228" s="2">
        <v>105008</v>
      </c>
      <c r="B228" s="2" t="s">
        <v>28</v>
      </c>
      <c r="C228" s="2" t="str">
        <f>_xlfn.XLOOKUP(A228,'Customer Data'!B228,'Customer Data'!M228)</f>
        <v>Gaming Controller</v>
      </c>
      <c r="D228" s="2" t="s">
        <v>63</v>
      </c>
      <c r="E228" s="2" t="str">
        <f t="shared" si="3"/>
        <v>Webcam - Electronics</v>
      </c>
    </row>
    <row r="229" spans="1:5">
      <c r="A229" s="2">
        <v>101359</v>
      </c>
      <c r="B229" s="2" t="s">
        <v>43</v>
      </c>
      <c r="C229" s="2" t="str">
        <f>_xlfn.XLOOKUP(A229,'Customer Data'!B229,'Customer Data'!M229)</f>
        <v>Wireless Mouse</v>
      </c>
      <c r="D229" s="2" t="s">
        <v>34</v>
      </c>
      <c r="E229" s="2" t="str">
        <f t="shared" si="3"/>
        <v>Gaming Controller - Gaming</v>
      </c>
    </row>
    <row r="230" spans="1:5">
      <c r="A230" s="2">
        <v>106814</v>
      </c>
      <c r="B230" s="2" t="s">
        <v>28</v>
      </c>
      <c r="C230" s="2" t="str">
        <f>_xlfn.XLOOKUP(A230,'Customer Data'!B230,'Customer Data'!M230)</f>
        <v>Mechanical Keyboard</v>
      </c>
      <c r="D230" s="2" t="s">
        <v>34</v>
      </c>
      <c r="E230" s="2" t="str">
        <f t="shared" si="3"/>
        <v>Wireless Mouse - Electronics</v>
      </c>
    </row>
    <row r="231" spans="1:5">
      <c r="A231" s="2">
        <v>101208</v>
      </c>
      <c r="B231" s="2" t="s">
        <v>45</v>
      </c>
      <c r="C231" s="2" t="str">
        <f>_xlfn.XLOOKUP(A231,'Customer Data'!B231,'Customer Data'!M231)</f>
        <v>Backpack</v>
      </c>
      <c r="D231" s="2" t="s">
        <v>25</v>
      </c>
      <c r="E231" s="2" t="str">
        <f t="shared" si="3"/>
        <v>Mechanical Keyboard - Electronics</v>
      </c>
    </row>
    <row r="232" spans="1:5">
      <c r="A232" s="2">
        <v>102833</v>
      </c>
      <c r="B232" s="2" t="s">
        <v>32</v>
      </c>
      <c r="C232" s="2" t="str">
        <f>_xlfn.XLOOKUP(A232,'Customer Data'!B232,'Customer Data'!M232)</f>
        <v>Laptop Stand</v>
      </c>
      <c r="D232" s="2" t="s">
        <v>25</v>
      </c>
      <c r="E232" s="2" t="str">
        <f t="shared" si="3"/>
        <v>Backpack - Accessories</v>
      </c>
    </row>
    <row r="233" spans="1:5">
      <c r="A233" s="2">
        <v>108171</v>
      </c>
      <c r="B233" s="2" t="s">
        <v>28</v>
      </c>
      <c r="C233" s="2" t="str">
        <f>_xlfn.XLOOKUP(A233,'Customer Data'!B233,'Customer Data'!M233)</f>
        <v>USB-C Cable</v>
      </c>
      <c r="D233" s="2" t="s">
        <v>25</v>
      </c>
      <c r="E233" s="2" t="str">
        <f t="shared" si="3"/>
        <v>Laptop Stand - Accessories</v>
      </c>
    </row>
    <row r="234" spans="1:5">
      <c r="A234" s="2">
        <v>107568</v>
      </c>
      <c r="B234" s="2" t="s">
        <v>45</v>
      </c>
      <c r="C234" s="2" t="str">
        <f>_xlfn.XLOOKUP(A234,'Customer Data'!B234,'Customer Data'!M234)</f>
        <v>Headphones</v>
      </c>
      <c r="D234" s="2" t="s">
        <v>34</v>
      </c>
      <c r="E234" s="2" t="str">
        <f t="shared" si="3"/>
        <v>USB-C Cable - Accessories</v>
      </c>
    </row>
    <row r="235" spans="1:5">
      <c r="A235" s="2">
        <v>103653</v>
      </c>
      <c r="B235" s="2" t="s">
        <v>28</v>
      </c>
      <c r="C235" s="2" t="str">
        <f>_xlfn.XLOOKUP(A235,'Customer Data'!B235,'Customer Data'!M235)</f>
        <v>Wireless Mouse</v>
      </c>
      <c r="D235" s="2" t="s">
        <v>34</v>
      </c>
      <c r="E235" s="2" t="str">
        <f t="shared" si="3"/>
        <v>Headphones - Electronics</v>
      </c>
    </row>
    <row r="236" spans="1:5">
      <c r="A236" s="2">
        <v>109458</v>
      </c>
      <c r="B236" s="2" t="s">
        <v>32</v>
      </c>
      <c r="C236" s="2" t="str">
        <f>_xlfn.XLOOKUP(A236,'Customer Data'!B236,'Customer Data'!M236)</f>
        <v>Desk Lamp</v>
      </c>
      <c r="D236" s="2" t="s">
        <v>37</v>
      </c>
      <c r="E236" s="2" t="str">
        <f t="shared" si="3"/>
        <v>Wireless Mouse - Electronics</v>
      </c>
    </row>
    <row r="237" spans="1:5">
      <c r="A237" s="2">
        <v>104794</v>
      </c>
      <c r="B237" s="2" t="s">
        <v>32</v>
      </c>
      <c r="C237" s="2" t="str">
        <f>_xlfn.XLOOKUP(A237,'Customer Data'!B237,'Customer Data'!M237)</f>
        <v>Phone Case</v>
      </c>
      <c r="D237" s="2" t="s">
        <v>25</v>
      </c>
      <c r="E237" s="2" t="str">
        <f t="shared" si="3"/>
        <v>Desk Lamp - Home Office</v>
      </c>
    </row>
    <row r="238" spans="1:5">
      <c r="A238" s="2">
        <v>101714</v>
      </c>
      <c r="B238" s="2" t="s">
        <v>48</v>
      </c>
      <c r="C238" s="2" t="str">
        <f>_xlfn.XLOOKUP(A238,'Customer Data'!B238,'Customer Data'!M238)</f>
        <v>Power Bank</v>
      </c>
      <c r="D238" s="2" t="s">
        <v>34</v>
      </c>
      <c r="E238" s="2" t="str">
        <f t="shared" si="3"/>
        <v>Phone Case - Accessories</v>
      </c>
    </row>
    <row r="239" spans="1:5">
      <c r="A239" s="2">
        <v>109391</v>
      </c>
      <c r="B239" s="2" t="s">
        <v>38</v>
      </c>
      <c r="C239" s="2" t="str">
        <f>_xlfn.XLOOKUP(A239,'Customer Data'!B239,'Customer Data'!M239)</f>
        <v>Bluetooth Speaker</v>
      </c>
      <c r="D239" s="2" t="s">
        <v>34</v>
      </c>
      <c r="E239" s="2" t="str">
        <f t="shared" si="3"/>
        <v>Power Bank - Electronics</v>
      </c>
    </row>
    <row r="240" spans="1:5">
      <c r="A240" s="2">
        <v>103669</v>
      </c>
      <c r="B240" s="2" t="s">
        <v>35</v>
      </c>
      <c r="C240" s="2" t="str">
        <f>_xlfn.XLOOKUP(A240,'Customer Data'!B240,'Customer Data'!M240)</f>
        <v>Notebook</v>
      </c>
      <c r="D240" s="2" t="s">
        <v>54</v>
      </c>
      <c r="E240" s="2" t="str">
        <f t="shared" si="3"/>
        <v>Bluetooth Speaker - Electronics</v>
      </c>
    </row>
    <row r="241" spans="1:5">
      <c r="A241" s="2">
        <v>103959</v>
      </c>
      <c r="B241" s="2" t="s">
        <v>32</v>
      </c>
      <c r="C241" s="2" t="str">
        <f>_xlfn.XLOOKUP(A241,'Customer Data'!B241,'Customer Data'!M241)</f>
        <v>Notebook</v>
      </c>
      <c r="D241" s="2" t="s">
        <v>54</v>
      </c>
      <c r="E241" s="2" t="str">
        <f t="shared" si="3"/>
        <v>Notebook - Stationery</v>
      </c>
    </row>
    <row r="242" spans="1:5">
      <c r="A242" s="2">
        <v>101327</v>
      </c>
      <c r="B242" s="2" t="s">
        <v>55</v>
      </c>
      <c r="C242" s="2" t="str">
        <f>_xlfn.XLOOKUP(A242,'Customer Data'!B242,'Customer Data'!M242)</f>
        <v>Microphone</v>
      </c>
      <c r="D242" s="2" t="s">
        <v>34</v>
      </c>
      <c r="E242" s="2" t="str">
        <f t="shared" si="3"/>
        <v>Notebook - Stationery</v>
      </c>
    </row>
    <row r="243" spans="1:5">
      <c r="A243" s="2">
        <v>102218</v>
      </c>
      <c r="B243" s="2" t="s">
        <v>45</v>
      </c>
      <c r="C243" s="2" t="str">
        <f>_xlfn.XLOOKUP(A243,'Customer Data'!B243,'Customer Data'!M243)</f>
        <v>Laptop Stand</v>
      </c>
      <c r="D243" s="2" t="s">
        <v>25</v>
      </c>
      <c r="E243" s="2" t="str">
        <f t="shared" si="3"/>
        <v>Microphone - Electronics</v>
      </c>
    </row>
    <row r="244" spans="1:5">
      <c r="A244" s="2">
        <v>101098</v>
      </c>
      <c r="B244" s="2" t="s">
        <v>35</v>
      </c>
      <c r="C244" s="2" t="str">
        <f>_xlfn.XLOOKUP(A244,'Customer Data'!B244,'Customer Data'!M244)</f>
        <v>Laptop Stand</v>
      </c>
      <c r="D244" s="2" t="s">
        <v>25</v>
      </c>
      <c r="E244" s="2" t="str">
        <f t="shared" si="3"/>
        <v>Laptop Stand - Accessories</v>
      </c>
    </row>
    <row r="245" spans="1:5">
      <c r="A245" s="2">
        <v>104925</v>
      </c>
      <c r="B245" s="2" t="s">
        <v>32</v>
      </c>
      <c r="C245" s="2" t="str">
        <f>_xlfn.XLOOKUP(A245,'Customer Data'!B245,'Customer Data'!M245)</f>
        <v>Backpack</v>
      </c>
      <c r="D245" s="2" t="s">
        <v>25</v>
      </c>
      <c r="E245" s="2" t="str">
        <f t="shared" si="3"/>
        <v>Laptop Stand - Accessories</v>
      </c>
    </row>
    <row r="246" spans="1:5">
      <c r="A246" s="2">
        <v>105894</v>
      </c>
      <c r="B246" s="2" t="s">
        <v>43</v>
      </c>
      <c r="C246" s="2" t="str">
        <f>_xlfn.XLOOKUP(A246,'Customer Data'!B246,'Customer Data'!M246)</f>
        <v>Power Bank</v>
      </c>
      <c r="D246" s="2" t="s">
        <v>34</v>
      </c>
      <c r="E246" s="2" t="str">
        <f t="shared" si="3"/>
        <v>Backpack - Accessories</v>
      </c>
    </row>
    <row r="247" spans="1:5">
      <c r="A247" s="2">
        <v>105319</v>
      </c>
      <c r="B247" s="2" t="s">
        <v>28</v>
      </c>
      <c r="C247" s="2" t="str">
        <f>_xlfn.XLOOKUP(A247,'Customer Data'!B247,'Customer Data'!M247)</f>
        <v>Tablet</v>
      </c>
      <c r="D247" s="2" t="s">
        <v>34</v>
      </c>
      <c r="E247" s="2" t="str">
        <f t="shared" si="3"/>
        <v>Power Bank - Electronics</v>
      </c>
    </row>
    <row r="248" spans="1:5">
      <c r="A248" s="2">
        <v>102797</v>
      </c>
      <c r="B248" s="2" t="s">
        <v>32</v>
      </c>
      <c r="C248" s="2" t="str">
        <f>_xlfn.XLOOKUP(A248,'Customer Data'!B248,'Customer Data'!M248)</f>
        <v>Power Bank</v>
      </c>
      <c r="D248" s="2" t="s">
        <v>34</v>
      </c>
      <c r="E248" s="2" t="str">
        <f t="shared" si="3"/>
        <v>Tablet - Electronics</v>
      </c>
    </row>
    <row r="249" spans="1:5">
      <c r="A249" s="2">
        <v>100061</v>
      </c>
      <c r="B249" s="2" t="s">
        <v>32</v>
      </c>
      <c r="C249" s="2" t="str">
        <f>_xlfn.XLOOKUP(A249,'Customer Data'!B249,'Customer Data'!M249)</f>
        <v>USB-C Cable</v>
      </c>
      <c r="D249" s="2" t="s">
        <v>25</v>
      </c>
      <c r="E249" s="2" t="str">
        <f t="shared" si="3"/>
        <v>Power Bank - Electronics</v>
      </c>
    </row>
    <row r="250" spans="1:5">
      <c r="A250" s="2">
        <v>102612</v>
      </c>
      <c r="B250" s="2" t="s">
        <v>38</v>
      </c>
      <c r="C250" s="2" t="str">
        <f>_xlfn.XLOOKUP(A250,'Customer Data'!B250,'Customer Data'!M250)</f>
        <v>Phone Case</v>
      </c>
      <c r="D250" s="2" t="s">
        <v>25</v>
      </c>
      <c r="E250" s="2" t="str">
        <f t="shared" si="3"/>
        <v>USB-C Cable - Accessories</v>
      </c>
    </row>
    <row r="251" spans="1:5">
      <c r="A251" s="2">
        <v>109592</v>
      </c>
      <c r="B251" s="2" t="s">
        <v>28</v>
      </c>
      <c r="C251" s="2" t="str">
        <f>_xlfn.XLOOKUP(A251,'Customer Data'!B251,'Customer Data'!M251)</f>
        <v>Wireless Mouse</v>
      </c>
      <c r="D251" s="2" t="s">
        <v>34</v>
      </c>
      <c r="E251" s="2" t="str">
        <f t="shared" si="3"/>
        <v>Phone Case - Accessories</v>
      </c>
    </row>
    <row r="252" spans="1:5">
      <c r="A252" s="2">
        <v>103944</v>
      </c>
      <c r="B252" s="2" t="s">
        <v>38</v>
      </c>
      <c r="C252" s="2" t="str">
        <f>_xlfn.XLOOKUP(A252,'Customer Data'!B252,'Customer Data'!M252)</f>
        <v>Notebook</v>
      </c>
      <c r="D252" s="2" t="s">
        <v>54</v>
      </c>
      <c r="E252" s="2" t="str">
        <f t="shared" si="3"/>
        <v>Wireless Mouse - Electronics</v>
      </c>
    </row>
    <row r="253" spans="1:5">
      <c r="A253" s="2">
        <v>102347</v>
      </c>
      <c r="B253" s="2" t="s">
        <v>45</v>
      </c>
      <c r="C253" s="2" t="str">
        <f>_xlfn.XLOOKUP(A253,'Customer Data'!B253,'Customer Data'!M253)</f>
        <v>Backpack</v>
      </c>
      <c r="D253" s="2" t="s">
        <v>25</v>
      </c>
      <c r="E253" s="2" t="str">
        <f t="shared" si="3"/>
        <v>Notebook - Stationery</v>
      </c>
    </row>
    <row r="254" spans="1:5">
      <c r="A254" s="2">
        <v>106912</v>
      </c>
      <c r="B254" s="2" t="s">
        <v>55</v>
      </c>
      <c r="C254" s="2" t="str">
        <f>_xlfn.XLOOKUP(A254,'Customer Data'!B254,'Customer Data'!M254)</f>
        <v>Headphones</v>
      </c>
      <c r="D254" s="2" t="s">
        <v>34</v>
      </c>
      <c r="E254" s="2" t="str">
        <f t="shared" si="3"/>
        <v>Backpack - Accessories</v>
      </c>
    </row>
    <row r="255" spans="1:5">
      <c r="A255" s="2">
        <v>104801</v>
      </c>
      <c r="B255" s="2" t="s">
        <v>32</v>
      </c>
      <c r="C255" s="2" t="str">
        <f>_xlfn.XLOOKUP(A255,'Customer Data'!B255,'Customer Data'!M255)</f>
        <v>Webcam</v>
      </c>
      <c r="D255" s="2" t="s">
        <v>34</v>
      </c>
      <c r="E255" s="2" t="str">
        <f t="shared" si="3"/>
        <v>Headphones - Electronics</v>
      </c>
    </row>
    <row r="256" spans="1:5">
      <c r="A256" s="2">
        <v>102947</v>
      </c>
      <c r="B256" s="2" t="s">
        <v>52</v>
      </c>
      <c r="C256" s="2" t="str">
        <f>_xlfn.XLOOKUP(A256,'Customer Data'!B256,'Customer Data'!M256)</f>
        <v>Notebook</v>
      </c>
      <c r="D256" s="2" t="s">
        <v>54</v>
      </c>
      <c r="E256" s="2" t="str">
        <f t="shared" si="3"/>
        <v>Webcam - Electronics</v>
      </c>
    </row>
    <row r="257" spans="1:5">
      <c r="A257" s="2">
        <v>102880</v>
      </c>
      <c r="B257" s="2" t="s">
        <v>52</v>
      </c>
      <c r="C257" s="2" t="str">
        <f>_xlfn.XLOOKUP(A257,'Customer Data'!B257,'Customer Data'!M257)</f>
        <v>Smart Watch</v>
      </c>
      <c r="D257" s="2" t="s">
        <v>59</v>
      </c>
      <c r="E257" s="2" t="str">
        <f t="shared" si="3"/>
        <v>Notebook - Stationery</v>
      </c>
    </row>
    <row r="258" spans="1:5">
      <c r="A258" s="2">
        <v>105309</v>
      </c>
      <c r="B258" s="2" t="s">
        <v>38</v>
      </c>
      <c r="C258" s="2" t="str">
        <f>_xlfn.XLOOKUP(A258,'Customer Data'!B258,'Customer Data'!M258)</f>
        <v>Phone Case</v>
      </c>
      <c r="D258" s="2" t="s">
        <v>25</v>
      </c>
      <c r="E258" s="2" t="str">
        <f t="shared" si="3"/>
        <v>Smart Watch - Wearables</v>
      </c>
    </row>
    <row r="259" spans="1:5">
      <c r="A259" s="2">
        <v>109946</v>
      </c>
      <c r="B259" s="2" t="s">
        <v>43</v>
      </c>
      <c r="C259" s="2" t="str">
        <f>_xlfn.XLOOKUP(A259,'Customer Data'!B259,'Customer Data'!M259)</f>
        <v>Phone Case</v>
      </c>
      <c r="D259" s="2" t="s">
        <v>25</v>
      </c>
      <c r="E259" s="2" t="str">
        <f t="shared" ref="E259:E322" si="4">CONCATENATE(C258," - ",D258)</f>
        <v>Phone Case - Accessories</v>
      </c>
    </row>
    <row r="260" spans="1:5">
      <c r="A260" s="2">
        <v>108067</v>
      </c>
      <c r="B260" s="2" t="s">
        <v>22</v>
      </c>
      <c r="C260" s="2" t="str">
        <f>_xlfn.XLOOKUP(A260,'Customer Data'!B260,'Customer Data'!M260)</f>
        <v>HDMI Cable</v>
      </c>
      <c r="D260" s="2" t="s">
        <v>25</v>
      </c>
      <c r="E260" s="2" t="str">
        <f t="shared" si="4"/>
        <v>Phone Case - Accessories</v>
      </c>
    </row>
    <row r="261" spans="1:5">
      <c r="A261" s="2">
        <v>105435</v>
      </c>
      <c r="B261" s="2" t="s">
        <v>45</v>
      </c>
      <c r="C261" s="2" t="str">
        <f>_xlfn.XLOOKUP(A261,'Customer Data'!B261,'Customer Data'!M261)</f>
        <v>Wireless Mouse</v>
      </c>
      <c r="D261" s="2" t="s">
        <v>34</v>
      </c>
      <c r="E261" s="2" t="str">
        <f t="shared" si="4"/>
        <v>HDMI Cable - Accessories</v>
      </c>
    </row>
    <row r="262" spans="1:5">
      <c r="A262" s="2">
        <v>100715</v>
      </c>
      <c r="B262" s="2" t="s">
        <v>32</v>
      </c>
      <c r="C262" s="2" t="str">
        <f>_xlfn.XLOOKUP(A262,'Customer Data'!B262,'Customer Data'!M262)</f>
        <v>Fitness Band</v>
      </c>
      <c r="D262" s="2" t="s">
        <v>59</v>
      </c>
      <c r="E262" s="2" t="str">
        <f t="shared" si="4"/>
        <v>Wireless Mouse - Electronics</v>
      </c>
    </row>
    <row r="263" spans="1:5">
      <c r="A263" s="2">
        <v>106864</v>
      </c>
      <c r="B263" s="2" t="s">
        <v>22</v>
      </c>
      <c r="C263" s="2" t="str">
        <f>_xlfn.XLOOKUP(A263,'Customer Data'!B263,'Customer Data'!M263)</f>
        <v>Phone Case</v>
      </c>
      <c r="D263" s="2" t="s">
        <v>25</v>
      </c>
      <c r="E263" s="2" t="str">
        <f t="shared" si="4"/>
        <v>Fitness Band - Wearables</v>
      </c>
    </row>
    <row r="264" spans="1:5">
      <c r="A264" s="2">
        <v>101823</v>
      </c>
      <c r="B264" s="2" t="s">
        <v>43</v>
      </c>
      <c r="C264" s="2" t="str">
        <f>_xlfn.XLOOKUP(A264,'Customer Data'!B264,'Customer Data'!M264)</f>
        <v>Laptop Stand</v>
      </c>
      <c r="D264" s="2" t="s">
        <v>25</v>
      </c>
      <c r="E264" s="2" t="str">
        <f t="shared" si="4"/>
        <v>Phone Case - Accessories</v>
      </c>
    </row>
    <row r="265" spans="1:5">
      <c r="A265" s="2">
        <v>108672</v>
      </c>
      <c r="B265" s="2" t="s">
        <v>52</v>
      </c>
      <c r="C265" s="2" t="str">
        <f>_xlfn.XLOOKUP(A265,'Customer Data'!B265,'Customer Data'!M265)</f>
        <v>Laptop Stand</v>
      </c>
      <c r="D265" s="2" t="s">
        <v>25</v>
      </c>
      <c r="E265" s="2" t="str">
        <f t="shared" si="4"/>
        <v>Laptop Stand - Accessories</v>
      </c>
    </row>
    <row r="266" spans="1:5">
      <c r="A266" s="2">
        <v>105282</v>
      </c>
      <c r="B266" s="2" t="s">
        <v>55</v>
      </c>
      <c r="C266" s="2" t="str">
        <f>_xlfn.XLOOKUP(A266,'Customer Data'!B266,'Customer Data'!M266)</f>
        <v>Phone Case</v>
      </c>
      <c r="D266" s="2" t="s">
        <v>25</v>
      </c>
      <c r="E266" s="2" t="str">
        <f t="shared" si="4"/>
        <v>Laptop Stand - Accessories</v>
      </c>
    </row>
    <row r="267" spans="1:5">
      <c r="A267" s="2">
        <v>101406</v>
      </c>
      <c r="B267" s="2" t="s">
        <v>38</v>
      </c>
      <c r="C267" s="2" t="str">
        <f>_xlfn.XLOOKUP(A267,'Customer Data'!B267,'Customer Data'!M267)</f>
        <v>Wireless Mouse</v>
      </c>
      <c r="D267" s="2" t="s">
        <v>34</v>
      </c>
      <c r="E267" s="2" t="str">
        <f t="shared" si="4"/>
        <v>Phone Case - Accessories</v>
      </c>
    </row>
    <row r="268" spans="1:5">
      <c r="A268" s="2">
        <v>102743</v>
      </c>
      <c r="B268" s="2" t="s">
        <v>22</v>
      </c>
      <c r="C268" s="2" t="str">
        <f>_xlfn.XLOOKUP(A268,'Customer Data'!B268,'Customer Data'!M268)</f>
        <v>Phone Case</v>
      </c>
      <c r="D268" s="2" t="s">
        <v>25</v>
      </c>
      <c r="E268" s="2" t="str">
        <f t="shared" si="4"/>
        <v>Wireless Mouse - Electronics</v>
      </c>
    </row>
    <row r="269" spans="1:5">
      <c r="A269" s="2">
        <v>104179</v>
      </c>
      <c r="B269" s="2" t="s">
        <v>38</v>
      </c>
      <c r="C269" s="2" t="str">
        <f>_xlfn.XLOOKUP(A269,'Customer Data'!B269,'Customer Data'!M269)</f>
        <v>HDMI Cable</v>
      </c>
      <c r="D269" s="2" t="s">
        <v>25</v>
      </c>
      <c r="E269" s="2" t="str">
        <f t="shared" si="4"/>
        <v>Phone Case - Accessories</v>
      </c>
    </row>
    <row r="270" spans="1:5">
      <c r="A270" s="2">
        <v>109408</v>
      </c>
      <c r="B270" s="2" t="s">
        <v>48</v>
      </c>
      <c r="C270" s="2" t="str">
        <f>_xlfn.XLOOKUP(A270,'Customer Data'!B270,'Customer Data'!M270)</f>
        <v>Backpack</v>
      </c>
      <c r="D270" s="2" t="s">
        <v>25</v>
      </c>
      <c r="E270" s="2" t="str">
        <f t="shared" si="4"/>
        <v>HDMI Cable - Accessories</v>
      </c>
    </row>
    <row r="271" spans="1:5">
      <c r="A271" s="2">
        <v>106341</v>
      </c>
      <c r="B271" s="2" t="s">
        <v>48</v>
      </c>
      <c r="C271" s="2" t="str">
        <f>_xlfn.XLOOKUP(A271,'Customer Data'!B271,'Customer Data'!M271)</f>
        <v>Laptop Stand</v>
      </c>
      <c r="D271" s="2" t="s">
        <v>25</v>
      </c>
      <c r="E271" s="2" t="str">
        <f t="shared" si="4"/>
        <v>Backpack - Accessories</v>
      </c>
    </row>
    <row r="272" spans="1:5">
      <c r="A272" s="2">
        <v>100708</v>
      </c>
      <c r="B272" s="2" t="s">
        <v>55</v>
      </c>
      <c r="C272" s="2" t="str">
        <f>_xlfn.XLOOKUP(A272,'Customer Data'!B272,'Customer Data'!M272)</f>
        <v>Wireless Mouse</v>
      </c>
      <c r="D272" s="2" t="s">
        <v>34</v>
      </c>
      <c r="E272" s="2" t="str">
        <f t="shared" si="4"/>
        <v>Laptop Stand - Accessories</v>
      </c>
    </row>
    <row r="273" spans="1:5">
      <c r="A273" s="2">
        <v>105080</v>
      </c>
      <c r="B273" s="2" t="s">
        <v>38</v>
      </c>
      <c r="C273" s="2" t="str">
        <f>_xlfn.XLOOKUP(A273,'Customer Data'!B273,'Customer Data'!M273)</f>
        <v>Headphones</v>
      </c>
      <c r="D273" s="2" t="s">
        <v>34</v>
      </c>
      <c r="E273" s="2" t="str">
        <f t="shared" si="4"/>
        <v>Wireless Mouse - Electronics</v>
      </c>
    </row>
    <row r="274" spans="1:5">
      <c r="A274" s="2">
        <v>103290</v>
      </c>
      <c r="B274" s="2" t="s">
        <v>32</v>
      </c>
      <c r="C274" s="2" t="str">
        <f>_xlfn.XLOOKUP(A274,'Customer Data'!B274,'Customer Data'!M274)</f>
        <v>Webcam</v>
      </c>
      <c r="D274" s="2" t="s">
        <v>34</v>
      </c>
      <c r="E274" s="2" t="str">
        <f t="shared" si="4"/>
        <v>Headphones - Electronics</v>
      </c>
    </row>
    <row r="275" spans="1:5">
      <c r="A275" s="2">
        <v>107941</v>
      </c>
      <c r="B275" s="2" t="s">
        <v>48</v>
      </c>
      <c r="C275" s="2" t="str">
        <f>_xlfn.XLOOKUP(A275,'Customer Data'!B275,'Customer Data'!M275)</f>
        <v>Mechanical Keyboard</v>
      </c>
      <c r="D275" s="2" t="s">
        <v>34</v>
      </c>
      <c r="E275" s="2" t="str">
        <f t="shared" si="4"/>
        <v>Webcam - Electronics</v>
      </c>
    </row>
    <row r="276" spans="1:5">
      <c r="A276" s="2">
        <v>100054</v>
      </c>
      <c r="B276" s="2" t="s">
        <v>32</v>
      </c>
      <c r="C276" s="2" t="str">
        <f>_xlfn.XLOOKUP(A276,'Customer Data'!B276,'Customer Data'!M276)</f>
        <v>Laptop Stand</v>
      </c>
      <c r="D276" s="2" t="s">
        <v>25</v>
      </c>
      <c r="E276" s="2" t="str">
        <f t="shared" si="4"/>
        <v>Mechanical Keyboard - Electronics</v>
      </c>
    </row>
    <row r="277" spans="1:5">
      <c r="A277" s="2">
        <v>108968</v>
      </c>
      <c r="B277" s="2" t="s">
        <v>38</v>
      </c>
      <c r="C277" s="2" t="str">
        <f>_xlfn.XLOOKUP(A277,'Customer Data'!B277,'Customer Data'!M277)</f>
        <v>Gaming Controller</v>
      </c>
      <c r="D277" s="2" t="s">
        <v>63</v>
      </c>
      <c r="E277" s="2" t="str">
        <f t="shared" si="4"/>
        <v>Laptop Stand - Accessories</v>
      </c>
    </row>
    <row r="278" spans="1:5">
      <c r="A278" s="2">
        <v>100055</v>
      </c>
      <c r="B278" s="2" t="s">
        <v>22</v>
      </c>
      <c r="C278" s="2" t="str">
        <f>_xlfn.XLOOKUP(A278,'Customer Data'!B278,'Customer Data'!M278)</f>
        <v>Gaming Controller</v>
      </c>
      <c r="D278" s="2" t="s">
        <v>63</v>
      </c>
      <c r="E278" s="2" t="str">
        <f t="shared" si="4"/>
        <v>Gaming Controller - Gaming</v>
      </c>
    </row>
    <row r="279" spans="1:5">
      <c r="A279" s="2">
        <v>105484</v>
      </c>
      <c r="B279" s="2" t="s">
        <v>48</v>
      </c>
      <c r="C279" s="2" t="str">
        <f>_xlfn.XLOOKUP(A279,'Customer Data'!B279,'Customer Data'!M279)</f>
        <v>Power Bank</v>
      </c>
      <c r="D279" s="2" t="s">
        <v>34</v>
      </c>
      <c r="E279" s="2" t="str">
        <f t="shared" si="4"/>
        <v>Gaming Controller - Gaming</v>
      </c>
    </row>
    <row r="280" spans="1:5">
      <c r="A280" s="2">
        <v>100679</v>
      </c>
      <c r="B280" s="2" t="s">
        <v>38</v>
      </c>
      <c r="C280" s="2" t="str">
        <f>_xlfn.XLOOKUP(A280,'Customer Data'!B280,'Customer Data'!M280)</f>
        <v>Power Bank</v>
      </c>
      <c r="D280" s="2" t="s">
        <v>34</v>
      </c>
      <c r="E280" s="2" t="str">
        <f t="shared" si="4"/>
        <v>Power Bank - Electronics</v>
      </c>
    </row>
    <row r="281" spans="1:5">
      <c r="A281" s="2">
        <v>103840</v>
      </c>
      <c r="B281" s="2" t="s">
        <v>38</v>
      </c>
      <c r="C281" s="2" t="str">
        <f>_xlfn.XLOOKUP(A281,'Customer Data'!B281,'Customer Data'!M281)</f>
        <v>HDMI Cable</v>
      </c>
      <c r="D281" s="2" t="s">
        <v>25</v>
      </c>
      <c r="E281" s="2" t="str">
        <f t="shared" si="4"/>
        <v>Power Bank - Electronics</v>
      </c>
    </row>
    <row r="282" spans="1:5">
      <c r="A282" s="2">
        <v>104093</v>
      </c>
      <c r="B282" s="2" t="s">
        <v>32</v>
      </c>
      <c r="C282" s="2" t="str">
        <f>_xlfn.XLOOKUP(A282,'Customer Data'!B282,'Customer Data'!M282)</f>
        <v>Backpack</v>
      </c>
      <c r="D282" s="2" t="s">
        <v>25</v>
      </c>
      <c r="E282" s="2" t="str">
        <f t="shared" si="4"/>
        <v>HDMI Cable - Accessories</v>
      </c>
    </row>
    <row r="283" spans="1:5">
      <c r="A283" s="2">
        <v>106045</v>
      </c>
      <c r="B283" s="2" t="s">
        <v>48</v>
      </c>
      <c r="C283" s="2" t="str">
        <f>_xlfn.XLOOKUP(A283,'Customer Data'!B283,'Customer Data'!M283)</f>
        <v>Backpack</v>
      </c>
      <c r="D283" s="2" t="s">
        <v>25</v>
      </c>
      <c r="E283" s="2" t="str">
        <f t="shared" si="4"/>
        <v>Backpack - Accessories</v>
      </c>
    </row>
    <row r="284" spans="1:5">
      <c r="A284" s="2">
        <v>103336</v>
      </c>
      <c r="B284" s="2" t="s">
        <v>38</v>
      </c>
      <c r="C284" s="2" t="str">
        <f>_xlfn.XLOOKUP(A284,'Customer Data'!B284,'Customer Data'!M284)</f>
        <v>Fitness Band</v>
      </c>
      <c r="D284" s="2" t="s">
        <v>59</v>
      </c>
      <c r="E284" s="2" t="str">
        <f t="shared" si="4"/>
        <v>Backpack - Accessories</v>
      </c>
    </row>
    <row r="285" spans="1:5">
      <c r="A285" s="2">
        <v>109103</v>
      </c>
      <c r="B285" s="2" t="s">
        <v>52</v>
      </c>
      <c r="C285" s="2" t="str">
        <f>_xlfn.XLOOKUP(A285,'Customer Data'!B285,'Customer Data'!M285)</f>
        <v>Phone Case</v>
      </c>
      <c r="D285" s="2" t="s">
        <v>25</v>
      </c>
      <c r="E285" s="2" t="str">
        <f t="shared" si="4"/>
        <v>Fitness Band - Wearables</v>
      </c>
    </row>
    <row r="286" spans="1:5">
      <c r="A286" s="2">
        <v>104232</v>
      </c>
      <c r="B286" s="2" t="s">
        <v>22</v>
      </c>
      <c r="C286" s="2" t="str">
        <f>_xlfn.XLOOKUP(A286,'Customer Data'!B286,'Customer Data'!M286)</f>
        <v>Mechanical Keyboard</v>
      </c>
      <c r="D286" s="2" t="s">
        <v>34</v>
      </c>
      <c r="E286" s="2" t="str">
        <f t="shared" si="4"/>
        <v>Phone Case - Accessories</v>
      </c>
    </row>
    <row r="287" spans="1:5">
      <c r="A287" s="2">
        <v>108916</v>
      </c>
      <c r="B287" s="2" t="s">
        <v>48</v>
      </c>
      <c r="C287" s="2" t="str">
        <f>_xlfn.XLOOKUP(A287,'Customer Data'!B287,'Customer Data'!M287)</f>
        <v>HDMI Cable</v>
      </c>
      <c r="D287" s="2" t="s">
        <v>25</v>
      </c>
      <c r="E287" s="2" t="str">
        <f t="shared" si="4"/>
        <v>Mechanical Keyboard - Electronics</v>
      </c>
    </row>
    <row r="288" spans="1:5">
      <c r="A288" s="2">
        <v>103658</v>
      </c>
      <c r="B288" s="2" t="s">
        <v>43</v>
      </c>
      <c r="C288" s="2" t="str">
        <f>_xlfn.XLOOKUP(A288,'Customer Data'!B288,'Customer Data'!M288)</f>
        <v>HDMI Cable</v>
      </c>
      <c r="D288" s="2" t="s">
        <v>25</v>
      </c>
      <c r="E288" s="2" t="str">
        <f t="shared" si="4"/>
        <v>HDMI Cable - Accessories</v>
      </c>
    </row>
    <row r="289" spans="1:5">
      <c r="A289" s="2">
        <v>106736</v>
      </c>
      <c r="B289" s="2" t="s">
        <v>52</v>
      </c>
      <c r="C289" s="2" t="str">
        <f>_xlfn.XLOOKUP(A289,'Customer Data'!B289,'Customer Data'!M289)</f>
        <v>Headphones</v>
      </c>
      <c r="D289" s="2" t="s">
        <v>34</v>
      </c>
      <c r="E289" s="2" t="str">
        <f t="shared" si="4"/>
        <v>HDMI Cable - Accessories</v>
      </c>
    </row>
    <row r="290" spans="1:5">
      <c r="A290" s="2">
        <v>100751</v>
      </c>
      <c r="B290" s="2" t="s">
        <v>32</v>
      </c>
      <c r="C290" s="2" t="str">
        <f>_xlfn.XLOOKUP(A290,'Customer Data'!B290,'Customer Data'!M290)</f>
        <v>USB-C Cable</v>
      </c>
      <c r="D290" s="2" t="s">
        <v>25</v>
      </c>
      <c r="E290" s="2" t="str">
        <f t="shared" si="4"/>
        <v>Headphones - Electronics</v>
      </c>
    </row>
    <row r="291" spans="1:5">
      <c r="A291" s="2">
        <v>103423</v>
      </c>
      <c r="B291" s="2" t="s">
        <v>48</v>
      </c>
      <c r="C291" s="2" t="str">
        <f>_xlfn.XLOOKUP(A291,'Customer Data'!B291,'Customer Data'!M291)</f>
        <v>Phone Case</v>
      </c>
      <c r="D291" s="2" t="s">
        <v>25</v>
      </c>
      <c r="E291" s="2" t="str">
        <f t="shared" si="4"/>
        <v>USB-C Cable - Accessories</v>
      </c>
    </row>
    <row r="292" spans="1:5">
      <c r="A292" s="2">
        <v>106060</v>
      </c>
      <c r="B292" s="2" t="s">
        <v>32</v>
      </c>
      <c r="C292" s="2" t="str">
        <f>_xlfn.XLOOKUP(A292,'Customer Data'!B292,'Customer Data'!M292)</f>
        <v>Gaming Controller</v>
      </c>
      <c r="D292" s="2" t="s">
        <v>63</v>
      </c>
      <c r="E292" s="2" t="str">
        <f t="shared" si="4"/>
        <v>Phone Case - Accessories</v>
      </c>
    </row>
    <row r="293" spans="1:5">
      <c r="A293" s="2">
        <v>103443</v>
      </c>
      <c r="B293" s="2" t="s">
        <v>45</v>
      </c>
      <c r="C293" s="2" t="str">
        <f>_xlfn.XLOOKUP(A293,'Customer Data'!B293,'Customer Data'!M293)</f>
        <v>Phone Case</v>
      </c>
      <c r="D293" s="2" t="s">
        <v>25</v>
      </c>
      <c r="E293" s="2" t="str">
        <f t="shared" si="4"/>
        <v>Gaming Controller - Gaming</v>
      </c>
    </row>
    <row r="294" spans="1:5">
      <c r="A294" s="2">
        <v>103283</v>
      </c>
      <c r="B294" s="2" t="s">
        <v>45</v>
      </c>
      <c r="C294" s="2" t="str">
        <f>_xlfn.XLOOKUP(A294,'Customer Data'!B294,'Customer Data'!M294)</f>
        <v>HDMI Cable</v>
      </c>
      <c r="D294" s="2" t="s">
        <v>25</v>
      </c>
      <c r="E294" s="2" t="str">
        <f t="shared" si="4"/>
        <v>Phone Case - Accessories</v>
      </c>
    </row>
    <row r="295" spans="1:5">
      <c r="A295" s="2">
        <v>104666</v>
      </c>
      <c r="B295" s="2" t="s">
        <v>38</v>
      </c>
      <c r="C295" s="2" t="str">
        <f>_xlfn.XLOOKUP(A295,'Customer Data'!B295,'Customer Data'!M295)</f>
        <v>Desk Lamp</v>
      </c>
      <c r="D295" s="2" t="s">
        <v>37</v>
      </c>
      <c r="E295" s="2" t="str">
        <f t="shared" si="4"/>
        <v>HDMI Cable - Accessories</v>
      </c>
    </row>
    <row r="296" spans="1:5">
      <c r="A296" s="2">
        <v>105361</v>
      </c>
      <c r="B296" s="2" t="s">
        <v>22</v>
      </c>
      <c r="C296" s="2" t="str">
        <f>_xlfn.XLOOKUP(A296,'Customer Data'!B296,'Customer Data'!M296)</f>
        <v>Smart Watch</v>
      </c>
      <c r="D296" s="2" t="s">
        <v>59</v>
      </c>
      <c r="E296" s="2" t="str">
        <f t="shared" si="4"/>
        <v>Desk Lamp - Home Office</v>
      </c>
    </row>
    <row r="297" spans="1:5">
      <c r="A297" s="2">
        <v>104588</v>
      </c>
      <c r="B297" s="2" t="s">
        <v>35</v>
      </c>
      <c r="C297" s="2" t="str">
        <f>_xlfn.XLOOKUP(A297,'Customer Data'!B297,'Customer Data'!M297)</f>
        <v>Notebook</v>
      </c>
      <c r="D297" s="2" t="s">
        <v>54</v>
      </c>
      <c r="E297" s="2" t="str">
        <f t="shared" si="4"/>
        <v>Smart Watch - Wearables</v>
      </c>
    </row>
    <row r="298" spans="1:5">
      <c r="A298" s="2">
        <v>108012</v>
      </c>
      <c r="B298" s="2" t="s">
        <v>48</v>
      </c>
      <c r="C298" s="2" t="str">
        <f>_xlfn.XLOOKUP(A298,'Customer Data'!B298,'Customer Data'!M298)</f>
        <v>Tablet</v>
      </c>
      <c r="D298" s="2" t="s">
        <v>34</v>
      </c>
      <c r="E298" s="2" t="str">
        <f t="shared" si="4"/>
        <v>Notebook - Stationery</v>
      </c>
    </row>
    <row r="299" spans="1:5">
      <c r="A299" s="2">
        <v>105715</v>
      </c>
      <c r="B299" s="2" t="s">
        <v>48</v>
      </c>
      <c r="C299" s="2" t="str">
        <f>_xlfn.XLOOKUP(A299,'Customer Data'!B299,'Customer Data'!M299)</f>
        <v>Backpack</v>
      </c>
      <c r="D299" s="2" t="s">
        <v>25</v>
      </c>
      <c r="E299" s="2" t="str">
        <f t="shared" si="4"/>
        <v>Tablet - Electronics</v>
      </c>
    </row>
    <row r="300" spans="1:5">
      <c r="A300" s="2">
        <v>109107</v>
      </c>
      <c r="B300" s="2" t="s">
        <v>38</v>
      </c>
      <c r="C300" s="2" t="str">
        <f>_xlfn.XLOOKUP(A300,'Customer Data'!B300,'Customer Data'!M300)</f>
        <v>Microphone</v>
      </c>
      <c r="D300" s="2" t="s">
        <v>34</v>
      </c>
      <c r="E300" s="2" t="str">
        <f t="shared" si="4"/>
        <v>Backpack - Accessories</v>
      </c>
    </row>
    <row r="301" spans="1:5">
      <c r="A301" s="2">
        <v>102046</v>
      </c>
      <c r="B301" s="2" t="s">
        <v>28</v>
      </c>
      <c r="C301" s="2" t="str">
        <f>_xlfn.XLOOKUP(A301,'Customer Data'!B301,'Customer Data'!M301)</f>
        <v>Headphones</v>
      </c>
      <c r="D301" s="2" t="s">
        <v>34</v>
      </c>
      <c r="E301" s="2" t="str">
        <f t="shared" si="4"/>
        <v>Microphone - Electronics</v>
      </c>
    </row>
    <row r="302" spans="1:5">
      <c r="A302" s="2">
        <v>108731</v>
      </c>
      <c r="B302" s="2" t="s">
        <v>48</v>
      </c>
      <c r="C302" s="2" t="str">
        <f>_xlfn.XLOOKUP(A302,'Customer Data'!B302,'Customer Data'!M302)</f>
        <v>Mechanical Keyboard</v>
      </c>
      <c r="D302" s="2" t="s">
        <v>34</v>
      </c>
      <c r="E302" s="2" t="str">
        <f t="shared" si="4"/>
        <v>Headphones - Electronics</v>
      </c>
    </row>
    <row r="303" spans="1:5">
      <c r="A303" s="2">
        <v>103309</v>
      </c>
      <c r="B303" s="2" t="s">
        <v>45</v>
      </c>
      <c r="C303" s="2" t="str">
        <f>_xlfn.XLOOKUP(A303,'Customer Data'!B303,'Customer Data'!M303)</f>
        <v>USB-C Cable</v>
      </c>
      <c r="D303" s="2" t="s">
        <v>25</v>
      </c>
      <c r="E303" s="2" t="str">
        <f t="shared" si="4"/>
        <v>Mechanical Keyboard - Electronics</v>
      </c>
    </row>
    <row r="304" spans="1:5">
      <c r="A304" s="2">
        <v>103662</v>
      </c>
      <c r="B304" s="2" t="s">
        <v>32</v>
      </c>
      <c r="C304" s="2" t="str">
        <f>_xlfn.XLOOKUP(A304,'Customer Data'!B304,'Customer Data'!M304)</f>
        <v>USB-C Cable</v>
      </c>
      <c r="D304" s="2" t="s">
        <v>25</v>
      </c>
      <c r="E304" s="2" t="str">
        <f t="shared" si="4"/>
        <v>USB-C Cable - Accessories</v>
      </c>
    </row>
    <row r="305" spans="1:5">
      <c r="A305" s="2">
        <v>108051</v>
      </c>
      <c r="B305" s="2" t="s">
        <v>32</v>
      </c>
      <c r="C305" s="2" t="str">
        <f>_xlfn.XLOOKUP(A305,'Customer Data'!B305,'Customer Data'!M305)</f>
        <v>Backpack</v>
      </c>
      <c r="D305" s="2" t="s">
        <v>25</v>
      </c>
      <c r="E305" s="2" t="str">
        <f t="shared" si="4"/>
        <v>USB-C Cable - Accessories</v>
      </c>
    </row>
    <row r="306" spans="1:5">
      <c r="A306" s="2">
        <v>101765</v>
      </c>
      <c r="B306" s="2" t="s">
        <v>45</v>
      </c>
      <c r="C306" s="2" t="str">
        <f>_xlfn.XLOOKUP(A306,'Customer Data'!B306,'Customer Data'!M306)</f>
        <v>Laptop Stand</v>
      </c>
      <c r="D306" s="2" t="s">
        <v>25</v>
      </c>
      <c r="E306" s="2" t="str">
        <f t="shared" si="4"/>
        <v>Backpack - Accessories</v>
      </c>
    </row>
    <row r="307" spans="1:5">
      <c r="A307" s="2">
        <v>108993</v>
      </c>
      <c r="B307" s="2" t="s">
        <v>35</v>
      </c>
      <c r="C307" s="2" t="str">
        <f>_xlfn.XLOOKUP(A307,'Customer Data'!B307,'Customer Data'!M307)</f>
        <v>Power Bank</v>
      </c>
      <c r="D307" s="2" t="s">
        <v>34</v>
      </c>
      <c r="E307" s="2" t="str">
        <f t="shared" si="4"/>
        <v>Laptop Stand - Accessories</v>
      </c>
    </row>
    <row r="308" spans="1:5">
      <c r="A308" s="2">
        <v>105595</v>
      </c>
      <c r="B308" s="2" t="s">
        <v>22</v>
      </c>
      <c r="C308" s="2" t="str">
        <f>_xlfn.XLOOKUP(A308,'Customer Data'!B308,'Customer Data'!M308)</f>
        <v>HDMI Cable</v>
      </c>
      <c r="D308" s="2" t="s">
        <v>25</v>
      </c>
      <c r="E308" s="2" t="str">
        <f t="shared" si="4"/>
        <v>Power Bank - Electronics</v>
      </c>
    </row>
    <row r="309" spans="1:5">
      <c r="A309" s="2">
        <v>105876</v>
      </c>
      <c r="B309" s="2" t="s">
        <v>35</v>
      </c>
      <c r="C309" s="2" t="str">
        <f>_xlfn.XLOOKUP(A309,'Customer Data'!B309,'Customer Data'!M309)</f>
        <v>HDMI Cable</v>
      </c>
      <c r="D309" s="2" t="s">
        <v>25</v>
      </c>
      <c r="E309" s="2" t="str">
        <f t="shared" si="4"/>
        <v>HDMI Cable - Accessories</v>
      </c>
    </row>
    <row r="310" spans="1:5">
      <c r="A310" s="2">
        <v>108721</v>
      </c>
      <c r="B310" s="2" t="s">
        <v>35</v>
      </c>
      <c r="C310" s="2" t="str">
        <f>_xlfn.XLOOKUP(A310,'Customer Data'!B310,'Customer Data'!M310)</f>
        <v>Wireless Mouse</v>
      </c>
      <c r="D310" s="2" t="s">
        <v>34</v>
      </c>
      <c r="E310" s="2" t="str">
        <f t="shared" si="4"/>
        <v>HDMI Cable - Accessories</v>
      </c>
    </row>
    <row r="311" spans="1:5">
      <c r="A311" s="2">
        <v>105592</v>
      </c>
      <c r="B311" s="2" t="s">
        <v>22</v>
      </c>
      <c r="C311" s="2" t="str">
        <f>_xlfn.XLOOKUP(A311,'Customer Data'!B311,'Customer Data'!M311)</f>
        <v>Notebook</v>
      </c>
      <c r="D311" s="2" t="s">
        <v>54</v>
      </c>
      <c r="E311" s="2" t="str">
        <f t="shared" si="4"/>
        <v>Wireless Mouse - Electronics</v>
      </c>
    </row>
    <row r="312" spans="1:5">
      <c r="A312" s="2">
        <v>108058</v>
      </c>
      <c r="B312" s="2" t="s">
        <v>35</v>
      </c>
      <c r="C312" s="2" t="str">
        <f>_xlfn.XLOOKUP(A312,'Customer Data'!B312,'Customer Data'!M312)</f>
        <v>Headphones</v>
      </c>
      <c r="D312" s="2" t="s">
        <v>34</v>
      </c>
      <c r="E312" s="2" t="str">
        <f t="shared" si="4"/>
        <v>Notebook - Stationery</v>
      </c>
    </row>
    <row r="313" spans="1:5">
      <c r="A313" s="2">
        <v>102656</v>
      </c>
      <c r="B313" s="2" t="s">
        <v>38</v>
      </c>
      <c r="C313" s="2" t="str">
        <f>_xlfn.XLOOKUP(A313,'Customer Data'!B313,'Customer Data'!M313)</f>
        <v>Laptop Stand</v>
      </c>
      <c r="D313" s="2" t="s">
        <v>25</v>
      </c>
      <c r="E313" s="2" t="str">
        <f t="shared" si="4"/>
        <v>Headphones - Electronics</v>
      </c>
    </row>
    <row r="314" spans="1:5">
      <c r="A314" s="2">
        <v>104566</v>
      </c>
      <c r="B314" s="2" t="s">
        <v>35</v>
      </c>
      <c r="C314" s="2" t="str">
        <f>_xlfn.XLOOKUP(A314,'Customer Data'!B314,'Customer Data'!M314)</f>
        <v>Phone Case</v>
      </c>
      <c r="D314" s="2" t="s">
        <v>25</v>
      </c>
      <c r="E314" s="2" t="str">
        <f t="shared" si="4"/>
        <v>Laptop Stand - Accessories</v>
      </c>
    </row>
    <row r="315" spans="1:5">
      <c r="A315" s="2">
        <v>102235</v>
      </c>
      <c r="B315" s="2" t="s">
        <v>48</v>
      </c>
      <c r="C315" s="2" t="str">
        <f>_xlfn.XLOOKUP(A315,'Customer Data'!B315,'Customer Data'!M315)</f>
        <v>Desk Lamp</v>
      </c>
      <c r="D315" s="2" t="s">
        <v>37</v>
      </c>
      <c r="E315" s="2" t="str">
        <f t="shared" si="4"/>
        <v>Phone Case - Accessories</v>
      </c>
    </row>
    <row r="316" spans="1:5">
      <c r="A316" s="2">
        <v>107750</v>
      </c>
      <c r="B316" s="2" t="s">
        <v>45</v>
      </c>
      <c r="C316" s="2" t="str">
        <f>_xlfn.XLOOKUP(A316,'Customer Data'!B316,'Customer Data'!M316)</f>
        <v>HDMI Cable</v>
      </c>
      <c r="D316" s="2" t="s">
        <v>25</v>
      </c>
      <c r="E316" s="2" t="str">
        <f t="shared" si="4"/>
        <v>Desk Lamp - Home Office</v>
      </c>
    </row>
    <row r="317" spans="1:5">
      <c r="A317" s="2">
        <v>109037</v>
      </c>
      <c r="B317" s="2" t="s">
        <v>52</v>
      </c>
      <c r="C317" s="2" t="str">
        <f>_xlfn.XLOOKUP(A317,'Customer Data'!B317,'Customer Data'!M317)</f>
        <v>Fitness Band</v>
      </c>
      <c r="D317" s="2" t="s">
        <v>59</v>
      </c>
      <c r="E317" s="2" t="str">
        <f t="shared" si="4"/>
        <v>HDMI Cable - Accessories</v>
      </c>
    </row>
    <row r="318" spans="1:5">
      <c r="A318" s="2">
        <v>101855</v>
      </c>
      <c r="B318" s="2" t="s">
        <v>32</v>
      </c>
      <c r="C318" s="2" t="str">
        <f>_xlfn.XLOOKUP(A318,'Customer Data'!B318,'Customer Data'!M318)</f>
        <v>Monitor</v>
      </c>
      <c r="D318" s="2" t="s">
        <v>34</v>
      </c>
      <c r="E318" s="2" t="str">
        <f t="shared" si="4"/>
        <v>Fitness Band - Wearables</v>
      </c>
    </row>
    <row r="319" spans="1:5">
      <c r="A319" s="2">
        <v>109297</v>
      </c>
      <c r="B319" s="2" t="s">
        <v>32</v>
      </c>
      <c r="C319" s="2" t="str">
        <f>_xlfn.XLOOKUP(A319,'Customer Data'!B319,'Customer Data'!M319)</f>
        <v>USB-C Cable</v>
      </c>
      <c r="D319" s="2" t="s">
        <v>25</v>
      </c>
      <c r="E319" s="2" t="str">
        <f t="shared" si="4"/>
        <v>Monitor - Electronics</v>
      </c>
    </row>
    <row r="320" spans="1:5">
      <c r="A320" s="2">
        <v>100255</v>
      </c>
      <c r="B320" s="2" t="s">
        <v>38</v>
      </c>
      <c r="C320" s="2" t="str">
        <f>_xlfn.XLOOKUP(A320,'Customer Data'!B320,'Customer Data'!M320)</f>
        <v>Laptop Stand</v>
      </c>
      <c r="D320" s="2" t="s">
        <v>25</v>
      </c>
      <c r="E320" s="2" t="str">
        <f t="shared" si="4"/>
        <v>USB-C Cable - Accessories</v>
      </c>
    </row>
    <row r="321" spans="1:5">
      <c r="A321" s="2">
        <v>107926</v>
      </c>
      <c r="B321" s="2" t="s">
        <v>32</v>
      </c>
      <c r="C321" s="2" t="str">
        <f>_xlfn.XLOOKUP(A321,'Customer Data'!B321,'Customer Data'!M321)</f>
        <v>Monitor</v>
      </c>
      <c r="D321" s="2" t="s">
        <v>34</v>
      </c>
      <c r="E321" s="2" t="str">
        <f t="shared" si="4"/>
        <v>Laptop Stand - Accessories</v>
      </c>
    </row>
    <row r="322" spans="1:5">
      <c r="A322" s="2">
        <v>109135</v>
      </c>
      <c r="B322" s="2" t="s">
        <v>38</v>
      </c>
      <c r="C322" s="2" t="str">
        <f>_xlfn.XLOOKUP(A322,'Customer Data'!B322,'Customer Data'!M322)</f>
        <v>Headphones</v>
      </c>
      <c r="D322" s="2" t="s">
        <v>34</v>
      </c>
      <c r="E322" s="2" t="str">
        <f t="shared" si="4"/>
        <v>Monitor - Electronics</v>
      </c>
    </row>
    <row r="323" spans="1:5">
      <c r="A323" s="2">
        <v>107966</v>
      </c>
      <c r="B323" s="2" t="s">
        <v>38</v>
      </c>
      <c r="C323" s="2" t="str">
        <f>_xlfn.XLOOKUP(A323,'Customer Data'!B323,'Customer Data'!M323)</f>
        <v>USB-C Cable</v>
      </c>
      <c r="D323" s="2" t="s">
        <v>25</v>
      </c>
      <c r="E323" s="2" t="str">
        <f t="shared" ref="E323:E386" si="5">CONCATENATE(C322," - ",D322)</f>
        <v>Headphones - Electronics</v>
      </c>
    </row>
    <row r="324" spans="1:5">
      <c r="A324" s="2">
        <v>109495</v>
      </c>
      <c r="B324" s="2" t="s">
        <v>32</v>
      </c>
      <c r="C324" s="2" t="str">
        <f>_xlfn.XLOOKUP(A324,'Customer Data'!B324,'Customer Data'!M324)</f>
        <v>HDMI Cable</v>
      </c>
      <c r="D324" s="2" t="s">
        <v>25</v>
      </c>
      <c r="E324" s="2" t="str">
        <f t="shared" si="5"/>
        <v>USB-C Cable - Accessories</v>
      </c>
    </row>
    <row r="325" spans="1:5">
      <c r="A325" s="2">
        <v>108817</v>
      </c>
      <c r="B325" s="2" t="s">
        <v>43</v>
      </c>
      <c r="C325" s="2" t="str">
        <f>_xlfn.XLOOKUP(A325,'Customer Data'!B325,'Customer Data'!M325)</f>
        <v>Wireless Mouse</v>
      </c>
      <c r="D325" s="2" t="s">
        <v>34</v>
      </c>
      <c r="E325" s="2" t="str">
        <f t="shared" si="5"/>
        <v>HDMI Cable - Accessories</v>
      </c>
    </row>
    <row r="326" spans="1:5">
      <c r="A326" s="2">
        <v>107264</v>
      </c>
      <c r="B326" s="2" t="s">
        <v>32</v>
      </c>
      <c r="C326" s="2" t="str">
        <f>_xlfn.XLOOKUP(A326,'Customer Data'!B326,'Customer Data'!M326)</f>
        <v>Notebook</v>
      </c>
      <c r="D326" s="2" t="s">
        <v>54</v>
      </c>
      <c r="E326" s="2" t="str">
        <f t="shared" si="5"/>
        <v>Wireless Mouse - Electronics</v>
      </c>
    </row>
    <row r="327" spans="1:5">
      <c r="A327" s="2">
        <v>101849</v>
      </c>
      <c r="B327" s="2" t="s">
        <v>32</v>
      </c>
      <c r="C327" s="2" t="str">
        <f>_xlfn.XLOOKUP(A327,'Customer Data'!B327,'Customer Data'!M327)</f>
        <v>Headphones</v>
      </c>
      <c r="D327" s="2" t="s">
        <v>34</v>
      </c>
      <c r="E327" s="2" t="str">
        <f t="shared" si="5"/>
        <v>Notebook - Stationery</v>
      </c>
    </row>
    <row r="328" spans="1:5">
      <c r="A328" s="2">
        <v>103374</v>
      </c>
      <c r="B328" s="2" t="s">
        <v>45</v>
      </c>
      <c r="C328" s="2" t="str">
        <f>_xlfn.XLOOKUP(A328,'Customer Data'!B328,'Customer Data'!M328)</f>
        <v>Laptop Stand</v>
      </c>
      <c r="D328" s="2" t="s">
        <v>25</v>
      </c>
      <c r="E328" s="2" t="str">
        <f t="shared" si="5"/>
        <v>Headphones - Electronics</v>
      </c>
    </row>
    <row r="329" spans="1:5">
      <c r="A329" s="2">
        <v>101940</v>
      </c>
      <c r="B329" s="2" t="s">
        <v>32</v>
      </c>
      <c r="C329" s="2" t="str">
        <f>_xlfn.XLOOKUP(A329,'Customer Data'!B329,'Customer Data'!M329)</f>
        <v>Gaming Controller</v>
      </c>
      <c r="D329" s="2" t="s">
        <v>63</v>
      </c>
      <c r="E329" s="2" t="str">
        <f t="shared" si="5"/>
        <v>Laptop Stand - Accessories</v>
      </c>
    </row>
    <row r="330" spans="1:5">
      <c r="A330" s="2">
        <v>100839</v>
      </c>
      <c r="B330" s="2" t="s">
        <v>43</v>
      </c>
      <c r="C330" s="2" t="str">
        <f>_xlfn.XLOOKUP(A330,'Customer Data'!B330,'Customer Data'!M330)</f>
        <v>Desk Lamp</v>
      </c>
      <c r="D330" s="2" t="s">
        <v>37</v>
      </c>
      <c r="E330" s="2" t="str">
        <f t="shared" si="5"/>
        <v>Gaming Controller - Gaming</v>
      </c>
    </row>
    <row r="331" spans="1:5">
      <c r="A331" s="2">
        <v>104740</v>
      </c>
      <c r="B331" s="2" t="s">
        <v>48</v>
      </c>
      <c r="C331" s="2" t="str">
        <f>_xlfn.XLOOKUP(A331,'Customer Data'!B331,'Customer Data'!M331)</f>
        <v>HDMI Cable</v>
      </c>
      <c r="D331" s="2" t="s">
        <v>25</v>
      </c>
      <c r="E331" s="2" t="str">
        <f t="shared" si="5"/>
        <v>Desk Lamp - Home Office</v>
      </c>
    </row>
    <row r="332" spans="1:5">
      <c r="A332" s="2">
        <v>100349</v>
      </c>
      <c r="B332" s="2" t="s">
        <v>48</v>
      </c>
      <c r="C332" s="2" t="str">
        <f>_xlfn.XLOOKUP(A332,'Customer Data'!B332,'Customer Data'!M332)</f>
        <v>Phone Case</v>
      </c>
      <c r="D332" s="2" t="s">
        <v>25</v>
      </c>
      <c r="E332" s="2" t="str">
        <f t="shared" si="5"/>
        <v>HDMI Cable - Accessories</v>
      </c>
    </row>
    <row r="333" spans="1:5">
      <c r="A333" s="2">
        <v>101761</v>
      </c>
      <c r="B333" s="2" t="s">
        <v>32</v>
      </c>
      <c r="C333" s="2" t="str">
        <f>_xlfn.XLOOKUP(A333,'Customer Data'!B333,'Customer Data'!M333)</f>
        <v>Bluetooth Speaker</v>
      </c>
      <c r="D333" s="2" t="s">
        <v>34</v>
      </c>
      <c r="E333" s="2" t="str">
        <f t="shared" si="5"/>
        <v>Phone Case - Accessories</v>
      </c>
    </row>
    <row r="334" spans="1:5">
      <c r="A334" s="2">
        <v>100244</v>
      </c>
      <c r="B334" s="2" t="s">
        <v>32</v>
      </c>
      <c r="C334" s="2" t="str">
        <f>_xlfn.XLOOKUP(A334,'Customer Data'!B334,'Customer Data'!M334)</f>
        <v>Power Bank</v>
      </c>
      <c r="D334" s="2" t="s">
        <v>34</v>
      </c>
      <c r="E334" s="2" t="str">
        <f t="shared" si="5"/>
        <v>Bluetooth Speaker - Electronics</v>
      </c>
    </row>
    <row r="335" spans="1:5">
      <c r="A335" s="2">
        <v>107739</v>
      </c>
      <c r="B335" s="2" t="s">
        <v>45</v>
      </c>
      <c r="C335" s="2" t="str">
        <f>_xlfn.XLOOKUP(A335,'Customer Data'!B335,'Customer Data'!M335)</f>
        <v>Headphones</v>
      </c>
      <c r="D335" s="2" t="s">
        <v>34</v>
      </c>
      <c r="E335" s="2" t="str">
        <f t="shared" si="5"/>
        <v>Power Bank - Electronics</v>
      </c>
    </row>
    <row r="336" spans="1:5">
      <c r="A336" s="2">
        <v>102935</v>
      </c>
      <c r="B336" s="2" t="s">
        <v>48</v>
      </c>
      <c r="C336" s="2" t="str">
        <f>_xlfn.XLOOKUP(A336,'Customer Data'!B336,'Customer Data'!M336)</f>
        <v>Headphones</v>
      </c>
      <c r="D336" s="2" t="s">
        <v>34</v>
      </c>
      <c r="E336" s="2" t="str">
        <f t="shared" si="5"/>
        <v>Headphones - Electronics</v>
      </c>
    </row>
    <row r="337" spans="1:5">
      <c r="A337" s="2">
        <v>108337</v>
      </c>
      <c r="B337" s="2" t="s">
        <v>32</v>
      </c>
      <c r="C337" s="2" t="str">
        <f>_xlfn.XLOOKUP(A337,'Customer Data'!B337,'Customer Data'!M337)</f>
        <v>Headphones</v>
      </c>
      <c r="D337" s="2" t="s">
        <v>34</v>
      </c>
      <c r="E337" s="2" t="str">
        <f t="shared" si="5"/>
        <v>Headphones - Electronics</v>
      </c>
    </row>
    <row r="338" spans="1:5">
      <c r="A338" s="2">
        <v>102696</v>
      </c>
      <c r="B338" s="2" t="s">
        <v>35</v>
      </c>
      <c r="C338" s="2" t="str">
        <f>_xlfn.XLOOKUP(A338,'Customer Data'!B338,'Customer Data'!M338)</f>
        <v>Smart Watch</v>
      </c>
      <c r="D338" s="2" t="s">
        <v>59</v>
      </c>
      <c r="E338" s="2" t="str">
        <f t="shared" si="5"/>
        <v>Headphones - Electronics</v>
      </c>
    </row>
    <row r="339" spans="1:5">
      <c r="A339" s="2">
        <v>105902</v>
      </c>
      <c r="B339" s="2" t="s">
        <v>45</v>
      </c>
      <c r="C339" s="2" t="str">
        <f>_xlfn.XLOOKUP(A339,'Customer Data'!B339,'Customer Data'!M339)</f>
        <v>Wireless Mouse</v>
      </c>
      <c r="D339" s="2" t="s">
        <v>34</v>
      </c>
      <c r="E339" s="2" t="str">
        <f t="shared" si="5"/>
        <v>Smart Watch - Wearables</v>
      </c>
    </row>
    <row r="340" spans="1:5">
      <c r="A340" s="2">
        <v>102582</v>
      </c>
      <c r="B340" s="2" t="s">
        <v>55</v>
      </c>
      <c r="C340" s="2" t="str">
        <f>_xlfn.XLOOKUP(A340,'Customer Data'!B340,'Customer Data'!M340)</f>
        <v>Office Chair</v>
      </c>
      <c r="D340" s="2" t="s">
        <v>37</v>
      </c>
      <c r="E340" s="2" t="str">
        <f t="shared" si="5"/>
        <v>Wireless Mouse - Electronics</v>
      </c>
    </row>
    <row r="341" spans="1:5">
      <c r="A341" s="2">
        <v>105800</v>
      </c>
      <c r="B341" s="2" t="s">
        <v>55</v>
      </c>
      <c r="C341" s="2" t="str">
        <f>_xlfn.XLOOKUP(A341,'Customer Data'!B341,'Customer Data'!M341)</f>
        <v>USB-C Cable</v>
      </c>
      <c r="D341" s="2" t="s">
        <v>25</v>
      </c>
      <c r="E341" s="2" t="str">
        <f t="shared" si="5"/>
        <v>Office Chair - Home Office</v>
      </c>
    </row>
    <row r="342" spans="1:5">
      <c r="A342" s="2">
        <v>108857</v>
      </c>
      <c r="B342" s="2" t="s">
        <v>52</v>
      </c>
      <c r="C342" s="2" t="str">
        <f>_xlfn.XLOOKUP(A342,'Customer Data'!B342,'Customer Data'!M342)</f>
        <v>Power Bank</v>
      </c>
      <c r="D342" s="2" t="s">
        <v>34</v>
      </c>
      <c r="E342" s="2" t="str">
        <f t="shared" si="5"/>
        <v>USB-C Cable - Accessories</v>
      </c>
    </row>
    <row r="343" spans="1:5">
      <c r="A343" s="2">
        <v>103814</v>
      </c>
      <c r="B343" s="2" t="s">
        <v>28</v>
      </c>
      <c r="C343" s="2" t="str">
        <f>_xlfn.XLOOKUP(A343,'Customer Data'!B343,'Customer Data'!M343)</f>
        <v>Desk Lamp</v>
      </c>
      <c r="D343" s="2" t="s">
        <v>37</v>
      </c>
      <c r="E343" s="2" t="str">
        <f t="shared" si="5"/>
        <v>Power Bank - Electronics</v>
      </c>
    </row>
    <row r="344" spans="1:5">
      <c r="A344" s="2">
        <v>101735</v>
      </c>
      <c r="B344" s="2" t="s">
        <v>32</v>
      </c>
      <c r="C344" s="2" t="str">
        <f>_xlfn.XLOOKUP(A344,'Customer Data'!B344,'Customer Data'!M344)</f>
        <v>Microphone</v>
      </c>
      <c r="D344" s="2" t="s">
        <v>34</v>
      </c>
      <c r="E344" s="2" t="str">
        <f t="shared" si="5"/>
        <v>Desk Lamp - Home Office</v>
      </c>
    </row>
    <row r="345" spans="1:5">
      <c r="A345" s="2">
        <v>102611</v>
      </c>
      <c r="B345" s="2" t="s">
        <v>38</v>
      </c>
      <c r="C345" s="2" t="str">
        <f>_xlfn.XLOOKUP(A345,'Customer Data'!B345,'Customer Data'!M345)</f>
        <v>Bluetooth Speaker</v>
      </c>
      <c r="D345" s="2" t="s">
        <v>34</v>
      </c>
      <c r="E345" s="2" t="str">
        <f t="shared" si="5"/>
        <v>Microphone - Electronics</v>
      </c>
    </row>
    <row r="346" spans="1:5">
      <c r="A346" s="2">
        <v>101181</v>
      </c>
      <c r="B346" s="2" t="s">
        <v>32</v>
      </c>
      <c r="C346" s="2" t="str">
        <f>_xlfn.XLOOKUP(A346,'Customer Data'!B346,'Customer Data'!M346)</f>
        <v>Laptop Stand</v>
      </c>
      <c r="D346" s="2" t="s">
        <v>25</v>
      </c>
      <c r="E346" s="2" t="str">
        <f t="shared" si="5"/>
        <v>Bluetooth Speaker - Electronics</v>
      </c>
    </row>
    <row r="347" spans="1:5">
      <c r="A347" s="2">
        <v>107258</v>
      </c>
      <c r="B347" s="2" t="s">
        <v>32</v>
      </c>
      <c r="C347" s="2" t="str">
        <f>_xlfn.XLOOKUP(A347,'Customer Data'!B347,'Customer Data'!M347)</f>
        <v>Gaming Controller</v>
      </c>
      <c r="D347" s="2" t="s">
        <v>63</v>
      </c>
      <c r="E347" s="2" t="str">
        <f t="shared" si="5"/>
        <v>Laptop Stand - Accessories</v>
      </c>
    </row>
    <row r="348" spans="1:5">
      <c r="A348" s="2">
        <v>104047</v>
      </c>
      <c r="B348" s="2" t="s">
        <v>32</v>
      </c>
      <c r="C348" s="2" t="str">
        <f>_xlfn.XLOOKUP(A348,'Customer Data'!B348,'Customer Data'!M348)</f>
        <v>Wireless Mouse</v>
      </c>
      <c r="D348" s="2" t="s">
        <v>34</v>
      </c>
      <c r="E348" s="2" t="str">
        <f t="shared" si="5"/>
        <v>Gaming Controller - Gaming</v>
      </c>
    </row>
    <row r="349" spans="1:5">
      <c r="A349" s="2">
        <v>104799</v>
      </c>
      <c r="B349" s="2" t="s">
        <v>32</v>
      </c>
      <c r="C349" s="2" t="str">
        <f>_xlfn.XLOOKUP(A349,'Customer Data'!B349,'Customer Data'!M349)</f>
        <v>Wireless Mouse</v>
      </c>
      <c r="D349" s="2" t="s">
        <v>34</v>
      </c>
      <c r="E349" s="2" t="str">
        <f t="shared" si="5"/>
        <v>Wireless Mouse - Electronics</v>
      </c>
    </row>
    <row r="350" spans="1:5">
      <c r="A350" s="2">
        <v>107797</v>
      </c>
      <c r="B350" s="2" t="s">
        <v>55</v>
      </c>
      <c r="C350" s="2" t="str">
        <f>_xlfn.XLOOKUP(A350,'Customer Data'!B350,'Customer Data'!M350)</f>
        <v>USB-C Cable</v>
      </c>
      <c r="D350" s="2" t="s">
        <v>25</v>
      </c>
      <c r="E350" s="2" t="str">
        <f t="shared" si="5"/>
        <v>Wireless Mouse - Electronics</v>
      </c>
    </row>
    <row r="351" spans="1:5">
      <c r="A351" s="2">
        <v>105650</v>
      </c>
      <c r="B351" s="2" t="s">
        <v>32</v>
      </c>
      <c r="C351" s="2" t="str">
        <f>_xlfn.XLOOKUP(A351,'Customer Data'!B351,'Customer Data'!M351)</f>
        <v>Headphones</v>
      </c>
      <c r="D351" s="2" t="s">
        <v>34</v>
      </c>
      <c r="E351" s="2" t="str">
        <f t="shared" si="5"/>
        <v>USB-C Cable - Accessories</v>
      </c>
    </row>
    <row r="352" spans="1:5">
      <c r="A352" s="2">
        <v>104724</v>
      </c>
      <c r="B352" s="2" t="s">
        <v>45</v>
      </c>
      <c r="C352" s="2" t="str">
        <f>_xlfn.XLOOKUP(A352,'Customer Data'!B352,'Customer Data'!M352)</f>
        <v>HDMI Cable</v>
      </c>
      <c r="D352" s="2" t="s">
        <v>25</v>
      </c>
      <c r="E352" s="2" t="str">
        <f t="shared" si="5"/>
        <v>Headphones - Electronics</v>
      </c>
    </row>
    <row r="353" spans="1:5">
      <c r="A353" s="2">
        <v>101331</v>
      </c>
      <c r="B353" s="2" t="s">
        <v>43</v>
      </c>
      <c r="C353" s="2" t="str">
        <f>_xlfn.XLOOKUP(A353,'Customer Data'!B353,'Customer Data'!M353)</f>
        <v>HDMI Cable</v>
      </c>
      <c r="D353" s="2" t="s">
        <v>25</v>
      </c>
      <c r="E353" s="2" t="str">
        <f t="shared" si="5"/>
        <v>HDMI Cable - Accessories</v>
      </c>
    </row>
    <row r="354" spans="1:5">
      <c r="A354" s="2">
        <v>106659</v>
      </c>
      <c r="B354" s="2" t="s">
        <v>32</v>
      </c>
      <c r="C354" s="2" t="str">
        <f>_xlfn.XLOOKUP(A354,'Customer Data'!B354,'Customer Data'!M354)</f>
        <v>Fitness Band</v>
      </c>
      <c r="D354" s="2" t="s">
        <v>59</v>
      </c>
      <c r="E354" s="2" t="str">
        <f t="shared" si="5"/>
        <v>HDMI Cable - Accessories</v>
      </c>
    </row>
    <row r="355" spans="1:5">
      <c r="A355" s="2">
        <v>103902</v>
      </c>
      <c r="B355" s="2" t="s">
        <v>52</v>
      </c>
      <c r="C355" s="2" t="str">
        <f>_xlfn.XLOOKUP(A355,'Customer Data'!B355,'Customer Data'!M355)</f>
        <v>Phone Case</v>
      </c>
      <c r="D355" s="2" t="s">
        <v>25</v>
      </c>
      <c r="E355" s="2" t="str">
        <f t="shared" si="5"/>
        <v>Fitness Band - Wearables</v>
      </c>
    </row>
    <row r="356" spans="1:5">
      <c r="A356" s="2">
        <v>106525</v>
      </c>
      <c r="B356" s="2" t="s">
        <v>52</v>
      </c>
      <c r="C356" s="2" t="str">
        <f>_xlfn.XLOOKUP(A356,'Customer Data'!B356,'Customer Data'!M356)</f>
        <v>Mechanical Keyboard</v>
      </c>
      <c r="D356" s="2" t="s">
        <v>34</v>
      </c>
      <c r="E356" s="2" t="str">
        <f t="shared" si="5"/>
        <v>Phone Case - Accessories</v>
      </c>
    </row>
    <row r="357" spans="1:5">
      <c r="A357" s="2">
        <v>100344</v>
      </c>
      <c r="B357" s="2" t="s">
        <v>35</v>
      </c>
      <c r="C357" s="2" t="str">
        <f>_xlfn.XLOOKUP(A357,'Customer Data'!B357,'Customer Data'!M357)</f>
        <v>Power Bank</v>
      </c>
      <c r="D357" s="2" t="s">
        <v>34</v>
      </c>
      <c r="E357" s="2" t="str">
        <f t="shared" si="5"/>
        <v>Mechanical Keyboard - Electronics</v>
      </c>
    </row>
    <row r="358" spans="1:5">
      <c r="A358" s="2">
        <v>101528</v>
      </c>
      <c r="B358" s="2" t="s">
        <v>32</v>
      </c>
      <c r="C358" s="2" t="str">
        <f>_xlfn.XLOOKUP(A358,'Customer Data'!B358,'Customer Data'!M358)</f>
        <v>Smart Watch</v>
      </c>
      <c r="D358" s="2" t="s">
        <v>59</v>
      </c>
      <c r="E358" s="2" t="str">
        <f t="shared" si="5"/>
        <v>Power Bank - Electronics</v>
      </c>
    </row>
    <row r="359" spans="1:5">
      <c r="A359" s="2">
        <v>109099</v>
      </c>
      <c r="B359" s="2" t="s">
        <v>52</v>
      </c>
      <c r="C359" s="2" t="str">
        <f>_xlfn.XLOOKUP(A359,'Customer Data'!B359,'Customer Data'!M359)</f>
        <v>USB-C Cable</v>
      </c>
      <c r="D359" s="2" t="s">
        <v>25</v>
      </c>
      <c r="E359" s="2" t="str">
        <f t="shared" si="5"/>
        <v>Smart Watch - Wearables</v>
      </c>
    </row>
    <row r="360" spans="1:5">
      <c r="A360" s="2">
        <v>107411</v>
      </c>
      <c r="B360" s="2" t="s">
        <v>38</v>
      </c>
      <c r="C360" s="2" t="str">
        <f>_xlfn.XLOOKUP(A360,'Customer Data'!B360,'Customer Data'!M360)</f>
        <v>Notebook</v>
      </c>
      <c r="D360" s="2" t="s">
        <v>54</v>
      </c>
      <c r="E360" s="2" t="str">
        <f t="shared" si="5"/>
        <v>USB-C Cable - Accessories</v>
      </c>
    </row>
    <row r="361" spans="1:5">
      <c r="A361" s="2">
        <v>106065</v>
      </c>
      <c r="B361" s="2" t="s">
        <v>32</v>
      </c>
      <c r="C361" s="2" t="str">
        <f>_xlfn.XLOOKUP(A361,'Customer Data'!B361,'Customer Data'!M361)</f>
        <v>Bluetooth Speaker</v>
      </c>
      <c r="D361" s="2" t="s">
        <v>34</v>
      </c>
      <c r="E361" s="2" t="str">
        <f t="shared" si="5"/>
        <v>Notebook - Stationery</v>
      </c>
    </row>
    <row r="362" spans="1:5">
      <c r="A362" s="2">
        <v>101206</v>
      </c>
      <c r="B362" s="2" t="s">
        <v>48</v>
      </c>
      <c r="C362" s="2" t="str">
        <f>_xlfn.XLOOKUP(A362,'Customer Data'!B362,'Customer Data'!M362)</f>
        <v>USB-C Cable</v>
      </c>
      <c r="D362" s="2" t="s">
        <v>25</v>
      </c>
      <c r="E362" s="2" t="str">
        <f t="shared" si="5"/>
        <v>Bluetooth Speaker - Electronics</v>
      </c>
    </row>
    <row r="363" spans="1:5">
      <c r="A363" s="2">
        <v>105716</v>
      </c>
      <c r="B363" s="2" t="s">
        <v>45</v>
      </c>
      <c r="C363" s="2" t="str">
        <f>_xlfn.XLOOKUP(A363,'Customer Data'!B363,'Customer Data'!M363)</f>
        <v>Desk Lamp</v>
      </c>
      <c r="D363" s="2" t="s">
        <v>37</v>
      </c>
      <c r="E363" s="2" t="str">
        <f t="shared" si="5"/>
        <v>USB-C Cable - Accessories</v>
      </c>
    </row>
    <row r="364" spans="1:5">
      <c r="A364" s="2">
        <v>107128</v>
      </c>
      <c r="B364" s="2" t="s">
        <v>48</v>
      </c>
      <c r="C364" s="2" t="str">
        <f>_xlfn.XLOOKUP(A364,'Customer Data'!B364,'Customer Data'!M364)</f>
        <v>Phone Case</v>
      </c>
      <c r="D364" s="2" t="s">
        <v>25</v>
      </c>
      <c r="E364" s="2" t="str">
        <f t="shared" si="5"/>
        <v>Desk Lamp - Home Office</v>
      </c>
    </row>
    <row r="365" spans="1:5">
      <c r="A365" s="2">
        <v>107852</v>
      </c>
      <c r="B365" s="2" t="s">
        <v>28</v>
      </c>
      <c r="C365" s="2" t="str">
        <f>_xlfn.XLOOKUP(A365,'Customer Data'!B365,'Customer Data'!M365)</f>
        <v>Phone Case</v>
      </c>
      <c r="D365" s="2" t="s">
        <v>25</v>
      </c>
      <c r="E365" s="2" t="str">
        <f t="shared" si="5"/>
        <v>Phone Case - Accessories</v>
      </c>
    </row>
    <row r="366" spans="1:5">
      <c r="A366" s="2">
        <v>109235</v>
      </c>
      <c r="B366" s="2" t="s">
        <v>32</v>
      </c>
      <c r="C366" s="2" t="str">
        <f>_xlfn.XLOOKUP(A366,'Customer Data'!B366,'Customer Data'!M366)</f>
        <v>Mechanical Keyboard</v>
      </c>
      <c r="D366" s="2" t="s">
        <v>34</v>
      </c>
      <c r="E366" s="2" t="str">
        <f t="shared" si="5"/>
        <v>Phone Case - Accessories</v>
      </c>
    </row>
    <row r="367" spans="1:5">
      <c r="A367" s="2">
        <v>108526</v>
      </c>
      <c r="B367" s="2" t="s">
        <v>32</v>
      </c>
      <c r="C367" s="2" t="str">
        <f>_xlfn.XLOOKUP(A367,'Customer Data'!B367,'Customer Data'!M367)</f>
        <v>Notebook</v>
      </c>
      <c r="D367" s="2" t="s">
        <v>54</v>
      </c>
      <c r="E367" s="2" t="str">
        <f t="shared" si="5"/>
        <v>Mechanical Keyboard - Electronics</v>
      </c>
    </row>
    <row r="368" spans="1:5">
      <c r="A368" s="2">
        <v>101158</v>
      </c>
      <c r="B368" s="2" t="s">
        <v>32</v>
      </c>
      <c r="C368" s="2" t="str">
        <f>_xlfn.XLOOKUP(A368,'Customer Data'!B368,'Customer Data'!M368)</f>
        <v>Notebook</v>
      </c>
      <c r="D368" s="2" t="s">
        <v>54</v>
      </c>
      <c r="E368" s="2" t="str">
        <f t="shared" si="5"/>
        <v>Notebook - Stationery</v>
      </c>
    </row>
    <row r="369" spans="1:5">
      <c r="A369" s="2">
        <v>103438</v>
      </c>
      <c r="B369" s="2" t="s">
        <v>22</v>
      </c>
      <c r="C369" s="2" t="str">
        <f>_xlfn.XLOOKUP(A369,'Customer Data'!B369,'Customer Data'!M369)</f>
        <v>Webcam</v>
      </c>
      <c r="D369" s="2" t="s">
        <v>34</v>
      </c>
      <c r="E369" s="2" t="str">
        <f t="shared" si="5"/>
        <v>Notebook - Stationery</v>
      </c>
    </row>
    <row r="370" spans="1:5">
      <c r="A370" s="2">
        <v>101265</v>
      </c>
      <c r="B370" s="2" t="s">
        <v>43</v>
      </c>
      <c r="C370" s="2" t="str">
        <f>_xlfn.XLOOKUP(A370,'Customer Data'!B370,'Customer Data'!M370)</f>
        <v>Phone Case</v>
      </c>
      <c r="D370" s="2" t="s">
        <v>25</v>
      </c>
      <c r="E370" s="2" t="str">
        <f t="shared" si="5"/>
        <v>Webcam - Electronics</v>
      </c>
    </row>
    <row r="371" spans="1:5">
      <c r="A371" s="2">
        <v>101541</v>
      </c>
      <c r="B371" s="2" t="s">
        <v>52</v>
      </c>
      <c r="C371" s="2" t="str">
        <f>_xlfn.XLOOKUP(A371,'Customer Data'!B371,'Customer Data'!M371)</f>
        <v>HDMI Cable</v>
      </c>
      <c r="D371" s="2" t="s">
        <v>25</v>
      </c>
      <c r="E371" s="2" t="str">
        <f t="shared" si="5"/>
        <v>Phone Case - Accessories</v>
      </c>
    </row>
    <row r="372" spans="1:5">
      <c r="A372" s="2">
        <v>109882</v>
      </c>
      <c r="B372" s="2" t="s">
        <v>38</v>
      </c>
      <c r="C372" s="2" t="str">
        <f>_xlfn.XLOOKUP(A372,'Customer Data'!B372,'Customer Data'!M372)</f>
        <v>Phone Case</v>
      </c>
      <c r="D372" s="2" t="s">
        <v>25</v>
      </c>
      <c r="E372" s="2" t="str">
        <f t="shared" si="5"/>
        <v>HDMI Cable - Accessories</v>
      </c>
    </row>
    <row r="373" spans="1:5">
      <c r="A373" s="2">
        <v>104149</v>
      </c>
      <c r="B373" s="2" t="s">
        <v>45</v>
      </c>
      <c r="C373" s="2" t="str">
        <f>_xlfn.XLOOKUP(A373,'Customer Data'!B373,'Customer Data'!M373)</f>
        <v>Gaming Controller</v>
      </c>
      <c r="D373" s="2" t="s">
        <v>63</v>
      </c>
      <c r="E373" s="2" t="str">
        <f t="shared" si="5"/>
        <v>Phone Case - Accessories</v>
      </c>
    </row>
    <row r="374" spans="1:5">
      <c r="A374" s="2">
        <v>109715</v>
      </c>
      <c r="B374" s="2" t="s">
        <v>48</v>
      </c>
      <c r="C374" s="2" t="str">
        <f>_xlfn.XLOOKUP(A374,'Customer Data'!B374,'Customer Data'!M374)</f>
        <v>Microphone</v>
      </c>
      <c r="D374" s="2" t="s">
        <v>34</v>
      </c>
      <c r="E374" s="2" t="str">
        <f t="shared" si="5"/>
        <v>Gaming Controller - Gaming</v>
      </c>
    </row>
    <row r="375" spans="1:5">
      <c r="A375" s="2">
        <v>109765</v>
      </c>
      <c r="B375" s="2" t="s">
        <v>32</v>
      </c>
      <c r="C375" s="2" t="str">
        <f>_xlfn.XLOOKUP(A375,'Customer Data'!B375,'Customer Data'!M375)</f>
        <v>Tablet</v>
      </c>
      <c r="D375" s="2" t="s">
        <v>34</v>
      </c>
      <c r="E375" s="2" t="str">
        <f t="shared" si="5"/>
        <v>Microphone - Electronics</v>
      </c>
    </row>
    <row r="376" spans="1:5">
      <c r="A376" s="2">
        <v>104869</v>
      </c>
      <c r="B376" s="2" t="s">
        <v>32</v>
      </c>
      <c r="C376" s="2" t="str">
        <f>_xlfn.XLOOKUP(A376,'Customer Data'!B376,'Customer Data'!M376)</f>
        <v>Wireless Mouse</v>
      </c>
      <c r="D376" s="2" t="s">
        <v>34</v>
      </c>
      <c r="E376" s="2" t="str">
        <f t="shared" si="5"/>
        <v>Tablet - Electronics</v>
      </c>
    </row>
    <row r="377" spans="1:5">
      <c r="A377" s="2">
        <v>105814</v>
      </c>
      <c r="B377" s="2" t="s">
        <v>38</v>
      </c>
      <c r="C377" s="2" t="str">
        <f>_xlfn.XLOOKUP(A377,'Customer Data'!B377,'Customer Data'!M377)</f>
        <v>HDMI Cable</v>
      </c>
      <c r="D377" s="2" t="s">
        <v>25</v>
      </c>
      <c r="E377" s="2" t="str">
        <f t="shared" si="5"/>
        <v>Wireless Mouse - Electronics</v>
      </c>
    </row>
    <row r="378" spans="1:5">
      <c r="A378" s="2">
        <v>101504</v>
      </c>
      <c r="B378" s="2" t="s">
        <v>55</v>
      </c>
      <c r="C378" s="2" t="str">
        <f>_xlfn.XLOOKUP(A378,'Customer Data'!B378,'Customer Data'!M378)</f>
        <v>Desk Lamp</v>
      </c>
      <c r="D378" s="2" t="s">
        <v>37</v>
      </c>
      <c r="E378" s="2" t="str">
        <f t="shared" si="5"/>
        <v>HDMI Cable - Accessories</v>
      </c>
    </row>
    <row r="379" spans="1:5">
      <c r="A379" s="2">
        <v>102142</v>
      </c>
      <c r="B379" s="2" t="s">
        <v>38</v>
      </c>
      <c r="C379" s="2" t="str">
        <f>_xlfn.XLOOKUP(A379,'Customer Data'!B379,'Customer Data'!M379)</f>
        <v>Wireless Mouse</v>
      </c>
      <c r="D379" s="2" t="s">
        <v>34</v>
      </c>
      <c r="E379" s="2" t="str">
        <f t="shared" si="5"/>
        <v>Desk Lamp - Home Office</v>
      </c>
    </row>
    <row r="380" spans="1:5">
      <c r="A380" s="2">
        <v>106383</v>
      </c>
      <c r="B380" s="2" t="s">
        <v>43</v>
      </c>
      <c r="C380" s="2" t="str">
        <f>_xlfn.XLOOKUP(A380,'Customer Data'!B380,'Customer Data'!M380)</f>
        <v>Desk Lamp</v>
      </c>
      <c r="D380" s="2" t="s">
        <v>37</v>
      </c>
      <c r="E380" s="2" t="str">
        <f t="shared" si="5"/>
        <v>Wireless Mouse - Electronics</v>
      </c>
    </row>
    <row r="381" spans="1:5">
      <c r="A381" s="2">
        <v>108676</v>
      </c>
      <c r="B381" s="2" t="s">
        <v>28</v>
      </c>
      <c r="C381" s="2" t="str">
        <f>_xlfn.XLOOKUP(A381,'Customer Data'!B381,'Customer Data'!M381)</f>
        <v>Backpack</v>
      </c>
      <c r="D381" s="2" t="s">
        <v>25</v>
      </c>
      <c r="E381" s="2" t="str">
        <f t="shared" si="5"/>
        <v>Desk Lamp - Home Office</v>
      </c>
    </row>
    <row r="382" spans="1:5">
      <c r="A382" s="2">
        <v>105268</v>
      </c>
      <c r="B382" s="2" t="s">
        <v>45</v>
      </c>
      <c r="C382" s="2" t="str">
        <f>_xlfn.XLOOKUP(A382,'Customer Data'!B382,'Customer Data'!M382)</f>
        <v>Phone Case</v>
      </c>
      <c r="D382" s="2" t="s">
        <v>25</v>
      </c>
      <c r="E382" s="2" t="str">
        <f t="shared" si="5"/>
        <v>Backpack - Accessories</v>
      </c>
    </row>
    <row r="383" spans="1:5">
      <c r="A383" s="2">
        <v>102029</v>
      </c>
      <c r="B383" s="2" t="s">
        <v>48</v>
      </c>
      <c r="C383" s="2" t="str">
        <f>_xlfn.XLOOKUP(A383,'Customer Data'!B383,'Customer Data'!M383)</f>
        <v>Backpack</v>
      </c>
      <c r="D383" s="2" t="s">
        <v>25</v>
      </c>
      <c r="E383" s="2" t="str">
        <f t="shared" si="5"/>
        <v>Phone Case - Accessories</v>
      </c>
    </row>
    <row r="384" spans="1:5">
      <c r="A384" s="2">
        <v>103889</v>
      </c>
      <c r="B384" s="2" t="s">
        <v>38</v>
      </c>
      <c r="C384" s="2" t="str">
        <f>_xlfn.XLOOKUP(A384,'Customer Data'!B384,'Customer Data'!M384)</f>
        <v>HDMI Cable</v>
      </c>
      <c r="D384" s="2" t="s">
        <v>25</v>
      </c>
      <c r="E384" s="2" t="str">
        <f t="shared" si="5"/>
        <v>Backpack - Accessories</v>
      </c>
    </row>
    <row r="385" spans="1:5">
      <c r="A385" s="2">
        <v>105944</v>
      </c>
      <c r="B385" s="2" t="s">
        <v>43</v>
      </c>
      <c r="C385" s="2" t="str">
        <f>_xlfn.XLOOKUP(A385,'Customer Data'!B385,'Customer Data'!M385)</f>
        <v>Phone Case</v>
      </c>
      <c r="D385" s="2" t="s">
        <v>25</v>
      </c>
      <c r="E385" s="2" t="str">
        <f t="shared" si="5"/>
        <v>HDMI Cable - Accessories</v>
      </c>
    </row>
    <row r="386" spans="1:5">
      <c r="A386" s="2">
        <v>107310</v>
      </c>
      <c r="B386" s="2" t="s">
        <v>45</v>
      </c>
      <c r="C386" s="2" t="str">
        <f>_xlfn.XLOOKUP(A386,'Customer Data'!B386,'Customer Data'!M386)</f>
        <v>Fitness Band</v>
      </c>
      <c r="D386" s="2" t="s">
        <v>59</v>
      </c>
      <c r="E386" s="2" t="str">
        <f t="shared" si="5"/>
        <v>Phone Case - Accessories</v>
      </c>
    </row>
    <row r="387" spans="1:5">
      <c r="A387" s="2">
        <v>100983</v>
      </c>
      <c r="B387" s="2" t="s">
        <v>22</v>
      </c>
      <c r="C387" s="2" t="str">
        <f>_xlfn.XLOOKUP(A387,'Customer Data'!B387,'Customer Data'!M387)</f>
        <v>Backpack</v>
      </c>
      <c r="D387" s="2" t="s">
        <v>25</v>
      </c>
      <c r="E387" s="2" t="str">
        <f t="shared" ref="E387:E450" si="6">CONCATENATE(C386," - ",D386)</f>
        <v>Fitness Band - Wearables</v>
      </c>
    </row>
    <row r="388" spans="1:5">
      <c r="A388" s="2">
        <v>102390</v>
      </c>
      <c r="B388" s="2" t="s">
        <v>32</v>
      </c>
      <c r="C388" s="2" t="str">
        <f>_xlfn.XLOOKUP(A388,'Customer Data'!B388,'Customer Data'!M388)</f>
        <v>Wireless Mouse</v>
      </c>
      <c r="D388" s="2" t="s">
        <v>34</v>
      </c>
      <c r="E388" s="2" t="str">
        <f t="shared" si="6"/>
        <v>Backpack - Accessories</v>
      </c>
    </row>
    <row r="389" spans="1:5">
      <c r="A389" s="2">
        <v>101853</v>
      </c>
      <c r="B389" s="2" t="s">
        <v>38</v>
      </c>
      <c r="C389" s="2" t="str">
        <f>_xlfn.XLOOKUP(A389,'Customer Data'!B389,'Customer Data'!M389)</f>
        <v>Bluetooth Speaker</v>
      </c>
      <c r="D389" s="2" t="s">
        <v>34</v>
      </c>
      <c r="E389" s="2" t="str">
        <f t="shared" si="6"/>
        <v>Wireless Mouse - Electronics</v>
      </c>
    </row>
    <row r="390" spans="1:5">
      <c r="A390" s="2">
        <v>107782</v>
      </c>
      <c r="B390" s="2" t="s">
        <v>38</v>
      </c>
      <c r="C390" s="2" t="str">
        <f>_xlfn.XLOOKUP(A390,'Customer Data'!B390,'Customer Data'!M390)</f>
        <v>Mechanical Keyboard</v>
      </c>
      <c r="D390" s="2" t="s">
        <v>34</v>
      </c>
      <c r="E390" s="2" t="str">
        <f t="shared" si="6"/>
        <v>Bluetooth Speaker - Electronics</v>
      </c>
    </row>
    <row r="391" spans="1:5">
      <c r="A391" s="2">
        <v>102773</v>
      </c>
      <c r="B391" s="2" t="s">
        <v>32</v>
      </c>
      <c r="C391" s="2" t="str">
        <f>_xlfn.XLOOKUP(A391,'Customer Data'!B391,'Customer Data'!M391)</f>
        <v>Notebook</v>
      </c>
      <c r="D391" s="2" t="s">
        <v>54</v>
      </c>
      <c r="E391" s="2" t="str">
        <f t="shared" si="6"/>
        <v>Mechanical Keyboard - Electronics</v>
      </c>
    </row>
    <row r="392" spans="1:5">
      <c r="A392" s="2">
        <v>106497</v>
      </c>
      <c r="B392" s="2" t="s">
        <v>32</v>
      </c>
      <c r="C392" s="2" t="str">
        <f>_xlfn.XLOOKUP(A392,'Customer Data'!B392,'Customer Data'!M392)</f>
        <v>Laptop Stand</v>
      </c>
      <c r="D392" s="2" t="s">
        <v>25</v>
      </c>
      <c r="E392" s="2" t="str">
        <f t="shared" si="6"/>
        <v>Notebook - Stationery</v>
      </c>
    </row>
    <row r="393" spans="1:5">
      <c r="A393" s="2">
        <v>101287</v>
      </c>
      <c r="B393" s="2" t="s">
        <v>43</v>
      </c>
      <c r="C393" s="2" t="str">
        <f>_xlfn.XLOOKUP(A393,'Customer Data'!B393,'Customer Data'!M393)</f>
        <v>Tablet</v>
      </c>
      <c r="D393" s="2" t="s">
        <v>34</v>
      </c>
      <c r="E393" s="2" t="str">
        <f t="shared" si="6"/>
        <v>Laptop Stand - Accessories</v>
      </c>
    </row>
    <row r="394" spans="1:5">
      <c r="A394" s="2">
        <v>101164</v>
      </c>
      <c r="B394" s="2" t="s">
        <v>35</v>
      </c>
      <c r="C394" s="2" t="str">
        <f>_xlfn.XLOOKUP(A394,'Customer Data'!B394,'Customer Data'!M394)</f>
        <v>Gaming Controller</v>
      </c>
      <c r="D394" s="2" t="s">
        <v>63</v>
      </c>
      <c r="E394" s="2" t="str">
        <f t="shared" si="6"/>
        <v>Tablet - Electronics</v>
      </c>
    </row>
    <row r="395" spans="1:5">
      <c r="A395" s="2">
        <v>101132</v>
      </c>
      <c r="B395" s="2" t="s">
        <v>48</v>
      </c>
      <c r="C395" s="2" t="str">
        <f>_xlfn.XLOOKUP(A395,'Customer Data'!B395,'Customer Data'!M395)</f>
        <v>USB-C Cable</v>
      </c>
      <c r="D395" s="2" t="s">
        <v>25</v>
      </c>
      <c r="E395" s="2" t="str">
        <f t="shared" si="6"/>
        <v>Gaming Controller - Gaming</v>
      </c>
    </row>
    <row r="396" spans="1:5">
      <c r="A396" s="2">
        <v>104273</v>
      </c>
      <c r="B396" s="2" t="s">
        <v>52</v>
      </c>
      <c r="C396" s="2" t="str">
        <f>_xlfn.XLOOKUP(A396,'Customer Data'!B396,'Customer Data'!M396)</f>
        <v>Desk Lamp</v>
      </c>
      <c r="D396" s="2" t="s">
        <v>37</v>
      </c>
      <c r="E396" s="2" t="str">
        <f t="shared" si="6"/>
        <v>USB-C Cable - Accessories</v>
      </c>
    </row>
    <row r="397" spans="1:5">
      <c r="A397" s="2">
        <v>100203</v>
      </c>
      <c r="B397" s="2" t="s">
        <v>32</v>
      </c>
      <c r="C397" s="2" t="str">
        <f>_xlfn.XLOOKUP(A397,'Customer Data'!B397,'Customer Data'!M397)</f>
        <v>Wireless Mouse</v>
      </c>
      <c r="D397" s="2" t="s">
        <v>34</v>
      </c>
      <c r="E397" s="2" t="str">
        <f t="shared" si="6"/>
        <v>Desk Lamp - Home Office</v>
      </c>
    </row>
    <row r="398" spans="1:5">
      <c r="A398" s="2">
        <v>105180</v>
      </c>
      <c r="B398" s="2" t="s">
        <v>48</v>
      </c>
      <c r="C398" s="2" t="str">
        <f>_xlfn.XLOOKUP(A398,'Customer Data'!B398,'Customer Data'!M398)</f>
        <v>Tablet</v>
      </c>
      <c r="D398" s="2" t="s">
        <v>34</v>
      </c>
      <c r="E398" s="2" t="str">
        <f t="shared" si="6"/>
        <v>Wireless Mouse - Electronics</v>
      </c>
    </row>
    <row r="399" spans="1:5">
      <c r="A399" s="2">
        <v>102696</v>
      </c>
      <c r="B399" s="2" t="s">
        <v>35</v>
      </c>
      <c r="C399" s="2" t="str">
        <f>_xlfn.XLOOKUP(A399,'Customer Data'!B399,'Customer Data'!M399)</f>
        <v>Gaming Controller</v>
      </c>
      <c r="D399" s="2" t="s">
        <v>63</v>
      </c>
      <c r="E399" s="2" t="str">
        <f t="shared" si="6"/>
        <v>Tablet - Electronics</v>
      </c>
    </row>
    <row r="400" spans="1:5">
      <c r="A400" s="2">
        <v>104784</v>
      </c>
      <c r="B400" s="2" t="s">
        <v>32</v>
      </c>
      <c r="C400" s="2" t="str">
        <f>_xlfn.XLOOKUP(A400,'Customer Data'!B400,'Customer Data'!M400)</f>
        <v>Phone Case</v>
      </c>
      <c r="D400" s="2" t="s">
        <v>25</v>
      </c>
      <c r="E400" s="2" t="str">
        <f t="shared" si="6"/>
        <v>Gaming Controller - Gaming</v>
      </c>
    </row>
    <row r="401" spans="1:5">
      <c r="A401" s="2">
        <v>104685</v>
      </c>
      <c r="B401" s="2" t="s">
        <v>32</v>
      </c>
      <c r="C401" s="2" t="str">
        <f>_xlfn.XLOOKUP(A401,'Customer Data'!B401,'Customer Data'!M401)</f>
        <v>Notebook</v>
      </c>
      <c r="D401" s="2" t="s">
        <v>54</v>
      </c>
      <c r="E401" s="2" t="str">
        <f t="shared" si="6"/>
        <v>Phone Case - Accessories</v>
      </c>
    </row>
    <row r="402" spans="1:5">
      <c r="A402" s="2">
        <v>107934</v>
      </c>
      <c r="B402" s="2" t="s">
        <v>38</v>
      </c>
      <c r="C402" s="2" t="str">
        <f>_xlfn.XLOOKUP(A402,'Customer Data'!B402,'Customer Data'!M402)</f>
        <v>Backpack</v>
      </c>
      <c r="D402" s="2" t="s">
        <v>25</v>
      </c>
      <c r="E402" s="2" t="str">
        <f t="shared" si="6"/>
        <v>Notebook - Stationery</v>
      </c>
    </row>
    <row r="403" spans="1:5">
      <c r="A403" s="2">
        <v>107909</v>
      </c>
      <c r="B403" s="2" t="s">
        <v>32</v>
      </c>
      <c r="C403" s="2" t="str">
        <f>_xlfn.XLOOKUP(A403,'Customer Data'!B403,'Customer Data'!M403)</f>
        <v>Microphone</v>
      </c>
      <c r="D403" s="2" t="s">
        <v>34</v>
      </c>
      <c r="E403" s="2" t="str">
        <f t="shared" si="6"/>
        <v>Backpack - Accessories</v>
      </c>
    </row>
    <row r="404" spans="1:5">
      <c r="A404" s="2">
        <v>106115</v>
      </c>
      <c r="B404" s="2" t="s">
        <v>48</v>
      </c>
      <c r="C404" s="2" t="str">
        <f>_xlfn.XLOOKUP(A404,'Customer Data'!B404,'Customer Data'!M404)</f>
        <v>Phone Case</v>
      </c>
      <c r="D404" s="2" t="s">
        <v>25</v>
      </c>
      <c r="E404" s="2" t="str">
        <f t="shared" si="6"/>
        <v>Microphone - Electronics</v>
      </c>
    </row>
    <row r="405" spans="1:5">
      <c r="A405" s="2">
        <v>105713</v>
      </c>
      <c r="B405" s="2" t="s">
        <v>43</v>
      </c>
      <c r="C405" s="2" t="str">
        <f>_xlfn.XLOOKUP(A405,'Customer Data'!B405,'Customer Data'!M405)</f>
        <v>Smart Watch</v>
      </c>
      <c r="D405" s="2" t="s">
        <v>59</v>
      </c>
      <c r="E405" s="2" t="str">
        <f t="shared" si="6"/>
        <v>Phone Case - Accessories</v>
      </c>
    </row>
    <row r="406" spans="1:5">
      <c r="A406" s="2">
        <v>102244</v>
      </c>
      <c r="B406" s="2" t="s">
        <v>22</v>
      </c>
      <c r="C406" s="2" t="str">
        <f>_xlfn.XLOOKUP(A406,'Customer Data'!B406,'Customer Data'!M406)</f>
        <v>Power Bank</v>
      </c>
      <c r="D406" s="2" t="s">
        <v>34</v>
      </c>
      <c r="E406" s="2" t="str">
        <f t="shared" si="6"/>
        <v>Smart Watch - Wearables</v>
      </c>
    </row>
    <row r="407" spans="1:5">
      <c r="A407" s="2">
        <v>104983</v>
      </c>
      <c r="B407" s="2" t="s">
        <v>28</v>
      </c>
      <c r="C407" s="2" t="str">
        <f>_xlfn.XLOOKUP(A407,'Customer Data'!B407,'Customer Data'!M407)</f>
        <v>Wireless Mouse</v>
      </c>
      <c r="D407" s="2" t="s">
        <v>34</v>
      </c>
      <c r="E407" s="2" t="str">
        <f t="shared" si="6"/>
        <v>Power Bank - Electronics</v>
      </c>
    </row>
    <row r="408" spans="1:5">
      <c r="A408" s="2">
        <v>105862</v>
      </c>
      <c r="B408" s="2" t="s">
        <v>38</v>
      </c>
      <c r="C408" s="2" t="str">
        <f>_xlfn.XLOOKUP(A408,'Customer Data'!B408,'Customer Data'!M408)</f>
        <v>HDMI Cable</v>
      </c>
      <c r="D408" s="2" t="s">
        <v>25</v>
      </c>
      <c r="E408" s="2" t="str">
        <f t="shared" si="6"/>
        <v>Wireless Mouse - Electronics</v>
      </c>
    </row>
    <row r="409" spans="1:5">
      <c r="A409" s="2">
        <v>109326</v>
      </c>
      <c r="B409" s="2" t="s">
        <v>48</v>
      </c>
      <c r="C409" s="2" t="str">
        <f>_xlfn.XLOOKUP(A409,'Customer Data'!B409,'Customer Data'!M409)</f>
        <v>Phone Case</v>
      </c>
      <c r="D409" s="2" t="s">
        <v>25</v>
      </c>
      <c r="E409" s="2" t="str">
        <f t="shared" si="6"/>
        <v>HDMI Cable - Accessories</v>
      </c>
    </row>
    <row r="410" spans="1:5">
      <c r="A410" s="2">
        <v>102918</v>
      </c>
      <c r="B410" s="2" t="s">
        <v>32</v>
      </c>
      <c r="C410" s="2" t="str">
        <f>_xlfn.XLOOKUP(A410,'Customer Data'!B410,'Customer Data'!M410)</f>
        <v>Notebook</v>
      </c>
      <c r="D410" s="2" t="s">
        <v>54</v>
      </c>
      <c r="E410" s="2" t="str">
        <f t="shared" si="6"/>
        <v>Phone Case - Accessories</v>
      </c>
    </row>
    <row r="411" spans="1:5">
      <c r="A411" s="2">
        <v>107013</v>
      </c>
      <c r="B411" s="2" t="s">
        <v>52</v>
      </c>
      <c r="C411" s="2" t="str">
        <f>_xlfn.XLOOKUP(A411,'Customer Data'!B411,'Customer Data'!M411)</f>
        <v>Backpack</v>
      </c>
      <c r="D411" s="2" t="s">
        <v>25</v>
      </c>
      <c r="E411" s="2" t="str">
        <f t="shared" si="6"/>
        <v>Notebook - Stationery</v>
      </c>
    </row>
    <row r="412" spans="1:5">
      <c r="A412" s="2">
        <v>101954</v>
      </c>
      <c r="B412" s="2" t="s">
        <v>48</v>
      </c>
      <c r="C412" s="2" t="str">
        <f>_xlfn.XLOOKUP(A412,'Customer Data'!B412,'Customer Data'!M412)</f>
        <v>Headphones</v>
      </c>
      <c r="D412" s="2" t="s">
        <v>34</v>
      </c>
      <c r="E412" s="2" t="str">
        <f t="shared" si="6"/>
        <v>Backpack - Accessories</v>
      </c>
    </row>
    <row r="413" spans="1:5">
      <c r="A413" s="2">
        <v>100941</v>
      </c>
      <c r="B413" s="2" t="s">
        <v>38</v>
      </c>
      <c r="C413" s="2" t="str">
        <f>_xlfn.XLOOKUP(A413,'Customer Data'!B413,'Customer Data'!M413)</f>
        <v>Headphones</v>
      </c>
      <c r="D413" s="2" t="s">
        <v>34</v>
      </c>
      <c r="E413" s="2" t="str">
        <f t="shared" si="6"/>
        <v>Headphones - Electronics</v>
      </c>
    </row>
    <row r="414" spans="1:5">
      <c r="A414" s="2">
        <v>109947</v>
      </c>
      <c r="B414" s="2" t="s">
        <v>32</v>
      </c>
      <c r="C414" s="2" t="str">
        <f>_xlfn.XLOOKUP(A414,'Customer Data'!B414,'Customer Data'!M414)</f>
        <v>Gaming Controller</v>
      </c>
      <c r="D414" s="2" t="s">
        <v>63</v>
      </c>
      <c r="E414" s="2" t="str">
        <f t="shared" si="6"/>
        <v>Headphones - Electronics</v>
      </c>
    </row>
    <row r="415" spans="1:5">
      <c r="A415" s="2">
        <v>102554</v>
      </c>
      <c r="B415" s="2" t="s">
        <v>32</v>
      </c>
      <c r="C415" s="2" t="str">
        <f>_xlfn.XLOOKUP(A415,'Customer Data'!B415,'Customer Data'!M415)</f>
        <v>Bluetooth Speaker</v>
      </c>
      <c r="D415" s="2" t="s">
        <v>34</v>
      </c>
      <c r="E415" s="2" t="str">
        <f t="shared" si="6"/>
        <v>Gaming Controller - Gaming</v>
      </c>
    </row>
    <row r="416" spans="1:5">
      <c r="A416" s="2">
        <v>106330</v>
      </c>
      <c r="B416" s="2" t="s">
        <v>28</v>
      </c>
      <c r="C416" s="2" t="str">
        <f>_xlfn.XLOOKUP(A416,'Customer Data'!B416,'Customer Data'!M416)</f>
        <v>Backpack</v>
      </c>
      <c r="D416" s="2" t="s">
        <v>25</v>
      </c>
      <c r="E416" s="2" t="str">
        <f t="shared" si="6"/>
        <v>Bluetooth Speaker - Electronics</v>
      </c>
    </row>
    <row r="417" spans="1:5">
      <c r="A417" s="2">
        <v>102594</v>
      </c>
      <c r="B417" s="2" t="s">
        <v>22</v>
      </c>
      <c r="C417" s="2" t="str">
        <f>_xlfn.XLOOKUP(A417,'Customer Data'!B417,'Customer Data'!M417)</f>
        <v>USB-C Cable</v>
      </c>
      <c r="D417" s="2" t="s">
        <v>25</v>
      </c>
      <c r="E417" s="2" t="str">
        <f t="shared" si="6"/>
        <v>Backpack - Accessories</v>
      </c>
    </row>
    <row r="418" spans="1:5">
      <c r="A418" s="2">
        <v>103310</v>
      </c>
      <c r="B418" s="2" t="s">
        <v>28</v>
      </c>
      <c r="C418" s="2" t="str">
        <f>_xlfn.XLOOKUP(A418,'Customer Data'!B418,'Customer Data'!M418)</f>
        <v>Power Bank</v>
      </c>
      <c r="D418" s="2" t="s">
        <v>34</v>
      </c>
      <c r="E418" s="2" t="str">
        <f t="shared" si="6"/>
        <v>USB-C Cable - Accessories</v>
      </c>
    </row>
    <row r="419" spans="1:5">
      <c r="A419" s="2">
        <v>107678</v>
      </c>
      <c r="B419" s="2" t="s">
        <v>48</v>
      </c>
      <c r="C419" s="2" t="str">
        <f>_xlfn.XLOOKUP(A419,'Customer Data'!B419,'Customer Data'!M419)</f>
        <v>Tablet</v>
      </c>
      <c r="D419" s="2" t="s">
        <v>34</v>
      </c>
      <c r="E419" s="2" t="str">
        <f t="shared" si="6"/>
        <v>Power Bank - Electronics</v>
      </c>
    </row>
    <row r="420" spans="1:5">
      <c r="A420" s="2">
        <v>102713</v>
      </c>
      <c r="B420" s="2" t="s">
        <v>43</v>
      </c>
      <c r="C420" s="2" t="str">
        <f>_xlfn.XLOOKUP(A420,'Customer Data'!B420,'Customer Data'!M420)</f>
        <v>Phone Case</v>
      </c>
      <c r="D420" s="2" t="s">
        <v>25</v>
      </c>
      <c r="E420" s="2" t="str">
        <f t="shared" si="6"/>
        <v>Tablet - Electronics</v>
      </c>
    </row>
    <row r="421" spans="1:5">
      <c r="A421" s="2">
        <v>100654</v>
      </c>
      <c r="B421" s="2" t="s">
        <v>45</v>
      </c>
      <c r="C421" s="2" t="str">
        <f>_xlfn.XLOOKUP(A421,'Customer Data'!B421,'Customer Data'!M421)</f>
        <v>Wireless Mouse</v>
      </c>
      <c r="D421" s="2" t="s">
        <v>34</v>
      </c>
      <c r="E421" s="2" t="str">
        <f t="shared" si="6"/>
        <v>Phone Case - Accessories</v>
      </c>
    </row>
    <row r="422" spans="1:5">
      <c r="A422" s="2">
        <v>104143</v>
      </c>
      <c r="B422" s="2" t="s">
        <v>32</v>
      </c>
      <c r="C422" s="2" t="str">
        <f>_xlfn.XLOOKUP(A422,'Customer Data'!B422,'Customer Data'!M422)</f>
        <v>Monitor</v>
      </c>
      <c r="D422" s="2" t="s">
        <v>34</v>
      </c>
      <c r="E422" s="2" t="str">
        <f t="shared" si="6"/>
        <v>Wireless Mouse - Electronics</v>
      </c>
    </row>
    <row r="423" spans="1:5">
      <c r="A423" s="2">
        <v>107669</v>
      </c>
      <c r="B423" s="2" t="s">
        <v>43</v>
      </c>
      <c r="C423" s="2" t="str">
        <f>_xlfn.XLOOKUP(A423,'Customer Data'!B423,'Customer Data'!M423)</f>
        <v>Wireless Mouse</v>
      </c>
      <c r="D423" s="2" t="s">
        <v>34</v>
      </c>
      <c r="E423" s="2" t="str">
        <f t="shared" si="6"/>
        <v>Monitor - Electronics</v>
      </c>
    </row>
    <row r="424" spans="1:5">
      <c r="A424" s="2">
        <v>107733</v>
      </c>
      <c r="B424" s="2" t="s">
        <v>32</v>
      </c>
      <c r="C424" s="2" t="str">
        <f>_xlfn.XLOOKUP(A424,'Customer Data'!B424,'Customer Data'!M424)</f>
        <v>Headphones</v>
      </c>
      <c r="D424" s="2" t="s">
        <v>34</v>
      </c>
      <c r="E424" s="2" t="str">
        <f t="shared" si="6"/>
        <v>Wireless Mouse - Electronics</v>
      </c>
    </row>
    <row r="425" spans="1:5">
      <c r="A425" s="2">
        <v>105963</v>
      </c>
      <c r="B425" s="2" t="s">
        <v>28</v>
      </c>
      <c r="C425" s="2" t="str">
        <f>_xlfn.XLOOKUP(A425,'Customer Data'!B425,'Customer Data'!M425)</f>
        <v>Headphones</v>
      </c>
      <c r="D425" s="2" t="s">
        <v>34</v>
      </c>
      <c r="E425" s="2" t="str">
        <f t="shared" si="6"/>
        <v>Headphones - Electronics</v>
      </c>
    </row>
    <row r="426" spans="1:5">
      <c r="A426" s="2">
        <v>107631</v>
      </c>
      <c r="B426" s="2" t="s">
        <v>45</v>
      </c>
      <c r="C426" s="2" t="str">
        <f>_xlfn.XLOOKUP(A426,'Customer Data'!B426,'Customer Data'!M426)</f>
        <v>Webcam</v>
      </c>
      <c r="D426" s="2" t="s">
        <v>34</v>
      </c>
      <c r="E426" s="2" t="str">
        <f t="shared" si="6"/>
        <v>Headphones - Electronics</v>
      </c>
    </row>
    <row r="427" spans="1:5">
      <c r="A427" s="2">
        <v>108038</v>
      </c>
      <c r="B427" s="2" t="s">
        <v>48</v>
      </c>
      <c r="C427" s="2" t="str">
        <f>_xlfn.XLOOKUP(A427,'Customer Data'!B427,'Customer Data'!M427)</f>
        <v>Backpack</v>
      </c>
      <c r="D427" s="2" t="s">
        <v>25</v>
      </c>
      <c r="E427" s="2" t="str">
        <f t="shared" si="6"/>
        <v>Webcam - Electronics</v>
      </c>
    </row>
    <row r="428" spans="1:5">
      <c r="A428" s="2">
        <v>104561</v>
      </c>
      <c r="B428" s="2" t="s">
        <v>48</v>
      </c>
      <c r="C428" s="2" t="str">
        <f>_xlfn.XLOOKUP(A428,'Customer Data'!B428,'Customer Data'!M428)</f>
        <v>USB-C Cable</v>
      </c>
      <c r="D428" s="2" t="s">
        <v>25</v>
      </c>
      <c r="E428" s="2" t="str">
        <f t="shared" si="6"/>
        <v>Backpack - Accessories</v>
      </c>
    </row>
    <row r="429" spans="1:5">
      <c r="A429" s="2">
        <v>108208</v>
      </c>
      <c r="B429" s="2" t="s">
        <v>52</v>
      </c>
      <c r="C429" s="2" t="str">
        <f>_xlfn.XLOOKUP(A429,'Customer Data'!B429,'Customer Data'!M429)</f>
        <v>Phone Case</v>
      </c>
      <c r="D429" s="2" t="s">
        <v>25</v>
      </c>
      <c r="E429" s="2" t="str">
        <f t="shared" si="6"/>
        <v>USB-C Cable - Accessories</v>
      </c>
    </row>
    <row r="430" spans="1:5">
      <c r="A430" s="2">
        <v>106836</v>
      </c>
      <c r="B430" s="2" t="s">
        <v>55</v>
      </c>
      <c r="C430" s="2" t="str">
        <f>_xlfn.XLOOKUP(A430,'Customer Data'!B430,'Customer Data'!M430)</f>
        <v>Tablet</v>
      </c>
      <c r="D430" s="2" t="s">
        <v>34</v>
      </c>
      <c r="E430" s="2" t="str">
        <f t="shared" si="6"/>
        <v>Phone Case - Accessories</v>
      </c>
    </row>
    <row r="431" spans="1:5">
      <c r="A431" s="2">
        <v>105284</v>
      </c>
      <c r="B431" s="2" t="s">
        <v>28</v>
      </c>
      <c r="C431" s="2" t="str">
        <f>_xlfn.XLOOKUP(A431,'Customer Data'!B431,'Customer Data'!M431)</f>
        <v>Wireless Mouse</v>
      </c>
      <c r="D431" s="2" t="s">
        <v>34</v>
      </c>
      <c r="E431" s="2" t="str">
        <f t="shared" si="6"/>
        <v>Tablet - Electronics</v>
      </c>
    </row>
    <row r="432" spans="1:5">
      <c r="A432" s="2">
        <v>101081</v>
      </c>
      <c r="B432" s="2" t="s">
        <v>32</v>
      </c>
      <c r="C432" s="2" t="str">
        <f>_xlfn.XLOOKUP(A432,'Customer Data'!B432,'Customer Data'!M432)</f>
        <v>Bluetooth Speaker</v>
      </c>
      <c r="D432" s="2" t="s">
        <v>34</v>
      </c>
      <c r="E432" s="2" t="str">
        <f t="shared" si="6"/>
        <v>Wireless Mouse - Electronics</v>
      </c>
    </row>
    <row r="433" spans="1:5">
      <c r="A433" s="2">
        <v>107967</v>
      </c>
      <c r="B433" s="2" t="s">
        <v>35</v>
      </c>
      <c r="C433" s="2" t="str">
        <f>_xlfn.XLOOKUP(A433,'Customer Data'!B433,'Customer Data'!M433)</f>
        <v>Tablet</v>
      </c>
      <c r="D433" s="2" t="s">
        <v>34</v>
      </c>
      <c r="E433" s="2" t="str">
        <f t="shared" si="6"/>
        <v>Bluetooth Speaker - Electronics</v>
      </c>
    </row>
    <row r="434" spans="1:5">
      <c r="A434" s="2">
        <v>100480</v>
      </c>
      <c r="B434" s="2" t="s">
        <v>28</v>
      </c>
      <c r="C434" s="2" t="str">
        <f>_xlfn.XLOOKUP(A434,'Customer Data'!B434,'Customer Data'!M434)</f>
        <v>Wireless Mouse</v>
      </c>
      <c r="D434" s="2" t="s">
        <v>34</v>
      </c>
      <c r="E434" s="2" t="str">
        <f t="shared" si="6"/>
        <v>Tablet - Electronics</v>
      </c>
    </row>
    <row r="435" spans="1:5">
      <c r="A435" s="2">
        <v>108017</v>
      </c>
      <c r="B435" s="2" t="s">
        <v>38</v>
      </c>
      <c r="C435" s="2" t="str">
        <f>_xlfn.XLOOKUP(A435,'Customer Data'!B435,'Customer Data'!M435)</f>
        <v>Power Bank</v>
      </c>
      <c r="D435" s="2" t="s">
        <v>34</v>
      </c>
      <c r="E435" s="2" t="str">
        <f t="shared" si="6"/>
        <v>Wireless Mouse - Electronics</v>
      </c>
    </row>
    <row r="436" spans="1:5">
      <c r="A436" s="2">
        <v>105601</v>
      </c>
      <c r="B436" s="2" t="s">
        <v>38</v>
      </c>
      <c r="C436" s="2" t="str">
        <f>_xlfn.XLOOKUP(A436,'Customer Data'!B436,'Customer Data'!M436)</f>
        <v>Wireless Mouse</v>
      </c>
      <c r="D436" s="2" t="s">
        <v>34</v>
      </c>
      <c r="E436" s="2" t="str">
        <f t="shared" si="6"/>
        <v>Power Bank - Electronics</v>
      </c>
    </row>
    <row r="437" spans="1:5">
      <c r="A437" s="2">
        <v>105627</v>
      </c>
      <c r="B437" s="2" t="s">
        <v>32</v>
      </c>
      <c r="C437" s="2" t="str">
        <f>_xlfn.XLOOKUP(A437,'Customer Data'!B437,'Customer Data'!M437)</f>
        <v>Fitness Band</v>
      </c>
      <c r="D437" s="2" t="s">
        <v>59</v>
      </c>
      <c r="E437" s="2" t="str">
        <f t="shared" si="6"/>
        <v>Wireless Mouse - Electronics</v>
      </c>
    </row>
    <row r="438" spans="1:5">
      <c r="A438" s="2">
        <v>109569</v>
      </c>
      <c r="B438" s="2" t="s">
        <v>32</v>
      </c>
      <c r="C438" s="2" t="str">
        <f>_xlfn.XLOOKUP(A438,'Customer Data'!B438,'Customer Data'!M438)</f>
        <v>Tablet</v>
      </c>
      <c r="D438" s="2" t="s">
        <v>34</v>
      </c>
      <c r="E438" s="2" t="str">
        <f t="shared" si="6"/>
        <v>Fitness Band - Wearables</v>
      </c>
    </row>
    <row r="439" spans="1:5">
      <c r="A439" s="2">
        <v>101832</v>
      </c>
      <c r="B439" s="2" t="s">
        <v>48</v>
      </c>
      <c r="C439" s="2" t="str">
        <f>_xlfn.XLOOKUP(A439,'Customer Data'!B439,'Customer Data'!M439)</f>
        <v>Monitor</v>
      </c>
      <c r="D439" s="2" t="s">
        <v>34</v>
      </c>
      <c r="E439" s="2" t="str">
        <f t="shared" si="6"/>
        <v>Tablet - Electronics</v>
      </c>
    </row>
    <row r="440" spans="1:5">
      <c r="A440" s="2">
        <v>104268</v>
      </c>
      <c r="B440" s="2" t="s">
        <v>55</v>
      </c>
      <c r="C440" s="2" t="str">
        <f>_xlfn.XLOOKUP(A440,'Customer Data'!B440,'Customer Data'!M440)</f>
        <v>Office Chair</v>
      </c>
      <c r="D440" s="2" t="s">
        <v>37</v>
      </c>
      <c r="E440" s="2" t="str">
        <f t="shared" si="6"/>
        <v>Monitor - Electronics</v>
      </c>
    </row>
    <row r="441" spans="1:5">
      <c r="A441" s="2">
        <v>107349</v>
      </c>
      <c r="B441" s="2" t="s">
        <v>52</v>
      </c>
      <c r="C441" s="2" t="str">
        <f>_xlfn.XLOOKUP(A441,'Customer Data'!B441,'Customer Data'!M441)</f>
        <v>Microphone</v>
      </c>
      <c r="D441" s="2" t="s">
        <v>34</v>
      </c>
      <c r="E441" s="2" t="str">
        <f t="shared" si="6"/>
        <v>Office Chair - Home Office</v>
      </c>
    </row>
    <row r="442" spans="1:5">
      <c r="A442" s="2">
        <v>109044</v>
      </c>
      <c r="B442" s="2" t="s">
        <v>55</v>
      </c>
      <c r="C442" s="2" t="str">
        <f>_xlfn.XLOOKUP(A442,'Customer Data'!B442,'Customer Data'!M442)</f>
        <v>Phone Case</v>
      </c>
      <c r="D442" s="2" t="s">
        <v>25</v>
      </c>
      <c r="E442" s="2" t="str">
        <f t="shared" si="6"/>
        <v>Microphone - Electronics</v>
      </c>
    </row>
    <row r="443" spans="1:5">
      <c r="A443" s="2">
        <v>108339</v>
      </c>
      <c r="B443" s="2" t="s">
        <v>38</v>
      </c>
      <c r="C443" s="2" t="str">
        <f>_xlfn.XLOOKUP(A443,'Customer Data'!B443,'Customer Data'!M443)</f>
        <v>Gaming Controller</v>
      </c>
      <c r="D443" s="2" t="s">
        <v>63</v>
      </c>
      <c r="E443" s="2" t="str">
        <f t="shared" si="6"/>
        <v>Phone Case - Accessories</v>
      </c>
    </row>
    <row r="444" spans="1:5">
      <c r="A444" s="2">
        <v>106895</v>
      </c>
      <c r="B444" s="2" t="s">
        <v>32</v>
      </c>
      <c r="C444" s="2" t="str">
        <f>_xlfn.XLOOKUP(A444,'Customer Data'!B444,'Customer Data'!M444)</f>
        <v>Power Bank</v>
      </c>
      <c r="D444" s="2" t="s">
        <v>34</v>
      </c>
      <c r="E444" s="2" t="str">
        <f t="shared" si="6"/>
        <v>Gaming Controller - Gaming</v>
      </c>
    </row>
    <row r="445" spans="1:5">
      <c r="A445" s="2">
        <v>105315</v>
      </c>
      <c r="B445" s="2" t="s">
        <v>38</v>
      </c>
      <c r="C445" s="2" t="str">
        <f>_xlfn.XLOOKUP(A445,'Customer Data'!B445,'Customer Data'!M445)</f>
        <v>Bluetooth Speaker</v>
      </c>
      <c r="D445" s="2" t="s">
        <v>34</v>
      </c>
      <c r="E445" s="2" t="str">
        <f t="shared" si="6"/>
        <v>Power Bank - Electronics</v>
      </c>
    </row>
    <row r="446" spans="1:5">
      <c r="A446" s="2">
        <v>109076</v>
      </c>
      <c r="B446" s="2" t="s">
        <v>45</v>
      </c>
      <c r="C446" s="2" t="str">
        <f>_xlfn.XLOOKUP(A446,'Customer Data'!B446,'Customer Data'!M446)</f>
        <v>Mechanical Keyboard</v>
      </c>
      <c r="D446" s="2" t="s">
        <v>34</v>
      </c>
      <c r="E446" s="2" t="str">
        <f t="shared" si="6"/>
        <v>Bluetooth Speaker - Electronics</v>
      </c>
    </row>
    <row r="447" spans="1:5">
      <c r="A447" s="2">
        <v>107082</v>
      </c>
      <c r="B447" s="2" t="s">
        <v>55</v>
      </c>
      <c r="C447" s="2" t="str">
        <f>_xlfn.XLOOKUP(A447,'Customer Data'!B447,'Customer Data'!M447)</f>
        <v>Wireless Mouse</v>
      </c>
      <c r="D447" s="2" t="s">
        <v>34</v>
      </c>
      <c r="E447" s="2" t="str">
        <f t="shared" si="6"/>
        <v>Mechanical Keyboard - Electronics</v>
      </c>
    </row>
    <row r="448" spans="1:5">
      <c r="A448" s="2">
        <v>105554</v>
      </c>
      <c r="B448" s="2" t="s">
        <v>32</v>
      </c>
      <c r="C448" s="2" t="str">
        <f>_xlfn.XLOOKUP(A448,'Customer Data'!B448,'Customer Data'!M448)</f>
        <v>Smart Watch</v>
      </c>
      <c r="D448" s="2" t="s">
        <v>59</v>
      </c>
      <c r="E448" s="2" t="str">
        <f t="shared" si="6"/>
        <v>Wireless Mouse - Electronics</v>
      </c>
    </row>
    <row r="449" spans="1:5">
      <c r="A449" s="2">
        <v>104889</v>
      </c>
      <c r="B449" s="2" t="s">
        <v>32</v>
      </c>
      <c r="C449" s="2" t="str">
        <f>_xlfn.XLOOKUP(A449,'Customer Data'!B449,'Customer Data'!M449)</f>
        <v>Bluetooth Speaker</v>
      </c>
      <c r="D449" s="2" t="s">
        <v>34</v>
      </c>
      <c r="E449" s="2" t="str">
        <f t="shared" si="6"/>
        <v>Smart Watch - Wearables</v>
      </c>
    </row>
    <row r="450" spans="1:5">
      <c r="A450" s="2">
        <v>103298</v>
      </c>
      <c r="B450" s="2" t="s">
        <v>32</v>
      </c>
      <c r="C450" s="2" t="str">
        <f>_xlfn.XLOOKUP(A450,'Customer Data'!B450,'Customer Data'!M450)</f>
        <v>Wireless Mouse</v>
      </c>
      <c r="D450" s="2" t="s">
        <v>34</v>
      </c>
      <c r="E450" s="2" t="str">
        <f t="shared" si="6"/>
        <v>Bluetooth Speaker - Electronics</v>
      </c>
    </row>
    <row r="451" spans="1:5">
      <c r="A451" s="2">
        <v>100065</v>
      </c>
      <c r="B451" s="2" t="s">
        <v>52</v>
      </c>
      <c r="C451" s="2" t="str">
        <f>_xlfn.XLOOKUP(A451,'Customer Data'!B451,'Customer Data'!M451)</f>
        <v>Bluetooth Speaker</v>
      </c>
      <c r="D451" s="2" t="s">
        <v>34</v>
      </c>
      <c r="E451" s="2" t="str">
        <f t="shared" ref="E451:E514" si="7">CONCATENATE(C450," - ",D450)</f>
        <v>Wireless Mouse - Electronics</v>
      </c>
    </row>
    <row r="452" spans="1:5">
      <c r="A452" s="2">
        <v>107171</v>
      </c>
      <c r="B452" s="2" t="s">
        <v>35</v>
      </c>
      <c r="C452" s="2" t="str">
        <f>_xlfn.XLOOKUP(A452,'Customer Data'!B452,'Customer Data'!M452)</f>
        <v>Microphone</v>
      </c>
      <c r="D452" s="2" t="s">
        <v>34</v>
      </c>
      <c r="E452" s="2" t="str">
        <f t="shared" si="7"/>
        <v>Bluetooth Speaker - Electronics</v>
      </c>
    </row>
    <row r="453" spans="1:5">
      <c r="A453" s="2">
        <v>107812</v>
      </c>
      <c r="B453" s="2" t="s">
        <v>48</v>
      </c>
      <c r="C453" s="2" t="str">
        <f>_xlfn.XLOOKUP(A453,'Customer Data'!B453,'Customer Data'!M453)</f>
        <v>Wireless Mouse</v>
      </c>
      <c r="D453" s="2" t="s">
        <v>34</v>
      </c>
      <c r="E453" s="2" t="str">
        <f t="shared" si="7"/>
        <v>Microphone - Electronics</v>
      </c>
    </row>
    <row r="454" spans="1:5">
      <c r="A454" s="2">
        <v>100529</v>
      </c>
      <c r="B454" s="2" t="s">
        <v>28</v>
      </c>
      <c r="C454" s="2" t="str">
        <f>_xlfn.XLOOKUP(A454,'Customer Data'!B454,'Customer Data'!M454)</f>
        <v>Mechanical Keyboard</v>
      </c>
      <c r="D454" s="2" t="s">
        <v>34</v>
      </c>
      <c r="E454" s="2" t="str">
        <f t="shared" si="7"/>
        <v>Wireless Mouse - Electronics</v>
      </c>
    </row>
    <row r="455" spans="1:5">
      <c r="A455" s="2">
        <v>104518</v>
      </c>
      <c r="B455" s="2" t="s">
        <v>45</v>
      </c>
      <c r="C455" s="2" t="str">
        <f>_xlfn.XLOOKUP(A455,'Customer Data'!B455,'Customer Data'!M455)</f>
        <v>Bluetooth Speaker</v>
      </c>
      <c r="D455" s="2" t="s">
        <v>34</v>
      </c>
      <c r="E455" s="2" t="str">
        <f t="shared" si="7"/>
        <v>Mechanical Keyboard - Electronics</v>
      </c>
    </row>
    <row r="456" spans="1:5">
      <c r="A456" s="2">
        <v>103318</v>
      </c>
      <c r="B456" s="2" t="s">
        <v>55</v>
      </c>
      <c r="C456" s="2" t="str">
        <f>_xlfn.XLOOKUP(A456,'Customer Data'!B456,'Customer Data'!M456)</f>
        <v>USB-C Cable</v>
      </c>
      <c r="D456" s="2" t="s">
        <v>25</v>
      </c>
      <c r="E456" s="2" t="str">
        <f t="shared" si="7"/>
        <v>Bluetooth Speaker - Electronics</v>
      </c>
    </row>
    <row r="457" spans="1:5">
      <c r="A457" s="2">
        <v>109641</v>
      </c>
      <c r="B457" s="2" t="s">
        <v>48</v>
      </c>
      <c r="C457" s="2" t="str">
        <f>_xlfn.XLOOKUP(A457,'Customer Data'!B457,'Customer Data'!M457)</f>
        <v>USB-C Cable</v>
      </c>
      <c r="D457" s="2" t="s">
        <v>25</v>
      </c>
      <c r="E457" s="2" t="str">
        <f t="shared" si="7"/>
        <v>USB-C Cable - Accessories</v>
      </c>
    </row>
    <row r="458" spans="1:5">
      <c r="A458" s="2">
        <v>108216</v>
      </c>
      <c r="B458" s="2" t="s">
        <v>32</v>
      </c>
      <c r="C458" s="2" t="str">
        <f>_xlfn.XLOOKUP(A458,'Customer Data'!B458,'Customer Data'!M458)</f>
        <v>Fitness Band</v>
      </c>
      <c r="D458" s="2" t="s">
        <v>59</v>
      </c>
      <c r="E458" s="2" t="str">
        <f t="shared" si="7"/>
        <v>USB-C Cable - Accessories</v>
      </c>
    </row>
    <row r="459" spans="1:5">
      <c r="A459" s="2">
        <v>100286</v>
      </c>
      <c r="B459" s="2" t="s">
        <v>32</v>
      </c>
      <c r="C459" s="2" t="str">
        <f>_xlfn.XLOOKUP(A459,'Customer Data'!B459,'Customer Data'!M459)</f>
        <v>Office Chair</v>
      </c>
      <c r="D459" s="2" t="s">
        <v>37</v>
      </c>
      <c r="E459" s="2" t="str">
        <f t="shared" si="7"/>
        <v>Fitness Band - Wearables</v>
      </c>
    </row>
    <row r="460" spans="1:5">
      <c r="A460" s="2">
        <v>104100</v>
      </c>
      <c r="B460" s="2" t="s">
        <v>28</v>
      </c>
      <c r="C460" s="2" t="str">
        <f>_xlfn.XLOOKUP(A460,'Customer Data'!B460,'Customer Data'!M460)</f>
        <v>Laptop Stand</v>
      </c>
      <c r="D460" s="2" t="s">
        <v>25</v>
      </c>
      <c r="E460" s="2" t="str">
        <f t="shared" si="7"/>
        <v>Office Chair - Home Office</v>
      </c>
    </row>
    <row r="461" spans="1:5">
      <c r="A461" s="2">
        <v>108687</v>
      </c>
      <c r="B461" s="2" t="s">
        <v>35</v>
      </c>
      <c r="C461" s="2" t="str">
        <f>_xlfn.XLOOKUP(A461,'Customer Data'!B461,'Customer Data'!M461)</f>
        <v>Fitness Band</v>
      </c>
      <c r="D461" s="2" t="s">
        <v>59</v>
      </c>
      <c r="E461" s="2" t="str">
        <f t="shared" si="7"/>
        <v>Laptop Stand - Accessories</v>
      </c>
    </row>
    <row r="462" spans="1:5">
      <c r="A462" s="2">
        <v>106538</v>
      </c>
      <c r="B462" s="2" t="s">
        <v>32</v>
      </c>
      <c r="C462" s="2" t="str">
        <f>_xlfn.XLOOKUP(A462,'Customer Data'!B462,'Customer Data'!M462)</f>
        <v>USB-C Cable</v>
      </c>
      <c r="D462" s="2" t="s">
        <v>25</v>
      </c>
      <c r="E462" s="2" t="str">
        <f t="shared" si="7"/>
        <v>Fitness Band - Wearables</v>
      </c>
    </row>
    <row r="463" spans="1:5">
      <c r="A463" s="2">
        <v>101368</v>
      </c>
      <c r="B463" s="2" t="s">
        <v>32</v>
      </c>
      <c r="C463" s="2" t="str">
        <f>_xlfn.XLOOKUP(A463,'Customer Data'!B463,'Customer Data'!M463)</f>
        <v>Wireless Mouse</v>
      </c>
      <c r="D463" s="2" t="s">
        <v>34</v>
      </c>
      <c r="E463" s="2" t="str">
        <f t="shared" si="7"/>
        <v>USB-C Cable - Accessories</v>
      </c>
    </row>
    <row r="464" spans="1:5">
      <c r="A464" s="2">
        <v>104279</v>
      </c>
      <c r="B464" s="2" t="s">
        <v>45</v>
      </c>
      <c r="C464" s="2" t="str">
        <f>_xlfn.XLOOKUP(A464,'Customer Data'!B464,'Customer Data'!M464)</f>
        <v>Mechanical Keyboard</v>
      </c>
      <c r="D464" s="2" t="s">
        <v>34</v>
      </c>
      <c r="E464" s="2" t="str">
        <f t="shared" si="7"/>
        <v>Wireless Mouse - Electronics</v>
      </c>
    </row>
    <row r="465" spans="1:5">
      <c r="A465" s="2">
        <v>100804</v>
      </c>
      <c r="B465" s="2" t="s">
        <v>35</v>
      </c>
      <c r="C465" s="2" t="str">
        <f>_xlfn.XLOOKUP(A465,'Customer Data'!B465,'Customer Data'!M465)</f>
        <v>Phone Case</v>
      </c>
      <c r="D465" s="2" t="s">
        <v>25</v>
      </c>
      <c r="E465" s="2" t="str">
        <f t="shared" si="7"/>
        <v>Mechanical Keyboard - Electronics</v>
      </c>
    </row>
    <row r="466" spans="1:5">
      <c r="A466" s="2">
        <v>102415</v>
      </c>
      <c r="B466" s="2" t="s">
        <v>48</v>
      </c>
      <c r="C466" s="2" t="str">
        <f>_xlfn.XLOOKUP(A466,'Customer Data'!B466,'Customer Data'!M466)</f>
        <v>USB-C Cable</v>
      </c>
      <c r="D466" s="2" t="s">
        <v>25</v>
      </c>
      <c r="E466" s="2" t="str">
        <f t="shared" si="7"/>
        <v>Phone Case - Accessories</v>
      </c>
    </row>
    <row r="467" spans="1:5">
      <c r="A467" s="2">
        <v>104056</v>
      </c>
      <c r="B467" s="2" t="s">
        <v>52</v>
      </c>
      <c r="C467" s="2" t="str">
        <f>_xlfn.XLOOKUP(A467,'Customer Data'!B467,'Customer Data'!M467)</f>
        <v>Notebook</v>
      </c>
      <c r="D467" s="2" t="s">
        <v>54</v>
      </c>
      <c r="E467" s="2" t="str">
        <f t="shared" si="7"/>
        <v>USB-C Cable - Accessories</v>
      </c>
    </row>
    <row r="468" spans="1:5">
      <c r="A468" s="2">
        <v>108735</v>
      </c>
      <c r="B468" s="2" t="s">
        <v>55</v>
      </c>
      <c r="C468" s="2" t="str">
        <f>_xlfn.XLOOKUP(A468,'Customer Data'!B468,'Customer Data'!M468)</f>
        <v>Fitness Band</v>
      </c>
      <c r="D468" s="2" t="s">
        <v>59</v>
      </c>
      <c r="E468" s="2" t="str">
        <f t="shared" si="7"/>
        <v>Notebook - Stationery</v>
      </c>
    </row>
    <row r="469" spans="1:5">
      <c r="A469" s="2">
        <v>101816</v>
      </c>
      <c r="B469" s="2" t="s">
        <v>32</v>
      </c>
      <c r="C469" s="2" t="str">
        <f>_xlfn.XLOOKUP(A469,'Customer Data'!B469,'Customer Data'!M469)</f>
        <v>Office Chair</v>
      </c>
      <c r="D469" s="2" t="s">
        <v>37</v>
      </c>
      <c r="E469" s="2" t="str">
        <f t="shared" si="7"/>
        <v>Fitness Band - Wearables</v>
      </c>
    </row>
    <row r="470" spans="1:5">
      <c r="A470" s="2">
        <v>105247</v>
      </c>
      <c r="B470" s="2" t="s">
        <v>32</v>
      </c>
      <c r="C470" s="2" t="str">
        <f>_xlfn.XLOOKUP(A470,'Customer Data'!B470,'Customer Data'!M470)</f>
        <v>USB-C Cable</v>
      </c>
      <c r="D470" s="2" t="s">
        <v>25</v>
      </c>
      <c r="E470" s="2" t="str">
        <f t="shared" si="7"/>
        <v>Office Chair - Home Office</v>
      </c>
    </row>
    <row r="471" spans="1:5">
      <c r="A471" s="2">
        <v>106556</v>
      </c>
      <c r="B471" s="2" t="s">
        <v>43</v>
      </c>
      <c r="C471" s="2" t="str">
        <f>_xlfn.XLOOKUP(A471,'Customer Data'!B471,'Customer Data'!M471)</f>
        <v>HDMI Cable</v>
      </c>
      <c r="D471" s="2" t="s">
        <v>25</v>
      </c>
      <c r="E471" s="2" t="str">
        <f t="shared" si="7"/>
        <v>USB-C Cable - Accessories</v>
      </c>
    </row>
    <row r="472" spans="1:5">
      <c r="A472" s="2">
        <v>107719</v>
      </c>
      <c r="B472" s="2" t="s">
        <v>45</v>
      </c>
      <c r="C472" s="2" t="str">
        <f>_xlfn.XLOOKUP(A472,'Customer Data'!B472,'Customer Data'!M472)</f>
        <v>HDMI Cable</v>
      </c>
      <c r="D472" s="2" t="s">
        <v>25</v>
      </c>
      <c r="E472" s="2" t="str">
        <f t="shared" si="7"/>
        <v>HDMI Cable - Accessories</v>
      </c>
    </row>
    <row r="473" spans="1:5">
      <c r="A473" s="2">
        <v>106064</v>
      </c>
      <c r="B473" s="2" t="s">
        <v>45</v>
      </c>
      <c r="C473" s="2" t="str">
        <f>_xlfn.XLOOKUP(A473,'Customer Data'!B473,'Customer Data'!M473)</f>
        <v>Headphones</v>
      </c>
      <c r="D473" s="2" t="s">
        <v>34</v>
      </c>
      <c r="E473" s="2" t="str">
        <f t="shared" si="7"/>
        <v>HDMI Cable - Accessories</v>
      </c>
    </row>
    <row r="474" spans="1:5">
      <c r="A474" s="2">
        <v>101307</v>
      </c>
      <c r="B474" s="2" t="s">
        <v>38</v>
      </c>
      <c r="C474" s="2" t="str">
        <f>_xlfn.XLOOKUP(A474,'Customer Data'!B474,'Customer Data'!M474)</f>
        <v>Phone Case</v>
      </c>
      <c r="D474" s="2" t="s">
        <v>25</v>
      </c>
      <c r="E474" s="2" t="str">
        <f t="shared" si="7"/>
        <v>Headphones - Electronics</v>
      </c>
    </row>
    <row r="475" spans="1:5">
      <c r="A475" s="2">
        <v>108365</v>
      </c>
      <c r="B475" s="2" t="s">
        <v>45</v>
      </c>
      <c r="C475" s="2" t="str">
        <f>_xlfn.XLOOKUP(A475,'Customer Data'!B475,'Customer Data'!M475)</f>
        <v>Phone Case</v>
      </c>
      <c r="D475" s="2" t="s">
        <v>25</v>
      </c>
      <c r="E475" s="2" t="str">
        <f t="shared" si="7"/>
        <v>Phone Case - Accessories</v>
      </c>
    </row>
    <row r="476" spans="1:5">
      <c r="A476" s="2">
        <v>109469</v>
      </c>
      <c r="B476" s="2" t="s">
        <v>45</v>
      </c>
      <c r="C476" s="2" t="str">
        <f>_xlfn.XLOOKUP(A476,'Customer Data'!B476,'Customer Data'!M476)</f>
        <v>Phone Case</v>
      </c>
      <c r="D476" s="2" t="s">
        <v>25</v>
      </c>
      <c r="E476" s="2" t="str">
        <f t="shared" si="7"/>
        <v>Phone Case - Accessories</v>
      </c>
    </row>
    <row r="477" spans="1:5">
      <c r="A477" s="2">
        <v>108502</v>
      </c>
      <c r="B477" s="2" t="s">
        <v>45</v>
      </c>
      <c r="C477" s="2" t="str">
        <f>_xlfn.XLOOKUP(A477,'Customer Data'!B477,'Customer Data'!M477)</f>
        <v>Phone Case</v>
      </c>
      <c r="D477" s="2" t="s">
        <v>25</v>
      </c>
      <c r="E477" s="2" t="str">
        <f t="shared" si="7"/>
        <v>Phone Case - Accessories</v>
      </c>
    </row>
    <row r="478" spans="1:5">
      <c r="A478" s="2">
        <v>101862</v>
      </c>
      <c r="B478" s="2" t="s">
        <v>52</v>
      </c>
      <c r="C478" s="2" t="str">
        <f>_xlfn.XLOOKUP(A478,'Customer Data'!B478,'Customer Data'!M478)</f>
        <v>Smart Watch</v>
      </c>
      <c r="D478" s="2" t="s">
        <v>59</v>
      </c>
      <c r="E478" s="2" t="str">
        <f t="shared" si="7"/>
        <v>Phone Case - Accessories</v>
      </c>
    </row>
    <row r="479" spans="1:5">
      <c r="A479" s="2">
        <v>102924</v>
      </c>
      <c r="B479" s="2" t="s">
        <v>35</v>
      </c>
      <c r="C479" s="2" t="str">
        <f>_xlfn.XLOOKUP(A479,'Customer Data'!B479,'Customer Data'!M479)</f>
        <v>Office Chair</v>
      </c>
      <c r="D479" s="2" t="s">
        <v>37</v>
      </c>
      <c r="E479" s="2" t="str">
        <f t="shared" si="7"/>
        <v>Smart Watch - Wearables</v>
      </c>
    </row>
    <row r="480" spans="1:5">
      <c r="A480" s="2">
        <v>100586</v>
      </c>
      <c r="B480" s="2" t="s">
        <v>28</v>
      </c>
      <c r="C480" s="2" t="str">
        <f>_xlfn.XLOOKUP(A480,'Customer Data'!B480,'Customer Data'!M480)</f>
        <v>Phone Case</v>
      </c>
      <c r="D480" s="2" t="s">
        <v>25</v>
      </c>
      <c r="E480" s="2" t="str">
        <f t="shared" si="7"/>
        <v>Office Chair - Home Office</v>
      </c>
    </row>
    <row r="481" spans="1:5">
      <c r="A481" s="2">
        <v>107727</v>
      </c>
      <c r="B481" s="2" t="s">
        <v>55</v>
      </c>
      <c r="C481" s="2" t="str">
        <f>_xlfn.XLOOKUP(A481,'Customer Data'!B481,'Customer Data'!M481)</f>
        <v>Power Bank</v>
      </c>
      <c r="D481" s="2" t="s">
        <v>34</v>
      </c>
      <c r="E481" s="2" t="str">
        <f t="shared" si="7"/>
        <v>Phone Case - Accessories</v>
      </c>
    </row>
    <row r="482" spans="1:5">
      <c r="A482" s="2">
        <v>102142</v>
      </c>
      <c r="B482" s="2" t="s">
        <v>38</v>
      </c>
      <c r="C482" s="2" t="str">
        <f>_xlfn.XLOOKUP(A482,'Customer Data'!B482,'Customer Data'!M482)</f>
        <v>Office Chair</v>
      </c>
      <c r="D482" s="2" t="s">
        <v>37</v>
      </c>
      <c r="E482" s="2" t="str">
        <f t="shared" si="7"/>
        <v>Power Bank - Electronics</v>
      </c>
    </row>
    <row r="483" spans="1:5">
      <c r="A483" s="2">
        <v>109407</v>
      </c>
      <c r="B483" s="2" t="s">
        <v>45</v>
      </c>
      <c r="C483" s="2" t="str">
        <f>_xlfn.XLOOKUP(A483,'Customer Data'!B483,'Customer Data'!M483)</f>
        <v>Webcam</v>
      </c>
      <c r="D483" s="2" t="s">
        <v>34</v>
      </c>
      <c r="E483" s="2" t="str">
        <f t="shared" si="7"/>
        <v>Office Chair - Home Office</v>
      </c>
    </row>
    <row r="484" spans="1:5">
      <c r="A484" s="2">
        <v>106249</v>
      </c>
      <c r="B484" s="2" t="s">
        <v>32</v>
      </c>
      <c r="C484" s="2" t="str">
        <f>_xlfn.XLOOKUP(A484,'Customer Data'!B484,'Customer Data'!M484)</f>
        <v>Mechanical Keyboard</v>
      </c>
      <c r="D484" s="2" t="s">
        <v>34</v>
      </c>
      <c r="E484" s="2" t="str">
        <f t="shared" si="7"/>
        <v>Webcam - Electronics</v>
      </c>
    </row>
    <row r="485" spans="1:5">
      <c r="A485" s="2">
        <v>103206</v>
      </c>
      <c r="B485" s="2" t="s">
        <v>45</v>
      </c>
      <c r="C485" s="2" t="str">
        <f>_xlfn.XLOOKUP(A485,'Customer Data'!B485,'Customer Data'!M485)</f>
        <v>Phone Case</v>
      </c>
      <c r="D485" s="2" t="s">
        <v>25</v>
      </c>
      <c r="E485" s="2" t="str">
        <f t="shared" si="7"/>
        <v>Mechanical Keyboard - Electronics</v>
      </c>
    </row>
    <row r="486" spans="1:5">
      <c r="A486" s="2">
        <v>104577</v>
      </c>
      <c r="B486" s="2" t="s">
        <v>32</v>
      </c>
      <c r="C486" s="2" t="str">
        <f>_xlfn.XLOOKUP(A486,'Customer Data'!B486,'Customer Data'!M486)</f>
        <v>Desk Lamp</v>
      </c>
      <c r="D486" s="2" t="s">
        <v>37</v>
      </c>
      <c r="E486" s="2" t="str">
        <f t="shared" si="7"/>
        <v>Phone Case - Accessories</v>
      </c>
    </row>
    <row r="487" spans="1:5">
      <c r="A487" s="2">
        <v>103581</v>
      </c>
      <c r="B487" s="2" t="s">
        <v>35</v>
      </c>
      <c r="C487" s="2" t="str">
        <f>_xlfn.XLOOKUP(A487,'Customer Data'!B487,'Customer Data'!M487)</f>
        <v>Power Bank</v>
      </c>
      <c r="D487" s="2" t="s">
        <v>34</v>
      </c>
      <c r="E487" s="2" t="str">
        <f t="shared" si="7"/>
        <v>Desk Lamp - Home Office</v>
      </c>
    </row>
    <row r="488" spans="1:5">
      <c r="A488" s="2">
        <v>100929</v>
      </c>
      <c r="B488" s="2" t="s">
        <v>55</v>
      </c>
      <c r="C488" s="2" t="str">
        <f>_xlfn.XLOOKUP(A488,'Customer Data'!B488,'Customer Data'!M488)</f>
        <v>Gaming Controller</v>
      </c>
      <c r="D488" s="2" t="s">
        <v>63</v>
      </c>
      <c r="E488" s="2" t="str">
        <f t="shared" si="7"/>
        <v>Power Bank - Electronics</v>
      </c>
    </row>
    <row r="489" spans="1:5">
      <c r="A489" s="2">
        <v>101529</v>
      </c>
      <c r="B489" s="2" t="s">
        <v>35</v>
      </c>
      <c r="C489" s="2" t="str">
        <f>_xlfn.XLOOKUP(A489,'Customer Data'!B489,'Customer Data'!M489)</f>
        <v>HDMI Cable</v>
      </c>
      <c r="D489" s="2" t="s">
        <v>25</v>
      </c>
      <c r="E489" s="2" t="str">
        <f t="shared" si="7"/>
        <v>Gaming Controller - Gaming</v>
      </c>
    </row>
    <row r="490" spans="1:5">
      <c r="A490" s="2">
        <v>105350</v>
      </c>
      <c r="B490" s="2" t="s">
        <v>22</v>
      </c>
      <c r="C490" s="2" t="str">
        <f>_xlfn.XLOOKUP(A490,'Customer Data'!B490,'Customer Data'!M490)</f>
        <v>Power Bank</v>
      </c>
      <c r="D490" s="2" t="s">
        <v>34</v>
      </c>
      <c r="E490" s="2" t="str">
        <f t="shared" si="7"/>
        <v>HDMI Cable - Accessories</v>
      </c>
    </row>
    <row r="491" spans="1:5">
      <c r="A491" s="2">
        <v>109959</v>
      </c>
      <c r="B491" s="2" t="s">
        <v>55</v>
      </c>
      <c r="C491" s="2" t="str">
        <f>_xlfn.XLOOKUP(A491,'Customer Data'!B491,'Customer Data'!M491)</f>
        <v>HDMI Cable</v>
      </c>
      <c r="D491" s="2" t="s">
        <v>25</v>
      </c>
      <c r="E491" s="2" t="str">
        <f t="shared" si="7"/>
        <v>Power Bank - Electronics</v>
      </c>
    </row>
    <row r="492" spans="1:5">
      <c r="A492" s="2">
        <v>101752</v>
      </c>
      <c r="B492" s="2" t="s">
        <v>32</v>
      </c>
      <c r="C492" s="2" t="str">
        <f>_xlfn.XLOOKUP(A492,'Customer Data'!B492,'Customer Data'!M492)</f>
        <v>Power Bank</v>
      </c>
      <c r="D492" s="2" t="s">
        <v>34</v>
      </c>
      <c r="E492" s="2" t="str">
        <f t="shared" si="7"/>
        <v>HDMI Cable - Accessories</v>
      </c>
    </row>
    <row r="493" spans="1:5">
      <c r="A493" s="2">
        <v>109538</v>
      </c>
      <c r="B493" s="2" t="s">
        <v>28</v>
      </c>
      <c r="C493" s="2" t="str">
        <f>_xlfn.XLOOKUP(A493,'Customer Data'!B493,'Customer Data'!M493)</f>
        <v>Monitor</v>
      </c>
      <c r="D493" s="2" t="s">
        <v>34</v>
      </c>
      <c r="E493" s="2" t="str">
        <f t="shared" si="7"/>
        <v>Power Bank - Electronics</v>
      </c>
    </row>
    <row r="494" spans="1:5">
      <c r="A494" s="2">
        <v>101637</v>
      </c>
      <c r="B494" s="2" t="s">
        <v>32</v>
      </c>
      <c r="C494" s="2" t="str">
        <f>_xlfn.XLOOKUP(A494,'Customer Data'!B494,'Customer Data'!M494)</f>
        <v>Power Bank</v>
      </c>
      <c r="D494" s="2" t="s">
        <v>34</v>
      </c>
      <c r="E494" s="2" t="str">
        <f t="shared" si="7"/>
        <v>Monitor - Electronics</v>
      </c>
    </row>
    <row r="495" spans="1:5">
      <c r="A495" s="2">
        <v>107089</v>
      </c>
      <c r="B495" s="2" t="s">
        <v>32</v>
      </c>
      <c r="C495" s="2" t="str">
        <f>_xlfn.XLOOKUP(A495,'Customer Data'!B495,'Customer Data'!M495)</f>
        <v>Headphones</v>
      </c>
      <c r="D495" s="2" t="s">
        <v>34</v>
      </c>
      <c r="E495" s="2" t="str">
        <f t="shared" si="7"/>
        <v>Power Bank - Electronics</v>
      </c>
    </row>
    <row r="496" spans="1:5">
      <c r="A496" s="2">
        <v>109219</v>
      </c>
      <c r="B496" s="2" t="s">
        <v>38</v>
      </c>
      <c r="C496" s="2" t="str">
        <f>_xlfn.XLOOKUP(A496,'Customer Data'!B496,'Customer Data'!M496)</f>
        <v>Bluetooth Speaker</v>
      </c>
      <c r="D496" s="2" t="s">
        <v>34</v>
      </c>
      <c r="E496" s="2" t="str">
        <f t="shared" si="7"/>
        <v>Headphones - Electronics</v>
      </c>
    </row>
    <row r="497" spans="1:5">
      <c r="A497" s="2">
        <v>102917</v>
      </c>
      <c r="B497" s="2" t="s">
        <v>55</v>
      </c>
      <c r="C497" s="2" t="str">
        <f>_xlfn.XLOOKUP(A497,'Customer Data'!B497,'Customer Data'!M497)</f>
        <v>USB-C Cable</v>
      </c>
      <c r="D497" s="2" t="s">
        <v>25</v>
      </c>
      <c r="E497" s="2" t="str">
        <f t="shared" si="7"/>
        <v>Bluetooth Speaker - Electronics</v>
      </c>
    </row>
    <row r="498" spans="1:5">
      <c r="A498" s="2">
        <v>105130</v>
      </c>
      <c r="B498" s="2" t="s">
        <v>45</v>
      </c>
      <c r="C498" s="2" t="str">
        <f>_xlfn.XLOOKUP(A498,'Customer Data'!B498,'Customer Data'!M498)</f>
        <v>HDMI Cable</v>
      </c>
      <c r="D498" s="2" t="s">
        <v>25</v>
      </c>
      <c r="E498" s="2" t="str">
        <f t="shared" si="7"/>
        <v>USB-C Cable - Accessories</v>
      </c>
    </row>
    <row r="499" spans="1:5">
      <c r="A499" s="2">
        <v>105403</v>
      </c>
      <c r="B499" s="2" t="s">
        <v>43</v>
      </c>
      <c r="C499" s="2" t="str">
        <f>_xlfn.XLOOKUP(A499,'Customer Data'!B499,'Customer Data'!M499)</f>
        <v>Phone Case</v>
      </c>
      <c r="D499" s="2" t="s">
        <v>25</v>
      </c>
      <c r="E499" s="2" t="str">
        <f t="shared" si="7"/>
        <v>HDMI Cable - Accessories</v>
      </c>
    </row>
    <row r="500" spans="1:5">
      <c r="A500" s="2">
        <v>108728</v>
      </c>
      <c r="B500" s="2" t="s">
        <v>48</v>
      </c>
      <c r="C500" s="2" t="str">
        <f>_xlfn.XLOOKUP(A500,'Customer Data'!B500,'Customer Data'!M500)</f>
        <v>Desk Lamp</v>
      </c>
      <c r="D500" s="2" t="s">
        <v>37</v>
      </c>
      <c r="E500" s="2" t="str">
        <f t="shared" si="7"/>
        <v>Phone Case - Accessories</v>
      </c>
    </row>
    <row r="501" spans="1:5">
      <c r="A501" s="2">
        <v>103213</v>
      </c>
      <c r="B501" s="2" t="s">
        <v>48</v>
      </c>
      <c r="C501" s="2" t="str">
        <f>_xlfn.XLOOKUP(A501,'Customer Data'!B501,'Customer Data'!M501)</f>
        <v>HDMI Cable</v>
      </c>
      <c r="D501" s="2" t="s">
        <v>25</v>
      </c>
      <c r="E501" s="2" t="str">
        <f t="shared" si="7"/>
        <v>Desk Lamp - Home Office</v>
      </c>
    </row>
    <row r="502" spans="1:5">
      <c r="A502" s="2">
        <v>100890</v>
      </c>
      <c r="B502" s="2" t="s">
        <v>32</v>
      </c>
      <c r="C502" s="2" t="str">
        <f>_xlfn.XLOOKUP(A502,'Customer Data'!B502,'Customer Data'!M502)</f>
        <v>Headphones</v>
      </c>
      <c r="D502" s="2" t="s">
        <v>34</v>
      </c>
      <c r="E502" s="2" t="str">
        <f t="shared" si="7"/>
        <v>HDMI Cable - Accessories</v>
      </c>
    </row>
    <row r="503" spans="1:5">
      <c r="A503" s="2">
        <v>106523</v>
      </c>
      <c r="B503" s="2" t="s">
        <v>55</v>
      </c>
      <c r="C503" s="2" t="str">
        <f>_xlfn.XLOOKUP(A503,'Customer Data'!B503,'Customer Data'!M503)</f>
        <v>Laptop Stand</v>
      </c>
      <c r="D503" s="2" t="s">
        <v>25</v>
      </c>
      <c r="E503" s="2" t="str">
        <f t="shared" si="7"/>
        <v>Headphones - Electronics</v>
      </c>
    </row>
    <row r="504" spans="1:5">
      <c r="A504" s="2">
        <v>104203</v>
      </c>
      <c r="B504" s="2" t="s">
        <v>43</v>
      </c>
      <c r="C504" s="2" t="str">
        <f>_xlfn.XLOOKUP(A504,'Customer Data'!B504,'Customer Data'!M504)</f>
        <v>Tablet</v>
      </c>
      <c r="D504" s="2" t="s">
        <v>34</v>
      </c>
      <c r="E504" s="2" t="str">
        <f t="shared" si="7"/>
        <v>Laptop Stand - Accessories</v>
      </c>
    </row>
    <row r="505" spans="1:5">
      <c r="A505" s="2">
        <v>102015</v>
      </c>
      <c r="B505" s="2" t="s">
        <v>32</v>
      </c>
      <c r="C505" s="2" t="str">
        <f>_xlfn.XLOOKUP(A505,'Customer Data'!B505,'Customer Data'!M505)</f>
        <v>Mechanical Keyboard</v>
      </c>
      <c r="D505" s="2" t="s">
        <v>34</v>
      </c>
      <c r="E505" s="2" t="str">
        <f t="shared" si="7"/>
        <v>Tablet - Electronics</v>
      </c>
    </row>
    <row r="506" spans="1:5">
      <c r="A506" s="2">
        <v>100929</v>
      </c>
      <c r="B506" s="2" t="s">
        <v>55</v>
      </c>
      <c r="C506" s="2" t="str">
        <f>_xlfn.XLOOKUP(A506,'Customer Data'!B506,'Customer Data'!M506)</f>
        <v>Fitness Band</v>
      </c>
      <c r="D506" s="2" t="s">
        <v>59</v>
      </c>
      <c r="E506" s="2" t="str">
        <f t="shared" si="7"/>
        <v>Mechanical Keyboard - Electronics</v>
      </c>
    </row>
    <row r="507" spans="1:5">
      <c r="A507" s="2">
        <v>103303</v>
      </c>
      <c r="B507" s="2" t="s">
        <v>32</v>
      </c>
      <c r="C507" s="2" t="str">
        <f>_xlfn.XLOOKUP(A507,'Customer Data'!B507,'Customer Data'!M507)</f>
        <v>Headphones</v>
      </c>
      <c r="D507" s="2" t="s">
        <v>34</v>
      </c>
      <c r="E507" s="2" t="str">
        <f t="shared" si="7"/>
        <v>Fitness Band - Wearables</v>
      </c>
    </row>
    <row r="508" spans="1:5">
      <c r="A508" s="2">
        <v>108958</v>
      </c>
      <c r="B508" s="2" t="s">
        <v>45</v>
      </c>
      <c r="C508" s="2" t="str">
        <f>_xlfn.XLOOKUP(A508,'Customer Data'!B508,'Customer Data'!M508)</f>
        <v>Laptop Stand</v>
      </c>
      <c r="D508" s="2" t="s">
        <v>25</v>
      </c>
      <c r="E508" s="2" t="str">
        <f t="shared" si="7"/>
        <v>Headphones - Electronics</v>
      </c>
    </row>
    <row r="509" spans="1:5">
      <c r="A509" s="2">
        <v>100434</v>
      </c>
      <c r="B509" s="2" t="s">
        <v>43</v>
      </c>
      <c r="C509" s="2" t="str">
        <f>_xlfn.XLOOKUP(A509,'Customer Data'!B509,'Customer Data'!M509)</f>
        <v>Mechanical Keyboard</v>
      </c>
      <c r="D509" s="2" t="s">
        <v>34</v>
      </c>
      <c r="E509" s="2" t="str">
        <f t="shared" si="7"/>
        <v>Laptop Stand - Accessories</v>
      </c>
    </row>
    <row r="510" spans="1:5">
      <c r="A510" s="2">
        <v>106348</v>
      </c>
      <c r="B510" s="2" t="s">
        <v>32</v>
      </c>
      <c r="C510" s="2" t="str">
        <f>_xlfn.XLOOKUP(A510,'Customer Data'!B510,'Customer Data'!M510)</f>
        <v>HDMI Cable</v>
      </c>
      <c r="D510" s="2" t="s">
        <v>25</v>
      </c>
      <c r="E510" s="2" t="str">
        <f t="shared" si="7"/>
        <v>Mechanical Keyboard - Electronics</v>
      </c>
    </row>
    <row r="511" spans="1:5">
      <c r="A511" s="2">
        <v>102567</v>
      </c>
      <c r="B511" s="2" t="s">
        <v>32</v>
      </c>
      <c r="C511" s="2" t="str">
        <f>_xlfn.XLOOKUP(A511,'Customer Data'!B511,'Customer Data'!M511)</f>
        <v>Notebook</v>
      </c>
      <c r="D511" s="2" t="s">
        <v>54</v>
      </c>
      <c r="E511" s="2" t="str">
        <f t="shared" si="7"/>
        <v>HDMI Cable - Accessories</v>
      </c>
    </row>
    <row r="512" spans="1:5">
      <c r="A512" s="2">
        <v>106202</v>
      </c>
      <c r="B512" s="2" t="s">
        <v>32</v>
      </c>
      <c r="C512" s="2" t="str">
        <f>_xlfn.XLOOKUP(A512,'Customer Data'!B512,'Customer Data'!M512)</f>
        <v>Phone Case</v>
      </c>
      <c r="D512" s="2" t="s">
        <v>25</v>
      </c>
      <c r="E512" s="2" t="str">
        <f t="shared" si="7"/>
        <v>Notebook - Stationery</v>
      </c>
    </row>
    <row r="513" spans="1:5">
      <c r="A513" s="2">
        <v>108727</v>
      </c>
      <c r="B513" s="2" t="s">
        <v>43</v>
      </c>
      <c r="C513" s="2" t="str">
        <f>_xlfn.XLOOKUP(A513,'Customer Data'!B513,'Customer Data'!M513)</f>
        <v>Monitor</v>
      </c>
      <c r="D513" s="2" t="s">
        <v>34</v>
      </c>
      <c r="E513" s="2" t="str">
        <f t="shared" si="7"/>
        <v>Phone Case - Accessories</v>
      </c>
    </row>
    <row r="514" spans="1:5">
      <c r="A514" s="2">
        <v>103168</v>
      </c>
      <c r="B514" s="2" t="s">
        <v>28</v>
      </c>
      <c r="C514" s="2" t="str">
        <f>_xlfn.XLOOKUP(A514,'Customer Data'!B514,'Customer Data'!M514)</f>
        <v>Phone Case</v>
      </c>
      <c r="D514" s="2" t="s">
        <v>25</v>
      </c>
      <c r="E514" s="2" t="str">
        <f t="shared" si="7"/>
        <v>Monitor - Electronics</v>
      </c>
    </row>
    <row r="515" spans="1:5">
      <c r="A515" s="2">
        <v>104029</v>
      </c>
      <c r="B515" s="2" t="s">
        <v>32</v>
      </c>
      <c r="C515" s="2" t="str">
        <f>_xlfn.XLOOKUP(A515,'Customer Data'!B515,'Customer Data'!M515)</f>
        <v>Gaming Controller</v>
      </c>
      <c r="D515" s="2" t="s">
        <v>63</v>
      </c>
      <c r="E515" s="2" t="str">
        <f t="shared" ref="E515:E578" si="8">CONCATENATE(C514," - ",D514)</f>
        <v>Phone Case - Accessories</v>
      </c>
    </row>
    <row r="516" spans="1:5">
      <c r="A516" s="2">
        <v>104078</v>
      </c>
      <c r="B516" s="2" t="s">
        <v>38</v>
      </c>
      <c r="C516" s="2" t="str">
        <f>_xlfn.XLOOKUP(A516,'Customer Data'!B516,'Customer Data'!M516)</f>
        <v>USB-C Cable</v>
      </c>
      <c r="D516" s="2" t="s">
        <v>25</v>
      </c>
      <c r="E516" s="2" t="str">
        <f t="shared" si="8"/>
        <v>Gaming Controller - Gaming</v>
      </c>
    </row>
    <row r="517" spans="1:5">
      <c r="A517" s="2">
        <v>107099</v>
      </c>
      <c r="B517" s="2" t="s">
        <v>55</v>
      </c>
      <c r="C517" s="2" t="str">
        <f>_xlfn.XLOOKUP(A517,'Customer Data'!B517,'Customer Data'!M517)</f>
        <v>Tablet</v>
      </c>
      <c r="D517" s="2" t="s">
        <v>34</v>
      </c>
      <c r="E517" s="2" t="str">
        <f t="shared" si="8"/>
        <v>USB-C Cable - Accessories</v>
      </c>
    </row>
    <row r="518" spans="1:5">
      <c r="A518" s="2">
        <v>107569</v>
      </c>
      <c r="B518" s="2" t="s">
        <v>28</v>
      </c>
      <c r="C518" s="2" t="str">
        <f>_xlfn.XLOOKUP(A518,'Customer Data'!B518,'Customer Data'!M518)</f>
        <v>Microphone</v>
      </c>
      <c r="D518" s="2" t="s">
        <v>34</v>
      </c>
      <c r="E518" s="2" t="str">
        <f t="shared" si="8"/>
        <v>Tablet - Electronics</v>
      </c>
    </row>
    <row r="519" spans="1:5">
      <c r="A519" s="2">
        <v>103975</v>
      </c>
      <c r="B519" s="2" t="s">
        <v>45</v>
      </c>
      <c r="C519" s="2" t="str">
        <f>_xlfn.XLOOKUP(A519,'Customer Data'!B519,'Customer Data'!M519)</f>
        <v>Microphone</v>
      </c>
      <c r="D519" s="2" t="s">
        <v>34</v>
      </c>
      <c r="E519" s="2" t="str">
        <f t="shared" si="8"/>
        <v>Microphone - Electronics</v>
      </c>
    </row>
    <row r="520" spans="1:5">
      <c r="A520" s="2">
        <v>100890</v>
      </c>
      <c r="B520" s="2" t="s">
        <v>32</v>
      </c>
      <c r="C520" s="2" t="str">
        <f>_xlfn.XLOOKUP(A520,'Customer Data'!B520,'Customer Data'!M520)</f>
        <v>Mechanical Keyboard</v>
      </c>
      <c r="D520" s="2" t="s">
        <v>34</v>
      </c>
      <c r="E520" s="2" t="str">
        <f t="shared" si="8"/>
        <v>Microphone - Electronics</v>
      </c>
    </row>
    <row r="521" spans="1:5">
      <c r="A521" s="2">
        <v>105438</v>
      </c>
      <c r="B521" s="2" t="s">
        <v>52</v>
      </c>
      <c r="C521" s="2" t="str">
        <f>_xlfn.XLOOKUP(A521,'Customer Data'!B521,'Customer Data'!M521)</f>
        <v>Webcam</v>
      </c>
      <c r="D521" s="2" t="s">
        <v>34</v>
      </c>
      <c r="E521" s="2" t="str">
        <f t="shared" si="8"/>
        <v>Mechanical Keyboard - Electronics</v>
      </c>
    </row>
    <row r="522" spans="1:5">
      <c r="A522" s="2">
        <v>106973</v>
      </c>
      <c r="B522" s="2" t="s">
        <v>52</v>
      </c>
      <c r="C522" s="2" t="str">
        <f>_xlfn.XLOOKUP(A522,'Customer Data'!B522,'Customer Data'!M522)</f>
        <v>Backpack</v>
      </c>
      <c r="D522" s="2" t="s">
        <v>25</v>
      </c>
      <c r="E522" s="2" t="str">
        <f t="shared" si="8"/>
        <v>Webcam - Electronics</v>
      </c>
    </row>
    <row r="523" spans="1:5">
      <c r="A523" s="2">
        <v>104619</v>
      </c>
      <c r="B523" s="2" t="s">
        <v>35</v>
      </c>
      <c r="C523" s="2" t="str">
        <f>_xlfn.XLOOKUP(A523,'Customer Data'!B523,'Customer Data'!M523)</f>
        <v>Smart Watch</v>
      </c>
      <c r="D523" s="2" t="s">
        <v>59</v>
      </c>
      <c r="E523" s="2" t="str">
        <f t="shared" si="8"/>
        <v>Backpack - Accessories</v>
      </c>
    </row>
    <row r="524" spans="1:5">
      <c r="A524" s="2">
        <v>104970</v>
      </c>
      <c r="B524" s="2" t="s">
        <v>35</v>
      </c>
      <c r="C524" s="2" t="str">
        <f>_xlfn.XLOOKUP(A524,'Customer Data'!B524,'Customer Data'!M524)</f>
        <v>Bluetooth Speaker</v>
      </c>
      <c r="D524" s="2" t="s">
        <v>34</v>
      </c>
      <c r="E524" s="2" t="str">
        <f t="shared" si="8"/>
        <v>Smart Watch - Wearables</v>
      </c>
    </row>
    <row r="525" spans="1:5">
      <c r="A525" s="2">
        <v>106679</v>
      </c>
      <c r="B525" s="2" t="s">
        <v>43</v>
      </c>
      <c r="C525" s="2" t="str">
        <f>_xlfn.XLOOKUP(A525,'Customer Data'!B525,'Customer Data'!M525)</f>
        <v>Smart Watch</v>
      </c>
      <c r="D525" s="2" t="s">
        <v>59</v>
      </c>
      <c r="E525" s="2" t="str">
        <f t="shared" si="8"/>
        <v>Bluetooth Speaker - Electronics</v>
      </c>
    </row>
    <row r="526" spans="1:5">
      <c r="A526" s="2">
        <v>104171</v>
      </c>
      <c r="B526" s="2" t="s">
        <v>32</v>
      </c>
      <c r="C526" s="2" t="str">
        <f>_xlfn.XLOOKUP(A526,'Customer Data'!B526,'Customer Data'!M526)</f>
        <v>USB-C Cable</v>
      </c>
      <c r="D526" s="2" t="s">
        <v>25</v>
      </c>
      <c r="E526" s="2" t="str">
        <f t="shared" si="8"/>
        <v>Smart Watch - Wearables</v>
      </c>
    </row>
    <row r="527" spans="1:5">
      <c r="A527" s="2">
        <v>107168</v>
      </c>
      <c r="B527" s="2" t="s">
        <v>28</v>
      </c>
      <c r="C527" s="2" t="str">
        <f>_xlfn.XLOOKUP(A527,'Customer Data'!B527,'Customer Data'!M527)</f>
        <v>Power Bank</v>
      </c>
      <c r="D527" s="2" t="s">
        <v>34</v>
      </c>
      <c r="E527" s="2" t="str">
        <f t="shared" si="8"/>
        <v>USB-C Cable - Accessories</v>
      </c>
    </row>
    <row r="528" spans="1:5">
      <c r="A528" s="2">
        <v>106335</v>
      </c>
      <c r="B528" s="2" t="s">
        <v>32</v>
      </c>
      <c r="C528" s="2" t="str">
        <f>_xlfn.XLOOKUP(A528,'Customer Data'!B528,'Customer Data'!M528)</f>
        <v>HDMI Cable</v>
      </c>
      <c r="D528" s="2" t="s">
        <v>25</v>
      </c>
      <c r="E528" s="2" t="str">
        <f t="shared" si="8"/>
        <v>Power Bank - Electronics</v>
      </c>
    </row>
    <row r="529" spans="1:5">
      <c r="A529" s="2">
        <v>101001</v>
      </c>
      <c r="B529" s="2" t="s">
        <v>43</v>
      </c>
      <c r="C529" s="2" t="str">
        <f>_xlfn.XLOOKUP(A529,'Customer Data'!B529,'Customer Data'!M529)</f>
        <v>Headphones</v>
      </c>
      <c r="D529" s="2" t="s">
        <v>34</v>
      </c>
      <c r="E529" s="2" t="str">
        <f t="shared" si="8"/>
        <v>HDMI Cable - Accessories</v>
      </c>
    </row>
    <row r="530" spans="1:5">
      <c r="A530" s="2">
        <v>100176</v>
      </c>
      <c r="B530" s="2" t="s">
        <v>32</v>
      </c>
      <c r="C530" s="2" t="str">
        <f>_xlfn.XLOOKUP(A530,'Customer Data'!B530,'Customer Data'!M530)</f>
        <v>Phone Case</v>
      </c>
      <c r="D530" s="2" t="s">
        <v>25</v>
      </c>
      <c r="E530" s="2" t="str">
        <f t="shared" si="8"/>
        <v>Headphones - Electronics</v>
      </c>
    </row>
    <row r="531" spans="1:5">
      <c r="A531" s="2">
        <v>109707</v>
      </c>
      <c r="B531" s="2" t="s">
        <v>45</v>
      </c>
      <c r="C531" s="2" t="str">
        <f>_xlfn.XLOOKUP(A531,'Customer Data'!B531,'Customer Data'!M531)</f>
        <v>Bluetooth Speaker</v>
      </c>
      <c r="D531" s="2" t="s">
        <v>34</v>
      </c>
      <c r="E531" s="2" t="str">
        <f t="shared" si="8"/>
        <v>Phone Case - Accessories</v>
      </c>
    </row>
    <row r="532" spans="1:5">
      <c r="A532" s="2">
        <v>105313</v>
      </c>
      <c r="B532" s="2" t="s">
        <v>35</v>
      </c>
      <c r="C532" s="2" t="str">
        <f>_xlfn.XLOOKUP(A532,'Customer Data'!B532,'Customer Data'!M532)</f>
        <v>HDMI Cable</v>
      </c>
      <c r="D532" s="2" t="s">
        <v>25</v>
      </c>
      <c r="E532" s="2" t="str">
        <f t="shared" si="8"/>
        <v>Bluetooth Speaker - Electronics</v>
      </c>
    </row>
    <row r="533" spans="1:5">
      <c r="A533" s="2">
        <v>107806</v>
      </c>
      <c r="B533" s="2" t="s">
        <v>32</v>
      </c>
      <c r="C533" s="2" t="str">
        <f>_xlfn.XLOOKUP(A533,'Customer Data'!B533,'Customer Data'!M533)</f>
        <v>Webcam</v>
      </c>
      <c r="D533" s="2" t="s">
        <v>34</v>
      </c>
      <c r="E533" s="2" t="str">
        <f t="shared" si="8"/>
        <v>HDMI Cable - Accessories</v>
      </c>
    </row>
    <row r="534" spans="1:5">
      <c r="A534" s="2">
        <v>105675</v>
      </c>
      <c r="B534" s="2" t="s">
        <v>52</v>
      </c>
      <c r="C534" s="2" t="str">
        <f>_xlfn.XLOOKUP(A534,'Customer Data'!B534,'Customer Data'!M534)</f>
        <v>USB-C Cable</v>
      </c>
      <c r="D534" s="2" t="s">
        <v>25</v>
      </c>
      <c r="E534" s="2" t="str">
        <f t="shared" si="8"/>
        <v>Webcam - Electronics</v>
      </c>
    </row>
    <row r="535" spans="1:5">
      <c r="A535" s="2">
        <v>102606</v>
      </c>
      <c r="B535" s="2" t="s">
        <v>28</v>
      </c>
      <c r="C535" s="2" t="str">
        <f>_xlfn.XLOOKUP(A535,'Customer Data'!B535,'Customer Data'!M535)</f>
        <v>USB-C Cable</v>
      </c>
      <c r="D535" s="2" t="s">
        <v>25</v>
      </c>
      <c r="E535" s="2" t="str">
        <f t="shared" si="8"/>
        <v>USB-C Cable - Accessories</v>
      </c>
    </row>
    <row r="536" spans="1:5">
      <c r="A536" s="2">
        <v>101119</v>
      </c>
      <c r="B536" s="2" t="s">
        <v>55</v>
      </c>
      <c r="C536" s="2" t="str">
        <f>_xlfn.XLOOKUP(A536,'Customer Data'!B536,'Customer Data'!M536)</f>
        <v>HDMI Cable</v>
      </c>
      <c r="D536" s="2" t="s">
        <v>25</v>
      </c>
      <c r="E536" s="2" t="str">
        <f t="shared" si="8"/>
        <v>USB-C Cable - Accessories</v>
      </c>
    </row>
    <row r="537" spans="1:5">
      <c r="A537" s="2">
        <v>108498</v>
      </c>
      <c r="B537" s="2" t="s">
        <v>43</v>
      </c>
      <c r="C537" s="2" t="str">
        <f>_xlfn.XLOOKUP(A537,'Customer Data'!B537,'Customer Data'!M537)</f>
        <v>Fitness Band</v>
      </c>
      <c r="D537" s="2" t="s">
        <v>59</v>
      </c>
      <c r="E537" s="2" t="str">
        <f t="shared" si="8"/>
        <v>HDMI Cable - Accessories</v>
      </c>
    </row>
    <row r="538" spans="1:5">
      <c r="A538" s="2">
        <v>101171</v>
      </c>
      <c r="B538" s="2" t="s">
        <v>28</v>
      </c>
      <c r="C538" s="2" t="str">
        <f>_xlfn.XLOOKUP(A538,'Customer Data'!B538,'Customer Data'!M538)</f>
        <v>Headphones</v>
      </c>
      <c r="D538" s="2" t="s">
        <v>34</v>
      </c>
      <c r="E538" s="2" t="str">
        <f t="shared" si="8"/>
        <v>Fitness Band - Wearables</v>
      </c>
    </row>
    <row r="539" spans="1:5">
      <c r="A539" s="2">
        <v>104021</v>
      </c>
      <c r="B539" s="2" t="s">
        <v>45</v>
      </c>
      <c r="C539" s="2" t="str">
        <f>_xlfn.XLOOKUP(A539,'Customer Data'!B539,'Customer Data'!M539)</f>
        <v>Phone Case</v>
      </c>
      <c r="D539" s="2" t="s">
        <v>25</v>
      </c>
      <c r="E539" s="2" t="str">
        <f t="shared" si="8"/>
        <v>Headphones - Electronics</v>
      </c>
    </row>
    <row r="540" spans="1:5">
      <c r="A540" s="2">
        <v>103850</v>
      </c>
      <c r="B540" s="2" t="s">
        <v>28</v>
      </c>
      <c r="C540" s="2" t="str">
        <f>_xlfn.XLOOKUP(A540,'Customer Data'!B540,'Customer Data'!M540)</f>
        <v>Notebook</v>
      </c>
      <c r="D540" s="2" t="s">
        <v>54</v>
      </c>
      <c r="E540" s="2" t="str">
        <f t="shared" si="8"/>
        <v>Phone Case - Accessories</v>
      </c>
    </row>
    <row r="541" spans="1:5">
      <c r="A541" s="2">
        <v>101733</v>
      </c>
      <c r="B541" s="2" t="s">
        <v>55</v>
      </c>
      <c r="C541" s="2" t="str">
        <f>_xlfn.XLOOKUP(A541,'Customer Data'!B541,'Customer Data'!M541)</f>
        <v>Laptop Stand</v>
      </c>
      <c r="D541" s="2" t="s">
        <v>25</v>
      </c>
      <c r="E541" s="2" t="str">
        <f t="shared" si="8"/>
        <v>Notebook - Stationery</v>
      </c>
    </row>
    <row r="542" spans="1:5">
      <c r="A542" s="2">
        <v>109221</v>
      </c>
      <c r="B542" s="2" t="s">
        <v>43</v>
      </c>
      <c r="C542" s="2" t="str">
        <f>_xlfn.XLOOKUP(A542,'Customer Data'!B542,'Customer Data'!M542)</f>
        <v>Notebook</v>
      </c>
      <c r="D542" s="2" t="s">
        <v>54</v>
      </c>
      <c r="E542" s="2" t="str">
        <f t="shared" si="8"/>
        <v>Laptop Stand - Accessories</v>
      </c>
    </row>
    <row r="543" spans="1:5">
      <c r="A543" s="2">
        <v>105249</v>
      </c>
      <c r="B543" s="2" t="s">
        <v>32</v>
      </c>
      <c r="C543" s="2" t="str">
        <f>_xlfn.XLOOKUP(A543,'Customer Data'!B543,'Customer Data'!M543)</f>
        <v>Phone Case</v>
      </c>
      <c r="D543" s="2" t="s">
        <v>25</v>
      </c>
      <c r="E543" s="2" t="str">
        <f t="shared" si="8"/>
        <v>Notebook - Stationery</v>
      </c>
    </row>
    <row r="544" spans="1:5">
      <c r="A544" s="2">
        <v>106097</v>
      </c>
      <c r="B544" s="2" t="s">
        <v>32</v>
      </c>
      <c r="C544" s="2" t="str">
        <f>_xlfn.XLOOKUP(A544,'Customer Data'!B544,'Customer Data'!M544)</f>
        <v>Headphones</v>
      </c>
      <c r="D544" s="2" t="s">
        <v>34</v>
      </c>
      <c r="E544" s="2" t="str">
        <f t="shared" si="8"/>
        <v>Phone Case - Accessories</v>
      </c>
    </row>
    <row r="545" spans="1:5">
      <c r="A545" s="2">
        <v>103797</v>
      </c>
      <c r="B545" s="2" t="s">
        <v>43</v>
      </c>
      <c r="C545" s="2" t="str">
        <f>_xlfn.XLOOKUP(A545,'Customer Data'!B545,'Customer Data'!M545)</f>
        <v>Fitness Band</v>
      </c>
      <c r="D545" s="2" t="s">
        <v>59</v>
      </c>
      <c r="E545" s="2" t="str">
        <f t="shared" si="8"/>
        <v>Headphones - Electronics</v>
      </c>
    </row>
    <row r="546" spans="1:5">
      <c r="A546" s="2">
        <v>105592</v>
      </c>
      <c r="B546" s="2" t="s">
        <v>22</v>
      </c>
      <c r="C546" s="2" t="str">
        <f>_xlfn.XLOOKUP(A546,'Customer Data'!B546,'Customer Data'!M546)</f>
        <v>Notebook</v>
      </c>
      <c r="D546" s="2" t="s">
        <v>54</v>
      </c>
      <c r="E546" s="2" t="str">
        <f t="shared" si="8"/>
        <v>Fitness Band - Wearables</v>
      </c>
    </row>
    <row r="547" spans="1:5">
      <c r="A547" s="2">
        <v>108840</v>
      </c>
      <c r="B547" s="2" t="s">
        <v>43</v>
      </c>
      <c r="C547" s="2" t="str">
        <f>_xlfn.XLOOKUP(A547,'Customer Data'!B547,'Customer Data'!M547)</f>
        <v>Smart Watch</v>
      </c>
      <c r="D547" s="2" t="s">
        <v>59</v>
      </c>
      <c r="E547" s="2" t="str">
        <f t="shared" si="8"/>
        <v>Notebook - Stationery</v>
      </c>
    </row>
    <row r="548" spans="1:5">
      <c r="A548" s="2">
        <v>109740</v>
      </c>
      <c r="B548" s="2" t="s">
        <v>22</v>
      </c>
      <c r="C548" s="2" t="str">
        <f>_xlfn.XLOOKUP(A548,'Customer Data'!B548,'Customer Data'!M548)</f>
        <v>Notebook</v>
      </c>
      <c r="D548" s="2" t="s">
        <v>54</v>
      </c>
      <c r="E548" s="2" t="str">
        <f t="shared" si="8"/>
        <v>Smart Watch - Wearables</v>
      </c>
    </row>
    <row r="549" spans="1:5">
      <c r="A549" s="2">
        <v>102950</v>
      </c>
      <c r="B549" s="2" t="s">
        <v>52</v>
      </c>
      <c r="C549" s="2" t="str">
        <f>_xlfn.XLOOKUP(A549,'Customer Data'!B549,'Customer Data'!M549)</f>
        <v>Webcam</v>
      </c>
      <c r="D549" s="2" t="s">
        <v>34</v>
      </c>
      <c r="E549" s="2" t="str">
        <f t="shared" si="8"/>
        <v>Notebook - Stationery</v>
      </c>
    </row>
    <row r="550" spans="1:5">
      <c r="A550" s="2">
        <v>105389</v>
      </c>
      <c r="B550" s="2" t="s">
        <v>32</v>
      </c>
      <c r="C550" s="2" t="str">
        <f>_xlfn.XLOOKUP(A550,'Customer Data'!B550,'Customer Data'!M550)</f>
        <v>Power Bank</v>
      </c>
      <c r="D550" s="2" t="s">
        <v>34</v>
      </c>
      <c r="E550" s="2" t="str">
        <f t="shared" si="8"/>
        <v>Webcam - Electronics</v>
      </c>
    </row>
    <row r="551" spans="1:5">
      <c r="A551" s="2">
        <v>103629</v>
      </c>
      <c r="B551" s="2" t="s">
        <v>43</v>
      </c>
      <c r="C551" s="2" t="str">
        <f>_xlfn.XLOOKUP(A551,'Customer Data'!B551,'Customer Data'!M551)</f>
        <v>Fitness Band</v>
      </c>
      <c r="D551" s="2" t="s">
        <v>59</v>
      </c>
      <c r="E551" s="2" t="str">
        <f t="shared" si="8"/>
        <v>Power Bank - Electronics</v>
      </c>
    </row>
    <row r="552" spans="1:5">
      <c r="A552" s="2">
        <v>100262</v>
      </c>
      <c r="B552" s="2" t="s">
        <v>35</v>
      </c>
      <c r="C552" s="2" t="str">
        <f>_xlfn.XLOOKUP(A552,'Customer Data'!B552,'Customer Data'!M552)</f>
        <v>Headphones</v>
      </c>
      <c r="D552" s="2" t="s">
        <v>34</v>
      </c>
      <c r="E552" s="2" t="str">
        <f t="shared" si="8"/>
        <v>Fitness Band - Wearables</v>
      </c>
    </row>
    <row r="553" spans="1:5">
      <c r="A553" s="2">
        <v>106681</v>
      </c>
      <c r="B553" s="2" t="s">
        <v>45</v>
      </c>
      <c r="C553" s="2" t="str">
        <f>_xlfn.XLOOKUP(A553,'Customer Data'!B553,'Customer Data'!M553)</f>
        <v>HDMI Cable</v>
      </c>
      <c r="D553" s="2" t="s">
        <v>25</v>
      </c>
      <c r="E553" s="2" t="str">
        <f t="shared" si="8"/>
        <v>Headphones - Electronics</v>
      </c>
    </row>
    <row r="554" spans="1:5">
      <c r="A554" s="2">
        <v>108368</v>
      </c>
      <c r="B554" s="2" t="s">
        <v>45</v>
      </c>
      <c r="C554" s="2" t="str">
        <f>_xlfn.XLOOKUP(A554,'Customer Data'!B554,'Customer Data'!M554)</f>
        <v>Notebook</v>
      </c>
      <c r="D554" s="2" t="s">
        <v>54</v>
      </c>
      <c r="E554" s="2" t="str">
        <f t="shared" si="8"/>
        <v>HDMI Cable - Accessories</v>
      </c>
    </row>
    <row r="555" spans="1:5">
      <c r="A555" s="2">
        <v>104659</v>
      </c>
      <c r="B555" s="2" t="s">
        <v>52</v>
      </c>
      <c r="C555" s="2" t="str">
        <f>_xlfn.XLOOKUP(A555,'Customer Data'!B555,'Customer Data'!M555)</f>
        <v>Phone Case</v>
      </c>
      <c r="D555" s="2" t="s">
        <v>25</v>
      </c>
      <c r="E555" s="2" t="str">
        <f t="shared" si="8"/>
        <v>Notebook - Stationery</v>
      </c>
    </row>
    <row r="556" spans="1:5">
      <c r="A556" s="2">
        <v>109567</v>
      </c>
      <c r="B556" s="2" t="s">
        <v>48</v>
      </c>
      <c r="C556" s="2" t="str">
        <f>_xlfn.XLOOKUP(A556,'Customer Data'!B556,'Customer Data'!M556)</f>
        <v>HDMI Cable</v>
      </c>
      <c r="D556" s="2" t="s">
        <v>25</v>
      </c>
      <c r="E556" s="2" t="str">
        <f t="shared" si="8"/>
        <v>Phone Case - Accessories</v>
      </c>
    </row>
    <row r="557" spans="1:5">
      <c r="A557" s="2">
        <v>107523</v>
      </c>
      <c r="B557" s="2" t="s">
        <v>52</v>
      </c>
      <c r="C557" s="2" t="str">
        <f>_xlfn.XLOOKUP(A557,'Customer Data'!B557,'Customer Data'!M557)</f>
        <v>Microphone</v>
      </c>
      <c r="D557" s="2" t="s">
        <v>34</v>
      </c>
      <c r="E557" s="2" t="str">
        <f t="shared" si="8"/>
        <v>HDMI Cable - Accessories</v>
      </c>
    </row>
    <row r="558" spans="1:5">
      <c r="A558" s="2">
        <v>109705</v>
      </c>
      <c r="B558" s="2" t="s">
        <v>32</v>
      </c>
      <c r="C558" s="2" t="str">
        <f>_xlfn.XLOOKUP(A558,'Customer Data'!B558,'Customer Data'!M558)</f>
        <v>Phone Case</v>
      </c>
      <c r="D558" s="2" t="s">
        <v>25</v>
      </c>
      <c r="E558" s="2" t="str">
        <f t="shared" si="8"/>
        <v>Microphone - Electronics</v>
      </c>
    </row>
    <row r="559" spans="1:5">
      <c r="A559" s="2">
        <v>100301</v>
      </c>
      <c r="B559" s="2" t="s">
        <v>35</v>
      </c>
      <c r="C559" s="2" t="str">
        <f>_xlfn.XLOOKUP(A559,'Customer Data'!B559,'Customer Data'!M559)</f>
        <v>Notebook</v>
      </c>
      <c r="D559" s="2" t="s">
        <v>54</v>
      </c>
      <c r="E559" s="2" t="str">
        <f t="shared" si="8"/>
        <v>Phone Case - Accessories</v>
      </c>
    </row>
    <row r="560" spans="1:5">
      <c r="A560" s="2">
        <v>102113</v>
      </c>
      <c r="B560" s="2" t="s">
        <v>48</v>
      </c>
      <c r="C560" s="2" t="str">
        <f>_xlfn.XLOOKUP(A560,'Customer Data'!B560,'Customer Data'!M560)</f>
        <v>Webcam</v>
      </c>
      <c r="D560" s="2" t="s">
        <v>34</v>
      </c>
      <c r="E560" s="2" t="str">
        <f t="shared" si="8"/>
        <v>Notebook - Stationery</v>
      </c>
    </row>
    <row r="561" spans="1:5">
      <c r="A561" s="2">
        <v>102776</v>
      </c>
      <c r="B561" s="2" t="s">
        <v>43</v>
      </c>
      <c r="C561" s="2" t="str">
        <f>_xlfn.XLOOKUP(A561,'Customer Data'!B561,'Customer Data'!M561)</f>
        <v>Phone Case</v>
      </c>
      <c r="D561" s="2" t="s">
        <v>25</v>
      </c>
      <c r="E561" s="2" t="str">
        <f t="shared" si="8"/>
        <v>Webcam - Electronics</v>
      </c>
    </row>
    <row r="562" spans="1:5">
      <c r="A562" s="2">
        <v>105433</v>
      </c>
      <c r="B562" s="2" t="s">
        <v>45</v>
      </c>
      <c r="C562" s="2" t="str">
        <f>_xlfn.XLOOKUP(A562,'Customer Data'!B562,'Customer Data'!M562)</f>
        <v>Fitness Band</v>
      </c>
      <c r="D562" s="2" t="s">
        <v>59</v>
      </c>
      <c r="E562" s="2" t="str">
        <f t="shared" si="8"/>
        <v>Phone Case - Accessories</v>
      </c>
    </row>
    <row r="563" spans="1:5">
      <c r="A563" s="2">
        <v>109330</v>
      </c>
      <c r="B563" s="2" t="s">
        <v>32</v>
      </c>
      <c r="C563" s="2" t="str">
        <f>_xlfn.XLOOKUP(A563,'Customer Data'!B563,'Customer Data'!M563)</f>
        <v>Laptop Stand</v>
      </c>
      <c r="D563" s="2" t="s">
        <v>25</v>
      </c>
      <c r="E563" s="2" t="str">
        <f t="shared" si="8"/>
        <v>Fitness Band - Wearables</v>
      </c>
    </row>
    <row r="564" spans="1:5">
      <c r="A564" s="2">
        <v>104064</v>
      </c>
      <c r="B564" s="2" t="s">
        <v>22</v>
      </c>
      <c r="C564" s="2" t="str">
        <f>_xlfn.XLOOKUP(A564,'Customer Data'!B564,'Customer Data'!M564)</f>
        <v>Bluetooth Speaker</v>
      </c>
      <c r="D564" s="2" t="s">
        <v>34</v>
      </c>
      <c r="E564" s="2" t="str">
        <f t="shared" si="8"/>
        <v>Laptop Stand - Accessories</v>
      </c>
    </row>
    <row r="565" spans="1:5">
      <c r="A565" s="2">
        <v>102281</v>
      </c>
      <c r="B565" s="2" t="s">
        <v>38</v>
      </c>
      <c r="C565" s="2" t="str">
        <f>_xlfn.XLOOKUP(A565,'Customer Data'!B565,'Customer Data'!M565)</f>
        <v>USB-C Cable</v>
      </c>
      <c r="D565" s="2" t="s">
        <v>25</v>
      </c>
      <c r="E565" s="2" t="str">
        <f t="shared" si="8"/>
        <v>Bluetooth Speaker - Electronics</v>
      </c>
    </row>
    <row r="566" spans="1:5">
      <c r="A566" s="2">
        <v>104411</v>
      </c>
      <c r="B566" s="2" t="s">
        <v>45</v>
      </c>
      <c r="C566" s="2" t="str">
        <f>_xlfn.XLOOKUP(A566,'Customer Data'!B566,'Customer Data'!M566)</f>
        <v>Monitor</v>
      </c>
      <c r="D566" s="2" t="s">
        <v>34</v>
      </c>
      <c r="E566" s="2" t="str">
        <f t="shared" si="8"/>
        <v>USB-C Cable - Accessories</v>
      </c>
    </row>
    <row r="567" spans="1:5">
      <c r="A567" s="2">
        <v>104617</v>
      </c>
      <c r="B567" s="2" t="s">
        <v>32</v>
      </c>
      <c r="C567" s="2" t="str">
        <f>_xlfn.XLOOKUP(A567,'Customer Data'!B567,'Customer Data'!M567)</f>
        <v>USB-C Cable</v>
      </c>
      <c r="D567" s="2" t="s">
        <v>25</v>
      </c>
      <c r="E567" s="2" t="str">
        <f t="shared" si="8"/>
        <v>Monitor - Electronics</v>
      </c>
    </row>
    <row r="568" spans="1:5">
      <c r="A568" s="2">
        <v>103212</v>
      </c>
      <c r="B568" s="2" t="s">
        <v>28</v>
      </c>
      <c r="C568" s="2" t="str">
        <f>_xlfn.XLOOKUP(A568,'Customer Data'!B568,'Customer Data'!M568)</f>
        <v>HDMI Cable</v>
      </c>
      <c r="D568" s="2" t="s">
        <v>25</v>
      </c>
      <c r="E568" s="2" t="str">
        <f t="shared" si="8"/>
        <v>USB-C Cable - Accessories</v>
      </c>
    </row>
    <row r="569" spans="1:5">
      <c r="A569" s="2">
        <v>107133</v>
      </c>
      <c r="B569" s="2" t="s">
        <v>45</v>
      </c>
      <c r="C569" s="2" t="str">
        <f>_xlfn.XLOOKUP(A569,'Customer Data'!B569,'Customer Data'!M569)</f>
        <v>HDMI Cable</v>
      </c>
      <c r="D569" s="2" t="s">
        <v>25</v>
      </c>
      <c r="E569" s="2" t="str">
        <f t="shared" si="8"/>
        <v>HDMI Cable - Accessories</v>
      </c>
    </row>
    <row r="570" spans="1:5">
      <c r="A570" s="2">
        <v>100278</v>
      </c>
      <c r="B570" s="2" t="s">
        <v>38</v>
      </c>
      <c r="C570" s="2" t="str">
        <f>_xlfn.XLOOKUP(A570,'Customer Data'!B570,'Customer Data'!M570)</f>
        <v>Webcam</v>
      </c>
      <c r="D570" s="2" t="s">
        <v>34</v>
      </c>
      <c r="E570" s="2" t="str">
        <f t="shared" si="8"/>
        <v>HDMI Cable - Accessories</v>
      </c>
    </row>
    <row r="571" spans="1:5">
      <c r="A571" s="2">
        <v>103072</v>
      </c>
      <c r="B571" s="2" t="s">
        <v>35</v>
      </c>
      <c r="C571" s="2" t="str">
        <f>_xlfn.XLOOKUP(A571,'Customer Data'!B571,'Customer Data'!M571)</f>
        <v>Monitor</v>
      </c>
      <c r="D571" s="2" t="s">
        <v>34</v>
      </c>
      <c r="E571" s="2" t="str">
        <f t="shared" si="8"/>
        <v>Webcam - Electronics</v>
      </c>
    </row>
    <row r="572" spans="1:5">
      <c r="A572" s="2">
        <v>102012</v>
      </c>
      <c r="B572" s="2" t="s">
        <v>28</v>
      </c>
      <c r="C572" s="2" t="str">
        <f>_xlfn.XLOOKUP(A572,'Customer Data'!B572,'Customer Data'!M572)</f>
        <v>Power Bank</v>
      </c>
      <c r="D572" s="2" t="s">
        <v>34</v>
      </c>
      <c r="E572" s="2" t="str">
        <f t="shared" si="8"/>
        <v>Monitor - Electronics</v>
      </c>
    </row>
    <row r="573" spans="1:5">
      <c r="A573" s="2">
        <v>100712</v>
      </c>
      <c r="B573" s="2" t="s">
        <v>35</v>
      </c>
      <c r="C573" s="2" t="str">
        <f>_xlfn.XLOOKUP(A573,'Customer Data'!B573,'Customer Data'!M573)</f>
        <v>Phone Case</v>
      </c>
      <c r="D573" s="2" t="s">
        <v>25</v>
      </c>
      <c r="E573" s="2" t="str">
        <f t="shared" si="8"/>
        <v>Power Bank - Electronics</v>
      </c>
    </row>
    <row r="574" spans="1:5">
      <c r="A574" s="2">
        <v>100882</v>
      </c>
      <c r="B574" s="2" t="s">
        <v>32</v>
      </c>
      <c r="C574" s="2" t="str">
        <f>_xlfn.XLOOKUP(A574,'Customer Data'!B574,'Customer Data'!M574)</f>
        <v>Desk Lamp</v>
      </c>
      <c r="D574" s="2" t="s">
        <v>37</v>
      </c>
      <c r="E574" s="2" t="str">
        <f t="shared" si="8"/>
        <v>Phone Case - Accessories</v>
      </c>
    </row>
    <row r="575" spans="1:5">
      <c r="A575" s="2">
        <v>108578</v>
      </c>
      <c r="B575" s="2" t="s">
        <v>28</v>
      </c>
      <c r="C575" s="2" t="str">
        <f>_xlfn.XLOOKUP(A575,'Customer Data'!B575,'Customer Data'!M575)</f>
        <v>Gaming Controller</v>
      </c>
      <c r="D575" s="2" t="s">
        <v>63</v>
      </c>
      <c r="E575" s="2" t="str">
        <f t="shared" si="8"/>
        <v>Desk Lamp - Home Office</v>
      </c>
    </row>
    <row r="576" spans="1:5">
      <c r="A576" s="2">
        <v>104859</v>
      </c>
      <c r="B576" s="2" t="s">
        <v>35</v>
      </c>
      <c r="C576" s="2" t="str">
        <f>_xlfn.XLOOKUP(A576,'Customer Data'!B576,'Customer Data'!M576)</f>
        <v>Headphones</v>
      </c>
      <c r="D576" s="2" t="s">
        <v>34</v>
      </c>
      <c r="E576" s="2" t="str">
        <f t="shared" si="8"/>
        <v>Gaming Controller - Gaming</v>
      </c>
    </row>
    <row r="577" spans="1:5">
      <c r="A577" s="2">
        <v>109752</v>
      </c>
      <c r="B577" s="2" t="s">
        <v>32</v>
      </c>
      <c r="C577" s="2" t="str">
        <f>_xlfn.XLOOKUP(A577,'Customer Data'!B577,'Customer Data'!M577)</f>
        <v>USB-C Cable</v>
      </c>
      <c r="D577" s="2" t="s">
        <v>25</v>
      </c>
      <c r="E577" s="2" t="str">
        <f t="shared" si="8"/>
        <v>Headphones - Electronics</v>
      </c>
    </row>
    <row r="578" spans="1:5">
      <c r="A578" s="2">
        <v>101827</v>
      </c>
      <c r="B578" s="2" t="s">
        <v>32</v>
      </c>
      <c r="C578" s="2" t="str">
        <f>_xlfn.XLOOKUP(A578,'Customer Data'!B578,'Customer Data'!M578)</f>
        <v>Microphone</v>
      </c>
      <c r="D578" s="2" t="s">
        <v>34</v>
      </c>
      <c r="E578" s="2" t="str">
        <f t="shared" si="8"/>
        <v>USB-C Cable - Accessories</v>
      </c>
    </row>
    <row r="579" spans="1:5">
      <c r="A579" s="2">
        <v>109470</v>
      </c>
      <c r="B579" s="2" t="s">
        <v>52</v>
      </c>
      <c r="C579" s="2" t="str">
        <f>_xlfn.XLOOKUP(A579,'Customer Data'!B579,'Customer Data'!M579)</f>
        <v>Webcam</v>
      </c>
      <c r="D579" s="2" t="s">
        <v>34</v>
      </c>
      <c r="E579" s="2" t="str">
        <f t="shared" ref="E579:E642" si="9">CONCATENATE(C578," - ",D578)</f>
        <v>Microphone - Electronics</v>
      </c>
    </row>
    <row r="580" spans="1:5">
      <c r="A580" s="2">
        <v>105016</v>
      </c>
      <c r="B580" s="2" t="s">
        <v>32</v>
      </c>
      <c r="C580" s="2" t="str">
        <f>_xlfn.XLOOKUP(A580,'Customer Data'!B580,'Customer Data'!M580)</f>
        <v>Bluetooth Speaker</v>
      </c>
      <c r="D580" s="2" t="s">
        <v>34</v>
      </c>
      <c r="E580" s="2" t="str">
        <f t="shared" si="9"/>
        <v>Webcam - Electronics</v>
      </c>
    </row>
    <row r="581" spans="1:5">
      <c r="A581" s="2">
        <v>101088</v>
      </c>
      <c r="B581" s="2" t="s">
        <v>32</v>
      </c>
      <c r="C581" s="2" t="str">
        <f>_xlfn.XLOOKUP(A581,'Customer Data'!B581,'Customer Data'!M581)</f>
        <v>Gaming Controller</v>
      </c>
      <c r="D581" s="2" t="s">
        <v>63</v>
      </c>
      <c r="E581" s="2" t="str">
        <f t="shared" si="9"/>
        <v>Bluetooth Speaker - Electronics</v>
      </c>
    </row>
    <row r="582" spans="1:5">
      <c r="A582" s="2">
        <v>102002</v>
      </c>
      <c r="B582" s="2" t="s">
        <v>52</v>
      </c>
      <c r="C582" s="2" t="str">
        <f>_xlfn.XLOOKUP(A582,'Customer Data'!B582,'Customer Data'!M582)</f>
        <v>HDMI Cable</v>
      </c>
      <c r="D582" s="2" t="s">
        <v>25</v>
      </c>
      <c r="E582" s="2" t="str">
        <f t="shared" si="9"/>
        <v>Gaming Controller - Gaming</v>
      </c>
    </row>
    <row r="583" spans="1:5">
      <c r="A583" s="2">
        <v>104866</v>
      </c>
      <c r="B583" s="2" t="s">
        <v>43</v>
      </c>
      <c r="C583" s="2" t="str">
        <f>_xlfn.XLOOKUP(A583,'Customer Data'!B583,'Customer Data'!M583)</f>
        <v>Power Bank</v>
      </c>
      <c r="D583" s="2" t="s">
        <v>34</v>
      </c>
      <c r="E583" s="2" t="str">
        <f t="shared" si="9"/>
        <v>HDMI Cable - Accessories</v>
      </c>
    </row>
    <row r="584" spans="1:5">
      <c r="A584" s="2">
        <v>106817</v>
      </c>
      <c r="B584" s="2" t="s">
        <v>48</v>
      </c>
      <c r="C584" s="2" t="str">
        <f>_xlfn.XLOOKUP(A584,'Customer Data'!B584,'Customer Data'!M584)</f>
        <v>Wireless Mouse</v>
      </c>
      <c r="D584" s="2" t="s">
        <v>34</v>
      </c>
      <c r="E584" s="2" t="str">
        <f t="shared" si="9"/>
        <v>Power Bank - Electronics</v>
      </c>
    </row>
    <row r="585" spans="1:5">
      <c r="A585" s="2">
        <v>108231</v>
      </c>
      <c r="B585" s="2" t="s">
        <v>43</v>
      </c>
      <c r="C585" s="2" t="str">
        <f>_xlfn.XLOOKUP(A585,'Customer Data'!B585,'Customer Data'!M585)</f>
        <v>HDMI Cable</v>
      </c>
      <c r="D585" s="2" t="s">
        <v>25</v>
      </c>
      <c r="E585" s="2" t="str">
        <f t="shared" si="9"/>
        <v>Wireless Mouse - Electronics</v>
      </c>
    </row>
    <row r="586" spans="1:5">
      <c r="A586" s="2">
        <v>109192</v>
      </c>
      <c r="B586" s="2" t="s">
        <v>22</v>
      </c>
      <c r="C586" s="2" t="str">
        <f>_xlfn.XLOOKUP(A586,'Customer Data'!B586,'Customer Data'!M586)</f>
        <v>Microphone</v>
      </c>
      <c r="D586" s="2" t="s">
        <v>34</v>
      </c>
      <c r="E586" s="2" t="str">
        <f t="shared" si="9"/>
        <v>HDMI Cable - Accessories</v>
      </c>
    </row>
    <row r="587" spans="1:5">
      <c r="A587" s="2">
        <v>108901</v>
      </c>
      <c r="B587" s="2" t="s">
        <v>45</v>
      </c>
      <c r="C587" s="2" t="str">
        <f>_xlfn.XLOOKUP(A587,'Customer Data'!B587,'Customer Data'!M587)</f>
        <v>Power Bank</v>
      </c>
      <c r="D587" s="2" t="s">
        <v>34</v>
      </c>
      <c r="E587" s="2" t="str">
        <f t="shared" si="9"/>
        <v>Microphone - Electronics</v>
      </c>
    </row>
    <row r="588" spans="1:5">
      <c r="A588" s="2">
        <v>105833</v>
      </c>
      <c r="B588" s="2" t="s">
        <v>45</v>
      </c>
      <c r="C588" s="2" t="str">
        <f>_xlfn.XLOOKUP(A588,'Customer Data'!B588,'Customer Data'!M588)</f>
        <v>Notebook</v>
      </c>
      <c r="D588" s="2" t="s">
        <v>54</v>
      </c>
      <c r="E588" s="2" t="str">
        <f t="shared" si="9"/>
        <v>Power Bank - Electronics</v>
      </c>
    </row>
    <row r="589" spans="1:5">
      <c r="A589" s="2">
        <v>100286</v>
      </c>
      <c r="B589" s="2" t="s">
        <v>32</v>
      </c>
      <c r="C589" s="2" t="str">
        <f>_xlfn.XLOOKUP(A589,'Customer Data'!B589,'Customer Data'!M589)</f>
        <v>Wireless Mouse</v>
      </c>
      <c r="D589" s="2" t="s">
        <v>34</v>
      </c>
      <c r="E589" s="2" t="str">
        <f t="shared" si="9"/>
        <v>Notebook - Stationery</v>
      </c>
    </row>
    <row r="590" spans="1:5">
      <c r="A590" s="2">
        <v>101039</v>
      </c>
      <c r="B590" s="2" t="s">
        <v>32</v>
      </c>
      <c r="C590" s="2" t="str">
        <f>_xlfn.XLOOKUP(A590,'Customer Data'!B590,'Customer Data'!M590)</f>
        <v>Desk Lamp</v>
      </c>
      <c r="D590" s="2" t="s">
        <v>37</v>
      </c>
      <c r="E590" s="2" t="str">
        <f t="shared" si="9"/>
        <v>Wireless Mouse - Electronics</v>
      </c>
    </row>
    <row r="591" spans="1:5">
      <c r="A591" s="2">
        <v>109948</v>
      </c>
      <c r="B591" s="2" t="s">
        <v>43</v>
      </c>
      <c r="C591" s="2" t="str">
        <f>_xlfn.XLOOKUP(A591,'Customer Data'!B591,'Customer Data'!M591)</f>
        <v>Notebook</v>
      </c>
      <c r="D591" s="2" t="s">
        <v>54</v>
      </c>
      <c r="E591" s="2" t="str">
        <f t="shared" si="9"/>
        <v>Desk Lamp - Home Office</v>
      </c>
    </row>
    <row r="592" spans="1:5">
      <c r="A592" s="2">
        <v>101577</v>
      </c>
      <c r="B592" s="2" t="s">
        <v>43</v>
      </c>
      <c r="C592" s="2" t="str">
        <f>_xlfn.XLOOKUP(A592,'Customer Data'!B592,'Customer Data'!M592)</f>
        <v>Laptop Stand</v>
      </c>
      <c r="D592" s="2" t="s">
        <v>25</v>
      </c>
      <c r="E592" s="2" t="str">
        <f t="shared" si="9"/>
        <v>Notebook - Stationery</v>
      </c>
    </row>
    <row r="593" spans="1:5">
      <c r="A593" s="2">
        <v>100938</v>
      </c>
      <c r="B593" s="2" t="s">
        <v>45</v>
      </c>
      <c r="C593" s="2" t="str">
        <f>_xlfn.XLOOKUP(A593,'Customer Data'!B593,'Customer Data'!M593)</f>
        <v>USB-C Cable</v>
      </c>
      <c r="D593" s="2" t="s">
        <v>25</v>
      </c>
      <c r="E593" s="2" t="str">
        <f t="shared" si="9"/>
        <v>Laptop Stand - Accessories</v>
      </c>
    </row>
    <row r="594" spans="1:5">
      <c r="A594" s="2">
        <v>108181</v>
      </c>
      <c r="B594" s="2" t="s">
        <v>43</v>
      </c>
      <c r="C594" s="2" t="str">
        <f>_xlfn.XLOOKUP(A594,'Customer Data'!B594,'Customer Data'!M594)</f>
        <v>Headphones</v>
      </c>
      <c r="D594" s="2" t="s">
        <v>34</v>
      </c>
      <c r="E594" s="2" t="str">
        <f t="shared" si="9"/>
        <v>USB-C Cable - Accessories</v>
      </c>
    </row>
    <row r="595" spans="1:5">
      <c r="A595" s="2">
        <v>105508</v>
      </c>
      <c r="B595" s="2" t="s">
        <v>32</v>
      </c>
      <c r="C595" s="2" t="str">
        <f>_xlfn.XLOOKUP(A595,'Customer Data'!B595,'Customer Data'!M595)</f>
        <v>Gaming Controller</v>
      </c>
      <c r="D595" s="2" t="s">
        <v>63</v>
      </c>
      <c r="E595" s="2" t="str">
        <f t="shared" si="9"/>
        <v>Headphones - Electronics</v>
      </c>
    </row>
    <row r="596" spans="1:5">
      <c r="A596" s="2">
        <v>104162</v>
      </c>
      <c r="B596" s="2" t="s">
        <v>55</v>
      </c>
      <c r="C596" s="2" t="str">
        <f>_xlfn.XLOOKUP(A596,'Customer Data'!B596,'Customer Data'!M596)</f>
        <v>Mechanical Keyboard</v>
      </c>
      <c r="D596" s="2" t="s">
        <v>34</v>
      </c>
      <c r="E596" s="2" t="str">
        <f t="shared" si="9"/>
        <v>Gaming Controller - Gaming</v>
      </c>
    </row>
    <row r="597" spans="1:5">
      <c r="A597" s="2">
        <v>104468</v>
      </c>
      <c r="B597" s="2" t="s">
        <v>48</v>
      </c>
      <c r="C597" s="2" t="str">
        <f>_xlfn.XLOOKUP(A597,'Customer Data'!B597,'Customer Data'!M597)</f>
        <v>Laptop Stand</v>
      </c>
      <c r="D597" s="2" t="s">
        <v>25</v>
      </c>
      <c r="E597" s="2" t="str">
        <f t="shared" si="9"/>
        <v>Mechanical Keyboard - Electronics</v>
      </c>
    </row>
    <row r="598" spans="1:5">
      <c r="A598" s="2">
        <v>106815</v>
      </c>
      <c r="B598" s="2" t="s">
        <v>43</v>
      </c>
      <c r="C598" s="2" t="str">
        <f>_xlfn.XLOOKUP(A598,'Customer Data'!B598,'Customer Data'!M598)</f>
        <v>Wireless Mouse</v>
      </c>
      <c r="D598" s="2" t="s">
        <v>34</v>
      </c>
      <c r="E598" s="2" t="str">
        <f t="shared" si="9"/>
        <v>Laptop Stand - Accessories</v>
      </c>
    </row>
    <row r="599" spans="1:5">
      <c r="A599" s="2">
        <v>109956</v>
      </c>
      <c r="B599" s="2" t="s">
        <v>45</v>
      </c>
      <c r="C599" s="2" t="str">
        <f>_xlfn.XLOOKUP(A599,'Customer Data'!B599,'Customer Data'!M599)</f>
        <v>Phone Case</v>
      </c>
      <c r="D599" s="2" t="s">
        <v>25</v>
      </c>
      <c r="E599" s="2" t="str">
        <f t="shared" si="9"/>
        <v>Wireless Mouse - Electronics</v>
      </c>
    </row>
    <row r="600" spans="1:5">
      <c r="A600" s="2">
        <v>106768</v>
      </c>
      <c r="B600" s="2" t="s">
        <v>38</v>
      </c>
      <c r="C600" s="2" t="str">
        <f>_xlfn.XLOOKUP(A600,'Customer Data'!B600,'Customer Data'!M600)</f>
        <v>Tablet</v>
      </c>
      <c r="D600" s="2" t="s">
        <v>34</v>
      </c>
      <c r="E600" s="2" t="str">
        <f t="shared" si="9"/>
        <v>Phone Case - Accessories</v>
      </c>
    </row>
    <row r="601" spans="1:5">
      <c r="A601" s="2">
        <v>105698</v>
      </c>
      <c r="B601" s="2" t="s">
        <v>48</v>
      </c>
      <c r="C601" s="2" t="str">
        <f>_xlfn.XLOOKUP(A601,'Customer Data'!B601,'Customer Data'!M601)</f>
        <v>HDMI Cable</v>
      </c>
      <c r="D601" s="2" t="s">
        <v>25</v>
      </c>
      <c r="E601" s="2" t="str">
        <f t="shared" si="9"/>
        <v>Tablet - Electronics</v>
      </c>
    </row>
    <row r="602" spans="1:5">
      <c r="A602" s="2">
        <v>102132</v>
      </c>
      <c r="B602" s="2" t="s">
        <v>48</v>
      </c>
      <c r="C602" s="2" t="str">
        <f>_xlfn.XLOOKUP(A602,'Customer Data'!B602,'Customer Data'!M602)</f>
        <v>Notebook</v>
      </c>
      <c r="D602" s="2" t="s">
        <v>54</v>
      </c>
      <c r="E602" s="2" t="str">
        <f t="shared" si="9"/>
        <v>HDMI Cable - Accessories</v>
      </c>
    </row>
    <row r="603" spans="1:5">
      <c r="A603" s="2">
        <v>103395</v>
      </c>
      <c r="B603" s="2" t="s">
        <v>32</v>
      </c>
      <c r="C603" s="2" t="str">
        <f>_xlfn.XLOOKUP(A603,'Customer Data'!B603,'Customer Data'!M603)</f>
        <v>Wireless Mouse</v>
      </c>
      <c r="D603" s="2" t="s">
        <v>34</v>
      </c>
      <c r="E603" s="2" t="str">
        <f t="shared" si="9"/>
        <v>Notebook - Stationery</v>
      </c>
    </row>
    <row r="604" spans="1:5">
      <c r="A604" s="2">
        <v>102926</v>
      </c>
      <c r="B604" s="2" t="s">
        <v>32</v>
      </c>
      <c r="C604" s="2" t="str">
        <f>_xlfn.XLOOKUP(A604,'Customer Data'!B604,'Customer Data'!M604)</f>
        <v>Mechanical Keyboard</v>
      </c>
      <c r="D604" s="2" t="s">
        <v>34</v>
      </c>
      <c r="E604" s="2" t="str">
        <f t="shared" si="9"/>
        <v>Wireless Mouse - Electronics</v>
      </c>
    </row>
    <row r="605" spans="1:5">
      <c r="A605" s="2">
        <v>107321</v>
      </c>
      <c r="B605" s="2" t="s">
        <v>43</v>
      </c>
      <c r="C605" s="2" t="str">
        <f>_xlfn.XLOOKUP(A605,'Customer Data'!B605,'Customer Data'!M605)</f>
        <v>Laptop Stand</v>
      </c>
      <c r="D605" s="2" t="s">
        <v>25</v>
      </c>
      <c r="E605" s="2" t="str">
        <f t="shared" si="9"/>
        <v>Mechanical Keyboard - Electronics</v>
      </c>
    </row>
    <row r="606" spans="1:5">
      <c r="A606" s="2">
        <v>107197</v>
      </c>
      <c r="B606" s="2" t="s">
        <v>32</v>
      </c>
      <c r="C606" s="2" t="str">
        <f>_xlfn.XLOOKUP(A606,'Customer Data'!B606,'Customer Data'!M606)</f>
        <v>Bluetooth Speaker</v>
      </c>
      <c r="D606" s="2" t="s">
        <v>34</v>
      </c>
      <c r="E606" s="2" t="str">
        <f t="shared" si="9"/>
        <v>Laptop Stand - Accessories</v>
      </c>
    </row>
    <row r="607" spans="1:5">
      <c r="A607" s="2">
        <v>100379</v>
      </c>
      <c r="B607" s="2" t="s">
        <v>32</v>
      </c>
      <c r="C607" s="2" t="str">
        <f>_xlfn.XLOOKUP(A607,'Customer Data'!B607,'Customer Data'!M607)</f>
        <v>Phone Case</v>
      </c>
      <c r="D607" s="2" t="s">
        <v>25</v>
      </c>
      <c r="E607" s="2" t="str">
        <f t="shared" si="9"/>
        <v>Bluetooth Speaker - Electronics</v>
      </c>
    </row>
    <row r="608" spans="1:5">
      <c r="A608" s="2">
        <v>100119</v>
      </c>
      <c r="B608" s="2" t="s">
        <v>32</v>
      </c>
      <c r="C608" s="2" t="str">
        <f>_xlfn.XLOOKUP(A608,'Customer Data'!B608,'Customer Data'!M608)</f>
        <v>Notebook</v>
      </c>
      <c r="D608" s="2" t="s">
        <v>54</v>
      </c>
      <c r="E608" s="2" t="str">
        <f t="shared" si="9"/>
        <v>Phone Case - Accessories</v>
      </c>
    </row>
    <row r="609" spans="1:5">
      <c r="A609" s="2">
        <v>109492</v>
      </c>
      <c r="B609" s="2" t="s">
        <v>38</v>
      </c>
      <c r="C609" s="2" t="str">
        <f>_xlfn.XLOOKUP(A609,'Customer Data'!B609,'Customer Data'!M609)</f>
        <v>HDMI Cable</v>
      </c>
      <c r="D609" s="2" t="s">
        <v>25</v>
      </c>
      <c r="E609" s="2" t="str">
        <f t="shared" si="9"/>
        <v>Notebook - Stationery</v>
      </c>
    </row>
    <row r="610" spans="1:5">
      <c r="A610" s="2">
        <v>104897</v>
      </c>
      <c r="B610" s="2" t="s">
        <v>48</v>
      </c>
      <c r="C610" s="2" t="str">
        <f>_xlfn.XLOOKUP(A610,'Customer Data'!B610,'Customer Data'!M610)</f>
        <v>Wireless Mouse</v>
      </c>
      <c r="D610" s="2" t="s">
        <v>34</v>
      </c>
      <c r="E610" s="2" t="str">
        <f t="shared" si="9"/>
        <v>HDMI Cable - Accessories</v>
      </c>
    </row>
    <row r="611" spans="1:5">
      <c r="A611" s="2">
        <v>109238</v>
      </c>
      <c r="B611" s="2" t="s">
        <v>35</v>
      </c>
      <c r="C611" s="2" t="str">
        <f>_xlfn.XLOOKUP(A611,'Customer Data'!B611,'Customer Data'!M611)</f>
        <v>Headphones</v>
      </c>
      <c r="D611" s="2" t="s">
        <v>34</v>
      </c>
      <c r="E611" s="2" t="str">
        <f t="shared" si="9"/>
        <v>Wireless Mouse - Electronics</v>
      </c>
    </row>
    <row r="612" spans="1:5">
      <c r="A612" s="2">
        <v>101347</v>
      </c>
      <c r="B612" s="2" t="s">
        <v>45</v>
      </c>
      <c r="C612" s="2" t="str">
        <f>_xlfn.XLOOKUP(A612,'Customer Data'!B612,'Customer Data'!M612)</f>
        <v>Smart Watch</v>
      </c>
      <c r="D612" s="2" t="s">
        <v>59</v>
      </c>
      <c r="E612" s="2" t="str">
        <f t="shared" si="9"/>
        <v>Headphones - Electronics</v>
      </c>
    </row>
    <row r="613" spans="1:5">
      <c r="A613" s="2">
        <v>103709</v>
      </c>
      <c r="B613" s="2" t="s">
        <v>32</v>
      </c>
      <c r="C613" s="2" t="str">
        <f>_xlfn.XLOOKUP(A613,'Customer Data'!B613,'Customer Data'!M613)</f>
        <v>HDMI Cable</v>
      </c>
      <c r="D613" s="2" t="s">
        <v>25</v>
      </c>
      <c r="E613" s="2" t="str">
        <f t="shared" si="9"/>
        <v>Smart Watch - Wearables</v>
      </c>
    </row>
    <row r="614" spans="1:5">
      <c r="A614" s="2">
        <v>105113</v>
      </c>
      <c r="B614" s="2" t="s">
        <v>45</v>
      </c>
      <c r="C614" s="2" t="str">
        <f>_xlfn.XLOOKUP(A614,'Customer Data'!B614,'Customer Data'!M614)</f>
        <v>Notebook</v>
      </c>
      <c r="D614" s="2" t="s">
        <v>54</v>
      </c>
      <c r="E614" s="2" t="str">
        <f t="shared" si="9"/>
        <v>HDMI Cable - Accessories</v>
      </c>
    </row>
    <row r="615" spans="1:5">
      <c r="A615" s="2">
        <v>101954</v>
      </c>
      <c r="B615" s="2" t="s">
        <v>48</v>
      </c>
      <c r="C615" s="2" t="str">
        <f>_xlfn.XLOOKUP(A615,'Customer Data'!B615,'Customer Data'!M615)</f>
        <v>Gaming Controller</v>
      </c>
      <c r="D615" s="2" t="s">
        <v>63</v>
      </c>
      <c r="E615" s="2" t="str">
        <f t="shared" si="9"/>
        <v>Notebook - Stationery</v>
      </c>
    </row>
    <row r="616" spans="1:5">
      <c r="A616" s="2">
        <v>104882</v>
      </c>
      <c r="B616" s="2" t="s">
        <v>32</v>
      </c>
      <c r="C616" s="2" t="str">
        <f>_xlfn.XLOOKUP(A616,'Customer Data'!B616,'Customer Data'!M616)</f>
        <v>Headphones</v>
      </c>
      <c r="D616" s="2" t="s">
        <v>34</v>
      </c>
      <c r="E616" s="2" t="str">
        <f t="shared" si="9"/>
        <v>Gaming Controller - Gaming</v>
      </c>
    </row>
    <row r="617" spans="1:5">
      <c r="A617" s="2">
        <v>102572</v>
      </c>
      <c r="B617" s="2" t="s">
        <v>52</v>
      </c>
      <c r="C617" s="2" t="str">
        <f>_xlfn.XLOOKUP(A617,'Customer Data'!B617,'Customer Data'!M617)</f>
        <v>Webcam</v>
      </c>
      <c r="D617" s="2" t="s">
        <v>34</v>
      </c>
      <c r="E617" s="2" t="str">
        <f t="shared" si="9"/>
        <v>Headphones - Electronics</v>
      </c>
    </row>
    <row r="618" spans="1:5">
      <c r="A618" s="2">
        <v>105537</v>
      </c>
      <c r="B618" s="2" t="s">
        <v>38</v>
      </c>
      <c r="C618" s="2" t="str">
        <f>_xlfn.XLOOKUP(A618,'Customer Data'!B618,'Customer Data'!M618)</f>
        <v>USB-C Cable</v>
      </c>
      <c r="D618" s="2" t="s">
        <v>25</v>
      </c>
      <c r="E618" s="2" t="str">
        <f t="shared" si="9"/>
        <v>Webcam - Electronics</v>
      </c>
    </row>
    <row r="619" spans="1:5">
      <c r="A619" s="2">
        <v>104253</v>
      </c>
      <c r="B619" s="2" t="s">
        <v>38</v>
      </c>
      <c r="C619" s="2" t="str">
        <f>_xlfn.XLOOKUP(A619,'Customer Data'!B619,'Customer Data'!M619)</f>
        <v>Headphones</v>
      </c>
      <c r="D619" s="2" t="s">
        <v>34</v>
      </c>
      <c r="E619" s="2" t="str">
        <f t="shared" si="9"/>
        <v>USB-C Cable - Accessories</v>
      </c>
    </row>
    <row r="620" spans="1:5">
      <c r="A620" s="2">
        <v>103529</v>
      </c>
      <c r="B620" s="2" t="s">
        <v>38</v>
      </c>
      <c r="C620" s="2" t="str">
        <f>_xlfn.XLOOKUP(A620,'Customer Data'!B620,'Customer Data'!M620)</f>
        <v>Webcam</v>
      </c>
      <c r="D620" s="2" t="s">
        <v>34</v>
      </c>
      <c r="E620" s="2" t="str">
        <f t="shared" si="9"/>
        <v>Headphones - Electronics</v>
      </c>
    </row>
    <row r="621" spans="1:5">
      <c r="A621" s="2">
        <v>107456</v>
      </c>
      <c r="B621" s="2" t="s">
        <v>55</v>
      </c>
      <c r="C621" s="2" t="str">
        <f>_xlfn.XLOOKUP(A621,'Customer Data'!B621,'Customer Data'!M621)</f>
        <v>Phone Case</v>
      </c>
      <c r="D621" s="2" t="s">
        <v>25</v>
      </c>
      <c r="E621" s="2" t="str">
        <f t="shared" si="9"/>
        <v>Webcam - Electronics</v>
      </c>
    </row>
    <row r="622" spans="1:5">
      <c r="A622" s="2">
        <v>102293</v>
      </c>
      <c r="B622" s="2" t="s">
        <v>22</v>
      </c>
      <c r="C622" s="2" t="str">
        <f>_xlfn.XLOOKUP(A622,'Customer Data'!B622,'Customer Data'!M622)</f>
        <v>Notebook</v>
      </c>
      <c r="D622" s="2" t="s">
        <v>54</v>
      </c>
      <c r="E622" s="2" t="str">
        <f t="shared" si="9"/>
        <v>Phone Case - Accessories</v>
      </c>
    </row>
    <row r="623" spans="1:5">
      <c r="A623" s="2">
        <v>102856</v>
      </c>
      <c r="B623" s="2" t="s">
        <v>22</v>
      </c>
      <c r="C623" s="2" t="str">
        <f>_xlfn.XLOOKUP(A623,'Customer Data'!B623,'Customer Data'!M623)</f>
        <v>Wireless Mouse</v>
      </c>
      <c r="D623" s="2" t="s">
        <v>34</v>
      </c>
      <c r="E623" s="2" t="str">
        <f t="shared" si="9"/>
        <v>Notebook - Stationery</v>
      </c>
    </row>
    <row r="624" spans="1:5">
      <c r="A624" s="2">
        <v>104702</v>
      </c>
      <c r="B624" s="2" t="s">
        <v>32</v>
      </c>
      <c r="C624" s="2" t="str">
        <f>_xlfn.XLOOKUP(A624,'Customer Data'!B624,'Customer Data'!M624)</f>
        <v>Tablet</v>
      </c>
      <c r="D624" s="2" t="s">
        <v>34</v>
      </c>
      <c r="E624" s="2" t="str">
        <f t="shared" si="9"/>
        <v>Wireless Mouse - Electronics</v>
      </c>
    </row>
    <row r="625" spans="1:5">
      <c r="A625" s="2">
        <v>102817</v>
      </c>
      <c r="B625" s="2" t="s">
        <v>35</v>
      </c>
      <c r="C625" s="2" t="str">
        <f>_xlfn.XLOOKUP(A625,'Customer Data'!B625,'Customer Data'!M625)</f>
        <v>USB-C Cable</v>
      </c>
      <c r="D625" s="2" t="s">
        <v>25</v>
      </c>
      <c r="E625" s="2" t="str">
        <f t="shared" si="9"/>
        <v>Tablet - Electronics</v>
      </c>
    </row>
    <row r="626" spans="1:5">
      <c r="A626" s="2">
        <v>104661</v>
      </c>
      <c r="B626" s="2" t="s">
        <v>45</v>
      </c>
      <c r="C626" s="2" t="str">
        <f>_xlfn.XLOOKUP(A626,'Customer Data'!B626,'Customer Data'!M626)</f>
        <v>Gaming Controller</v>
      </c>
      <c r="D626" s="2" t="s">
        <v>63</v>
      </c>
      <c r="E626" s="2" t="str">
        <f t="shared" si="9"/>
        <v>USB-C Cable - Accessories</v>
      </c>
    </row>
    <row r="627" spans="1:5">
      <c r="A627" s="2">
        <v>101733</v>
      </c>
      <c r="B627" s="2" t="s">
        <v>55</v>
      </c>
      <c r="C627" s="2" t="str">
        <f>_xlfn.XLOOKUP(A627,'Customer Data'!B627,'Customer Data'!M627)</f>
        <v>Laptop Stand</v>
      </c>
      <c r="D627" s="2" t="s">
        <v>25</v>
      </c>
      <c r="E627" s="2" t="str">
        <f t="shared" si="9"/>
        <v>Gaming Controller - Gaming</v>
      </c>
    </row>
    <row r="628" spans="1:5">
      <c r="A628" s="2">
        <v>104669</v>
      </c>
      <c r="B628" s="2" t="s">
        <v>52</v>
      </c>
      <c r="C628" s="2" t="str">
        <f>_xlfn.XLOOKUP(A628,'Customer Data'!B628,'Customer Data'!M628)</f>
        <v>Power Bank</v>
      </c>
      <c r="D628" s="2" t="s">
        <v>34</v>
      </c>
      <c r="E628" s="2" t="str">
        <f t="shared" si="9"/>
        <v>Laptop Stand - Accessories</v>
      </c>
    </row>
    <row r="629" spans="1:5">
      <c r="A629" s="2">
        <v>104927</v>
      </c>
      <c r="B629" s="2" t="s">
        <v>48</v>
      </c>
      <c r="C629" s="2" t="str">
        <f>_xlfn.XLOOKUP(A629,'Customer Data'!B629,'Customer Data'!M629)</f>
        <v>Notebook</v>
      </c>
      <c r="D629" s="2" t="s">
        <v>54</v>
      </c>
      <c r="E629" s="2" t="str">
        <f t="shared" si="9"/>
        <v>Power Bank - Electronics</v>
      </c>
    </row>
    <row r="630" spans="1:5">
      <c r="A630" s="2">
        <v>105337</v>
      </c>
      <c r="B630" s="2" t="s">
        <v>48</v>
      </c>
      <c r="C630" s="2" t="str">
        <f>_xlfn.XLOOKUP(A630,'Customer Data'!B630,'Customer Data'!M630)</f>
        <v>Power Bank</v>
      </c>
      <c r="D630" s="2" t="s">
        <v>34</v>
      </c>
      <c r="E630" s="2" t="str">
        <f t="shared" si="9"/>
        <v>Notebook - Stationery</v>
      </c>
    </row>
    <row r="631" spans="1:5">
      <c r="A631" s="2">
        <v>105267</v>
      </c>
      <c r="B631" s="2" t="s">
        <v>45</v>
      </c>
      <c r="C631" s="2" t="str">
        <f>_xlfn.XLOOKUP(A631,'Customer Data'!B631,'Customer Data'!M631)</f>
        <v>Desk Lamp</v>
      </c>
      <c r="D631" s="2" t="s">
        <v>37</v>
      </c>
      <c r="E631" s="2" t="str">
        <f t="shared" si="9"/>
        <v>Power Bank - Electronics</v>
      </c>
    </row>
    <row r="632" spans="1:5">
      <c r="A632" s="2">
        <v>104835</v>
      </c>
      <c r="B632" s="2" t="s">
        <v>55</v>
      </c>
      <c r="C632" s="2" t="str">
        <f>_xlfn.XLOOKUP(A632,'Customer Data'!B632,'Customer Data'!M632)</f>
        <v>Bluetooth Speaker</v>
      </c>
      <c r="D632" s="2" t="s">
        <v>34</v>
      </c>
      <c r="E632" s="2" t="str">
        <f t="shared" si="9"/>
        <v>Desk Lamp - Home Office</v>
      </c>
    </row>
    <row r="633" spans="1:5">
      <c r="A633" s="2">
        <v>103752</v>
      </c>
      <c r="B633" s="2" t="s">
        <v>43</v>
      </c>
      <c r="C633" s="2" t="str">
        <f>_xlfn.XLOOKUP(A633,'Customer Data'!B633,'Customer Data'!M633)</f>
        <v>Notebook</v>
      </c>
      <c r="D633" s="2" t="s">
        <v>54</v>
      </c>
      <c r="E633" s="2" t="str">
        <f t="shared" si="9"/>
        <v>Bluetooth Speaker - Electronics</v>
      </c>
    </row>
    <row r="634" spans="1:5">
      <c r="A634" s="2">
        <v>103416</v>
      </c>
      <c r="B634" s="2" t="s">
        <v>22</v>
      </c>
      <c r="C634" s="2" t="str">
        <f>_xlfn.XLOOKUP(A634,'Customer Data'!B634,'Customer Data'!M634)</f>
        <v>HDMI Cable</v>
      </c>
      <c r="D634" s="2" t="s">
        <v>25</v>
      </c>
      <c r="E634" s="2" t="str">
        <f t="shared" si="9"/>
        <v>Notebook - Stationery</v>
      </c>
    </row>
    <row r="635" spans="1:5">
      <c r="A635" s="2">
        <v>105285</v>
      </c>
      <c r="B635" s="2" t="s">
        <v>32</v>
      </c>
      <c r="C635" s="2" t="str">
        <f>_xlfn.XLOOKUP(A635,'Customer Data'!B635,'Customer Data'!M635)</f>
        <v>Laptop Stand</v>
      </c>
      <c r="D635" s="2" t="s">
        <v>25</v>
      </c>
      <c r="E635" s="2" t="str">
        <f t="shared" si="9"/>
        <v>HDMI Cable - Accessories</v>
      </c>
    </row>
    <row r="636" spans="1:5">
      <c r="A636" s="2">
        <v>102863</v>
      </c>
      <c r="B636" s="2" t="s">
        <v>32</v>
      </c>
      <c r="C636" s="2" t="str">
        <f>_xlfn.XLOOKUP(A636,'Customer Data'!B636,'Customer Data'!M636)</f>
        <v>Office Chair</v>
      </c>
      <c r="D636" s="2" t="s">
        <v>37</v>
      </c>
      <c r="E636" s="2" t="str">
        <f t="shared" si="9"/>
        <v>Laptop Stand - Accessories</v>
      </c>
    </row>
    <row r="637" spans="1:5">
      <c r="A637" s="2">
        <v>103271</v>
      </c>
      <c r="B637" s="2" t="s">
        <v>43</v>
      </c>
      <c r="C637" s="2" t="str">
        <f>_xlfn.XLOOKUP(A637,'Customer Data'!B637,'Customer Data'!M637)</f>
        <v>Phone Case</v>
      </c>
      <c r="D637" s="2" t="s">
        <v>25</v>
      </c>
      <c r="E637" s="2" t="str">
        <f t="shared" si="9"/>
        <v>Office Chair - Home Office</v>
      </c>
    </row>
    <row r="638" spans="1:5">
      <c r="A638" s="2">
        <v>107341</v>
      </c>
      <c r="B638" s="2" t="s">
        <v>43</v>
      </c>
      <c r="C638" s="2" t="str">
        <f>_xlfn.XLOOKUP(A638,'Customer Data'!B638,'Customer Data'!M638)</f>
        <v>Headphones</v>
      </c>
      <c r="D638" s="2" t="s">
        <v>34</v>
      </c>
      <c r="E638" s="2" t="str">
        <f t="shared" si="9"/>
        <v>Phone Case - Accessories</v>
      </c>
    </row>
    <row r="639" spans="1:5">
      <c r="A639" s="2">
        <v>107731</v>
      </c>
      <c r="B639" s="2" t="s">
        <v>52</v>
      </c>
      <c r="C639" s="2" t="str">
        <f>_xlfn.XLOOKUP(A639,'Customer Data'!B639,'Customer Data'!M639)</f>
        <v>Monitor</v>
      </c>
      <c r="D639" s="2" t="s">
        <v>34</v>
      </c>
      <c r="E639" s="2" t="str">
        <f t="shared" si="9"/>
        <v>Headphones - Electronics</v>
      </c>
    </row>
    <row r="640" spans="1:5">
      <c r="A640" s="2">
        <v>105433</v>
      </c>
      <c r="B640" s="2" t="s">
        <v>45</v>
      </c>
      <c r="C640" s="2" t="str">
        <f>_xlfn.XLOOKUP(A640,'Customer Data'!B640,'Customer Data'!M640)</f>
        <v>Phone Case</v>
      </c>
      <c r="D640" s="2" t="s">
        <v>25</v>
      </c>
      <c r="E640" s="2" t="str">
        <f t="shared" si="9"/>
        <v>Monitor - Electronics</v>
      </c>
    </row>
    <row r="641" spans="1:5">
      <c r="A641" s="2">
        <v>107658</v>
      </c>
      <c r="B641" s="2" t="s">
        <v>38</v>
      </c>
      <c r="C641" s="2" t="str">
        <f>_xlfn.XLOOKUP(A641,'Customer Data'!B641,'Customer Data'!M641)</f>
        <v>USB-C Cable</v>
      </c>
      <c r="D641" s="2" t="s">
        <v>25</v>
      </c>
      <c r="E641" s="2" t="str">
        <f t="shared" si="9"/>
        <v>Phone Case - Accessories</v>
      </c>
    </row>
    <row r="642" spans="1:5">
      <c r="A642" s="2">
        <v>101098</v>
      </c>
      <c r="B642" s="2" t="s">
        <v>35</v>
      </c>
      <c r="C642" s="2" t="str">
        <f>_xlfn.XLOOKUP(A642,'Customer Data'!B642,'Customer Data'!M642)</f>
        <v>Tablet</v>
      </c>
      <c r="D642" s="2" t="s">
        <v>34</v>
      </c>
      <c r="E642" s="2" t="str">
        <f t="shared" si="9"/>
        <v>USB-C Cable - Accessories</v>
      </c>
    </row>
    <row r="643" spans="1:5">
      <c r="A643" s="2">
        <v>108662</v>
      </c>
      <c r="B643" s="2" t="s">
        <v>35</v>
      </c>
      <c r="C643" s="2" t="str">
        <f>_xlfn.XLOOKUP(A643,'Customer Data'!B643,'Customer Data'!M643)</f>
        <v>Headphones</v>
      </c>
      <c r="D643" s="2" t="s">
        <v>34</v>
      </c>
      <c r="E643" s="2" t="str">
        <f t="shared" ref="E643:E706" si="10">CONCATENATE(C642," - ",D642)</f>
        <v>Tablet - Electronics</v>
      </c>
    </row>
    <row r="644" spans="1:5">
      <c r="A644" s="2">
        <v>102068</v>
      </c>
      <c r="B644" s="2" t="s">
        <v>52</v>
      </c>
      <c r="C644" s="2" t="str">
        <f>_xlfn.XLOOKUP(A644,'Customer Data'!B644,'Customer Data'!M644)</f>
        <v>HDMI Cable</v>
      </c>
      <c r="D644" s="2" t="s">
        <v>25</v>
      </c>
      <c r="E644" s="2" t="str">
        <f t="shared" si="10"/>
        <v>Headphones - Electronics</v>
      </c>
    </row>
    <row r="645" spans="1:5">
      <c r="A645" s="2">
        <v>104214</v>
      </c>
      <c r="B645" s="2" t="s">
        <v>32</v>
      </c>
      <c r="C645" s="2" t="str">
        <f>_xlfn.XLOOKUP(A645,'Customer Data'!B645,'Customer Data'!M645)</f>
        <v>Phone Case</v>
      </c>
      <c r="D645" s="2" t="s">
        <v>25</v>
      </c>
      <c r="E645" s="2" t="str">
        <f t="shared" si="10"/>
        <v>HDMI Cable - Accessories</v>
      </c>
    </row>
    <row r="646" spans="1:5">
      <c r="A646" s="2">
        <v>104671</v>
      </c>
      <c r="B646" s="2" t="s">
        <v>32</v>
      </c>
      <c r="C646" s="2" t="str">
        <f>_xlfn.XLOOKUP(A646,'Customer Data'!B646,'Customer Data'!M646)</f>
        <v>Phone Case</v>
      </c>
      <c r="D646" s="2" t="s">
        <v>25</v>
      </c>
      <c r="E646" s="2" t="str">
        <f t="shared" si="10"/>
        <v>Phone Case - Accessories</v>
      </c>
    </row>
    <row r="647" spans="1:5">
      <c r="A647" s="2">
        <v>103904</v>
      </c>
      <c r="B647" s="2" t="s">
        <v>45</v>
      </c>
      <c r="C647" s="2" t="str">
        <f>_xlfn.XLOOKUP(A647,'Customer Data'!B647,'Customer Data'!M647)</f>
        <v>HDMI Cable</v>
      </c>
      <c r="D647" s="2" t="s">
        <v>25</v>
      </c>
      <c r="E647" s="2" t="str">
        <f t="shared" si="10"/>
        <v>Phone Case - Accessories</v>
      </c>
    </row>
    <row r="648" spans="1:5">
      <c r="A648" s="2">
        <v>100319</v>
      </c>
      <c r="B648" s="2" t="s">
        <v>45</v>
      </c>
      <c r="C648" s="2" t="str">
        <f>_xlfn.XLOOKUP(A648,'Customer Data'!B648,'Customer Data'!M648)</f>
        <v>Monitor</v>
      </c>
      <c r="D648" s="2" t="s">
        <v>34</v>
      </c>
      <c r="E648" s="2" t="str">
        <f t="shared" si="10"/>
        <v>HDMI Cable - Accessories</v>
      </c>
    </row>
    <row r="649" spans="1:5">
      <c r="A649" s="2">
        <v>107619</v>
      </c>
      <c r="B649" s="2" t="s">
        <v>32</v>
      </c>
      <c r="C649" s="2" t="str">
        <f>_xlfn.XLOOKUP(A649,'Customer Data'!B649,'Customer Data'!M649)</f>
        <v>USB-C Cable</v>
      </c>
      <c r="D649" s="2" t="s">
        <v>25</v>
      </c>
      <c r="E649" s="2" t="str">
        <f t="shared" si="10"/>
        <v>Monitor - Electronics</v>
      </c>
    </row>
    <row r="650" spans="1:5">
      <c r="A650" s="2">
        <v>101259</v>
      </c>
      <c r="B650" s="2" t="s">
        <v>43</v>
      </c>
      <c r="C650" s="2" t="str">
        <f>_xlfn.XLOOKUP(A650,'Customer Data'!B650,'Customer Data'!M650)</f>
        <v>Webcam</v>
      </c>
      <c r="D650" s="2" t="s">
        <v>34</v>
      </c>
      <c r="E650" s="2" t="str">
        <f t="shared" si="10"/>
        <v>USB-C Cable - Accessories</v>
      </c>
    </row>
    <row r="651" spans="1:5">
      <c r="A651" s="2">
        <v>108794</v>
      </c>
      <c r="B651" s="2" t="s">
        <v>48</v>
      </c>
      <c r="C651" s="2" t="str">
        <f>_xlfn.XLOOKUP(A651,'Customer Data'!B651,'Customer Data'!M651)</f>
        <v>Phone Case</v>
      </c>
      <c r="D651" s="2" t="s">
        <v>25</v>
      </c>
      <c r="E651" s="2" t="str">
        <f t="shared" si="10"/>
        <v>Webcam - Electronics</v>
      </c>
    </row>
    <row r="652" spans="1:5">
      <c r="A652" s="2">
        <v>101360</v>
      </c>
      <c r="B652" s="2" t="s">
        <v>43</v>
      </c>
      <c r="C652" s="2" t="str">
        <f>_xlfn.XLOOKUP(A652,'Customer Data'!B652,'Customer Data'!M652)</f>
        <v>Notebook</v>
      </c>
      <c r="D652" s="2" t="s">
        <v>54</v>
      </c>
      <c r="E652" s="2" t="str">
        <f t="shared" si="10"/>
        <v>Phone Case - Accessories</v>
      </c>
    </row>
    <row r="653" spans="1:5">
      <c r="A653" s="2">
        <v>106328</v>
      </c>
      <c r="B653" s="2" t="s">
        <v>32</v>
      </c>
      <c r="C653" s="2" t="str">
        <f>_xlfn.XLOOKUP(A653,'Customer Data'!B653,'Customer Data'!M653)</f>
        <v>Desk Lamp</v>
      </c>
      <c r="D653" s="2" t="s">
        <v>37</v>
      </c>
      <c r="E653" s="2" t="str">
        <f t="shared" si="10"/>
        <v>Notebook - Stationery</v>
      </c>
    </row>
    <row r="654" spans="1:5">
      <c r="A654" s="2">
        <v>108683</v>
      </c>
      <c r="B654" s="2" t="s">
        <v>32</v>
      </c>
      <c r="C654" s="2" t="str">
        <f>_xlfn.XLOOKUP(A654,'Customer Data'!B654,'Customer Data'!M654)</f>
        <v>Desk Lamp</v>
      </c>
      <c r="D654" s="2" t="s">
        <v>37</v>
      </c>
      <c r="E654" s="2" t="str">
        <f t="shared" si="10"/>
        <v>Desk Lamp - Home Office</v>
      </c>
    </row>
    <row r="655" spans="1:5">
      <c r="A655" s="2">
        <v>106655</v>
      </c>
      <c r="B655" s="2" t="s">
        <v>32</v>
      </c>
      <c r="C655" s="2" t="str">
        <f>_xlfn.XLOOKUP(A655,'Customer Data'!B655,'Customer Data'!M655)</f>
        <v>Notebook</v>
      </c>
      <c r="D655" s="2" t="s">
        <v>54</v>
      </c>
      <c r="E655" s="2" t="str">
        <f t="shared" si="10"/>
        <v>Desk Lamp - Home Office</v>
      </c>
    </row>
    <row r="656" spans="1:5">
      <c r="A656" s="2">
        <v>103815</v>
      </c>
      <c r="B656" s="2" t="s">
        <v>52</v>
      </c>
      <c r="C656" s="2" t="str">
        <f>_xlfn.XLOOKUP(A656,'Customer Data'!B656,'Customer Data'!M656)</f>
        <v>USB-C Cable</v>
      </c>
      <c r="D656" s="2" t="s">
        <v>25</v>
      </c>
      <c r="E656" s="2" t="str">
        <f t="shared" si="10"/>
        <v>Notebook - Stationery</v>
      </c>
    </row>
    <row r="657" spans="1:5">
      <c r="A657" s="2">
        <v>106302</v>
      </c>
      <c r="B657" s="2" t="s">
        <v>28</v>
      </c>
      <c r="C657" s="2" t="str">
        <f>_xlfn.XLOOKUP(A657,'Customer Data'!B657,'Customer Data'!M657)</f>
        <v>Office Chair</v>
      </c>
      <c r="D657" s="2" t="s">
        <v>37</v>
      </c>
      <c r="E657" s="2" t="str">
        <f t="shared" si="10"/>
        <v>USB-C Cable - Accessories</v>
      </c>
    </row>
    <row r="658" spans="1:5">
      <c r="A658" s="2">
        <v>108616</v>
      </c>
      <c r="B658" s="2" t="s">
        <v>32</v>
      </c>
      <c r="C658" s="2" t="str">
        <f>_xlfn.XLOOKUP(A658,'Customer Data'!B658,'Customer Data'!M658)</f>
        <v>Phone Case</v>
      </c>
      <c r="D658" s="2" t="s">
        <v>25</v>
      </c>
      <c r="E658" s="2" t="str">
        <f t="shared" si="10"/>
        <v>Office Chair - Home Office</v>
      </c>
    </row>
    <row r="659" spans="1:5">
      <c r="A659" s="2">
        <v>106204</v>
      </c>
      <c r="B659" s="2" t="s">
        <v>32</v>
      </c>
      <c r="C659" s="2" t="str">
        <f>_xlfn.XLOOKUP(A659,'Customer Data'!B659,'Customer Data'!M659)</f>
        <v>Gaming Controller</v>
      </c>
      <c r="D659" s="2" t="s">
        <v>63</v>
      </c>
      <c r="E659" s="2" t="str">
        <f t="shared" si="10"/>
        <v>Phone Case - Accessories</v>
      </c>
    </row>
    <row r="660" spans="1:5">
      <c r="A660" s="2">
        <v>103661</v>
      </c>
      <c r="B660" s="2" t="s">
        <v>32</v>
      </c>
      <c r="C660" s="2" t="str">
        <f>_xlfn.XLOOKUP(A660,'Customer Data'!B660,'Customer Data'!M660)</f>
        <v>Notebook</v>
      </c>
      <c r="D660" s="2" t="s">
        <v>54</v>
      </c>
      <c r="E660" s="2" t="str">
        <f t="shared" si="10"/>
        <v>Gaming Controller - Gaming</v>
      </c>
    </row>
    <row r="661" spans="1:5">
      <c r="A661" s="2">
        <v>102451</v>
      </c>
      <c r="B661" s="2" t="s">
        <v>32</v>
      </c>
      <c r="C661" s="2" t="str">
        <f>_xlfn.XLOOKUP(A661,'Customer Data'!B661,'Customer Data'!M661)</f>
        <v>Laptop Stand</v>
      </c>
      <c r="D661" s="2" t="s">
        <v>25</v>
      </c>
      <c r="E661" s="2" t="str">
        <f t="shared" si="10"/>
        <v>Notebook - Stationery</v>
      </c>
    </row>
    <row r="662" spans="1:5">
      <c r="A662" s="2">
        <v>107071</v>
      </c>
      <c r="B662" s="2" t="s">
        <v>38</v>
      </c>
      <c r="C662" s="2" t="str">
        <f>_xlfn.XLOOKUP(A662,'Customer Data'!B662,'Customer Data'!M662)</f>
        <v>Tablet</v>
      </c>
      <c r="D662" s="2" t="s">
        <v>34</v>
      </c>
      <c r="E662" s="2" t="str">
        <f t="shared" si="10"/>
        <v>Laptop Stand - Accessories</v>
      </c>
    </row>
    <row r="663" spans="1:5">
      <c r="A663" s="2">
        <v>101778</v>
      </c>
      <c r="B663" s="2" t="s">
        <v>35</v>
      </c>
      <c r="C663" s="2" t="str">
        <f>_xlfn.XLOOKUP(A663,'Customer Data'!B663,'Customer Data'!M663)</f>
        <v>Wireless Mouse</v>
      </c>
      <c r="D663" s="2" t="s">
        <v>34</v>
      </c>
      <c r="E663" s="2" t="str">
        <f t="shared" si="10"/>
        <v>Tablet - Electronics</v>
      </c>
    </row>
    <row r="664" spans="1:5">
      <c r="A664" s="2">
        <v>105221</v>
      </c>
      <c r="B664" s="2" t="s">
        <v>22</v>
      </c>
      <c r="C664" s="2" t="str">
        <f>_xlfn.XLOOKUP(A664,'Customer Data'!B664,'Customer Data'!M664)</f>
        <v>Desk Lamp</v>
      </c>
      <c r="D664" s="2" t="s">
        <v>37</v>
      </c>
      <c r="E664" s="2" t="str">
        <f t="shared" si="10"/>
        <v>Wireless Mouse - Electronics</v>
      </c>
    </row>
    <row r="665" spans="1:5">
      <c r="A665" s="2">
        <v>101491</v>
      </c>
      <c r="B665" s="2" t="s">
        <v>32</v>
      </c>
      <c r="C665" s="2" t="str">
        <f>_xlfn.XLOOKUP(A665,'Customer Data'!B665,'Customer Data'!M665)</f>
        <v>Backpack</v>
      </c>
      <c r="D665" s="2" t="s">
        <v>25</v>
      </c>
      <c r="E665" s="2" t="str">
        <f t="shared" si="10"/>
        <v>Desk Lamp - Home Office</v>
      </c>
    </row>
    <row r="666" spans="1:5">
      <c r="A666" s="2">
        <v>102290</v>
      </c>
      <c r="B666" s="2" t="s">
        <v>32</v>
      </c>
      <c r="C666" s="2" t="str">
        <f>_xlfn.XLOOKUP(A666,'Customer Data'!B666,'Customer Data'!M666)</f>
        <v>Office Chair</v>
      </c>
      <c r="D666" s="2" t="s">
        <v>37</v>
      </c>
      <c r="E666" s="2" t="str">
        <f t="shared" si="10"/>
        <v>Backpack - Accessories</v>
      </c>
    </row>
    <row r="667" spans="1:5">
      <c r="A667" s="2">
        <v>108842</v>
      </c>
      <c r="B667" s="2" t="s">
        <v>35</v>
      </c>
      <c r="C667" s="2" t="str">
        <f>_xlfn.XLOOKUP(A667,'Customer Data'!B667,'Customer Data'!M667)</f>
        <v>HDMI Cable</v>
      </c>
      <c r="D667" s="2" t="s">
        <v>25</v>
      </c>
      <c r="E667" s="2" t="str">
        <f t="shared" si="10"/>
        <v>Office Chair - Home Office</v>
      </c>
    </row>
    <row r="668" spans="1:5">
      <c r="A668" s="2">
        <v>109024</v>
      </c>
      <c r="B668" s="2" t="s">
        <v>45</v>
      </c>
      <c r="C668" s="2" t="str">
        <f>_xlfn.XLOOKUP(A668,'Customer Data'!B668,'Customer Data'!M668)</f>
        <v>Headphones</v>
      </c>
      <c r="D668" s="2" t="s">
        <v>34</v>
      </c>
      <c r="E668" s="2" t="str">
        <f t="shared" si="10"/>
        <v>HDMI Cable - Accessories</v>
      </c>
    </row>
    <row r="669" spans="1:5">
      <c r="A669" s="2">
        <v>108210</v>
      </c>
      <c r="B669" s="2" t="s">
        <v>52</v>
      </c>
      <c r="C669" s="2" t="str">
        <f>_xlfn.XLOOKUP(A669,'Customer Data'!B669,'Customer Data'!M669)</f>
        <v>Monitor</v>
      </c>
      <c r="D669" s="2" t="s">
        <v>34</v>
      </c>
      <c r="E669" s="2" t="str">
        <f t="shared" si="10"/>
        <v>Headphones - Electronics</v>
      </c>
    </row>
    <row r="670" spans="1:5">
      <c r="A670" s="2">
        <v>108759</v>
      </c>
      <c r="B670" s="2" t="s">
        <v>32</v>
      </c>
      <c r="C670" s="2" t="str">
        <f>_xlfn.XLOOKUP(A670,'Customer Data'!B670,'Customer Data'!M670)</f>
        <v>Headphones</v>
      </c>
      <c r="D670" s="2" t="s">
        <v>34</v>
      </c>
      <c r="E670" s="2" t="str">
        <f t="shared" si="10"/>
        <v>Monitor - Electronics</v>
      </c>
    </row>
    <row r="671" spans="1:5">
      <c r="A671" s="2">
        <v>107659</v>
      </c>
      <c r="B671" s="2" t="s">
        <v>52</v>
      </c>
      <c r="C671" s="2" t="str">
        <f>_xlfn.XLOOKUP(A671,'Customer Data'!B671,'Customer Data'!M671)</f>
        <v>Backpack</v>
      </c>
      <c r="D671" s="2" t="s">
        <v>25</v>
      </c>
      <c r="E671" s="2" t="str">
        <f t="shared" si="10"/>
        <v>Headphones - Electronics</v>
      </c>
    </row>
    <row r="672" spans="1:5">
      <c r="A672" s="2">
        <v>107484</v>
      </c>
      <c r="B672" s="2" t="s">
        <v>22</v>
      </c>
      <c r="C672" s="2" t="str">
        <f>_xlfn.XLOOKUP(A672,'Customer Data'!B672,'Customer Data'!M672)</f>
        <v>Fitness Band</v>
      </c>
      <c r="D672" s="2" t="s">
        <v>59</v>
      </c>
      <c r="E672" s="2" t="str">
        <f t="shared" si="10"/>
        <v>Backpack - Accessories</v>
      </c>
    </row>
    <row r="673" spans="1:5">
      <c r="A673" s="2">
        <v>107865</v>
      </c>
      <c r="B673" s="2" t="s">
        <v>48</v>
      </c>
      <c r="C673" s="2" t="str">
        <f>_xlfn.XLOOKUP(A673,'Customer Data'!B673,'Customer Data'!M673)</f>
        <v>Wireless Mouse</v>
      </c>
      <c r="D673" s="2" t="s">
        <v>34</v>
      </c>
      <c r="E673" s="2" t="str">
        <f t="shared" si="10"/>
        <v>Fitness Band - Wearables</v>
      </c>
    </row>
    <row r="674" spans="1:5">
      <c r="A674" s="2">
        <v>106640</v>
      </c>
      <c r="B674" s="2" t="s">
        <v>28</v>
      </c>
      <c r="C674" s="2" t="str">
        <f>_xlfn.XLOOKUP(A674,'Customer Data'!B674,'Customer Data'!M674)</f>
        <v>Notebook</v>
      </c>
      <c r="D674" s="2" t="s">
        <v>54</v>
      </c>
      <c r="E674" s="2" t="str">
        <f t="shared" si="10"/>
        <v>Wireless Mouse - Electronics</v>
      </c>
    </row>
    <row r="675" spans="1:5">
      <c r="A675" s="2">
        <v>107739</v>
      </c>
      <c r="B675" s="2" t="s">
        <v>45</v>
      </c>
      <c r="C675" s="2" t="str">
        <f>_xlfn.XLOOKUP(A675,'Customer Data'!B675,'Customer Data'!M675)</f>
        <v>Desk Lamp</v>
      </c>
      <c r="D675" s="2" t="s">
        <v>37</v>
      </c>
      <c r="E675" s="2" t="str">
        <f t="shared" si="10"/>
        <v>Notebook - Stationery</v>
      </c>
    </row>
    <row r="676" spans="1:5">
      <c r="A676" s="2">
        <v>104432</v>
      </c>
      <c r="B676" s="2" t="s">
        <v>32</v>
      </c>
      <c r="C676" s="2" t="str">
        <f>_xlfn.XLOOKUP(A676,'Customer Data'!B676,'Customer Data'!M676)</f>
        <v>Laptop Stand</v>
      </c>
      <c r="D676" s="2" t="s">
        <v>25</v>
      </c>
      <c r="E676" s="2" t="str">
        <f t="shared" si="10"/>
        <v>Desk Lamp - Home Office</v>
      </c>
    </row>
    <row r="677" spans="1:5">
      <c r="A677" s="2">
        <v>107186</v>
      </c>
      <c r="B677" s="2" t="s">
        <v>45</v>
      </c>
      <c r="C677" s="2" t="str">
        <f>_xlfn.XLOOKUP(A677,'Customer Data'!B677,'Customer Data'!M677)</f>
        <v>Notebook</v>
      </c>
      <c r="D677" s="2" t="s">
        <v>54</v>
      </c>
      <c r="E677" s="2" t="str">
        <f t="shared" si="10"/>
        <v>Laptop Stand - Accessories</v>
      </c>
    </row>
    <row r="678" spans="1:5">
      <c r="A678" s="2">
        <v>101332</v>
      </c>
      <c r="B678" s="2" t="s">
        <v>28</v>
      </c>
      <c r="C678" s="2" t="str">
        <f>_xlfn.XLOOKUP(A678,'Customer Data'!B678,'Customer Data'!M678)</f>
        <v>Backpack</v>
      </c>
      <c r="D678" s="2" t="s">
        <v>25</v>
      </c>
      <c r="E678" s="2" t="str">
        <f t="shared" si="10"/>
        <v>Notebook - Stationery</v>
      </c>
    </row>
    <row r="679" spans="1:5">
      <c r="A679" s="2">
        <v>103966</v>
      </c>
      <c r="B679" s="2" t="s">
        <v>32</v>
      </c>
      <c r="C679" s="2" t="str">
        <f>_xlfn.XLOOKUP(A679,'Customer Data'!B679,'Customer Data'!M679)</f>
        <v>USB-C Cable</v>
      </c>
      <c r="D679" s="2" t="s">
        <v>25</v>
      </c>
      <c r="E679" s="2" t="str">
        <f t="shared" si="10"/>
        <v>Backpack - Accessories</v>
      </c>
    </row>
    <row r="680" spans="1:5">
      <c r="A680" s="2">
        <v>104205</v>
      </c>
      <c r="B680" s="2" t="s">
        <v>32</v>
      </c>
      <c r="C680" s="2" t="str">
        <f>_xlfn.XLOOKUP(A680,'Customer Data'!B680,'Customer Data'!M680)</f>
        <v>Backpack</v>
      </c>
      <c r="D680" s="2" t="s">
        <v>25</v>
      </c>
      <c r="E680" s="2" t="str">
        <f t="shared" si="10"/>
        <v>USB-C Cable - Accessories</v>
      </c>
    </row>
    <row r="681" spans="1:5">
      <c r="A681" s="2">
        <v>105781</v>
      </c>
      <c r="B681" s="2" t="s">
        <v>43</v>
      </c>
      <c r="C681" s="2" t="str">
        <f>_xlfn.XLOOKUP(A681,'Customer Data'!B681,'Customer Data'!M681)</f>
        <v>HDMI Cable</v>
      </c>
      <c r="D681" s="2" t="s">
        <v>25</v>
      </c>
      <c r="E681" s="2" t="str">
        <f t="shared" si="10"/>
        <v>Backpack - Accessories</v>
      </c>
    </row>
    <row r="682" spans="1:5">
      <c r="A682" s="2">
        <v>107256</v>
      </c>
      <c r="B682" s="2" t="s">
        <v>52</v>
      </c>
      <c r="C682" s="2" t="str">
        <f>_xlfn.XLOOKUP(A682,'Customer Data'!B682,'Customer Data'!M682)</f>
        <v>HDMI Cable</v>
      </c>
      <c r="D682" s="2" t="s">
        <v>25</v>
      </c>
      <c r="E682" s="2" t="str">
        <f t="shared" si="10"/>
        <v>HDMI Cable - Accessories</v>
      </c>
    </row>
    <row r="683" spans="1:5">
      <c r="A683" s="2">
        <v>109885</v>
      </c>
      <c r="B683" s="2" t="s">
        <v>22</v>
      </c>
      <c r="C683" s="2" t="str">
        <f>_xlfn.XLOOKUP(A683,'Customer Data'!B683,'Customer Data'!M683)</f>
        <v>Mechanical Keyboard</v>
      </c>
      <c r="D683" s="2" t="s">
        <v>34</v>
      </c>
      <c r="E683" s="2" t="str">
        <f t="shared" si="10"/>
        <v>HDMI Cable - Accessories</v>
      </c>
    </row>
    <row r="684" spans="1:5">
      <c r="A684" s="2">
        <v>104797</v>
      </c>
      <c r="B684" s="2" t="s">
        <v>32</v>
      </c>
      <c r="C684" s="2" t="str">
        <f>_xlfn.XLOOKUP(A684,'Customer Data'!B684,'Customer Data'!M684)</f>
        <v>Tablet</v>
      </c>
      <c r="D684" s="2" t="s">
        <v>34</v>
      </c>
      <c r="E684" s="2" t="str">
        <f t="shared" si="10"/>
        <v>Mechanical Keyboard - Electronics</v>
      </c>
    </row>
    <row r="685" spans="1:5">
      <c r="A685" s="2">
        <v>108093</v>
      </c>
      <c r="B685" s="2" t="s">
        <v>43</v>
      </c>
      <c r="C685" s="2" t="str">
        <f>_xlfn.XLOOKUP(A685,'Customer Data'!B685,'Customer Data'!M685)</f>
        <v>Power Bank</v>
      </c>
      <c r="D685" s="2" t="s">
        <v>34</v>
      </c>
      <c r="E685" s="2" t="str">
        <f t="shared" si="10"/>
        <v>Tablet - Electronics</v>
      </c>
    </row>
    <row r="686" spans="1:5">
      <c r="A686" s="2">
        <v>109827</v>
      </c>
      <c r="B686" s="2" t="s">
        <v>55</v>
      </c>
      <c r="C686" s="2" t="str">
        <f>_xlfn.XLOOKUP(A686,'Customer Data'!B686,'Customer Data'!M686)</f>
        <v>Backpack</v>
      </c>
      <c r="D686" s="2" t="s">
        <v>25</v>
      </c>
      <c r="E686" s="2" t="str">
        <f t="shared" si="10"/>
        <v>Power Bank - Electronics</v>
      </c>
    </row>
    <row r="687" spans="1:5">
      <c r="A687" s="2">
        <v>102544</v>
      </c>
      <c r="B687" s="2" t="s">
        <v>28</v>
      </c>
      <c r="C687" s="2" t="str">
        <f>_xlfn.XLOOKUP(A687,'Customer Data'!B687,'Customer Data'!M687)</f>
        <v>Phone Case</v>
      </c>
      <c r="D687" s="2" t="s">
        <v>25</v>
      </c>
      <c r="E687" s="2" t="str">
        <f t="shared" si="10"/>
        <v>Backpack - Accessories</v>
      </c>
    </row>
    <row r="688" spans="1:5">
      <c r="A688" s="2">
        <v>106295</v>
      </c>
      <c r="B688" s="2" t="s">
        <v>43</v>
      </c>
      <c r="C688" s="2" t="str">
        <f>_xlfn.XLOOKUP(A688,'Customer Data'!B688,'Customer Data'!M688)</f>
        <v>HDMI Cable</v>
      </c>
      <c r="D688" s="2" t="s">
        <v>25</v>
      </c>
      <c r="E688" s="2" t="str">
        <f t="shared" si="10"/>
        <v>Phone Case - Accessories</v>
      </c>
    </row>
    <row r="689" spans="1:5">
      <c r="A689" s="2">
        <v>101241</v>
      </c>
      <c r="B689" s="2" t="s">
        <v>48</v>
      </c>
      <c r="C689" s="2" t="str">
        <f>_xlfn.XLOOKUP(A689,'Customer Data'!B689,'Customer Data'!M689)</f>
        <v>Webcam</v>
      </c>
      <c r="D689" s="2" t="s">
        <v>34</v>
      </c>
      <c r="E689" s="2" t="str">
        <f t="shared" si="10"/>
        <v>HDMI Cable - Accessories</v>
      </c>
    </row>
    <row r="690" spans="1:5">
      <c r="A690" s="2">
        <v>101614</v>
      </c>
      <c r="B690" s="2" t="s">
        <v>32</v>
      </c>
      <c r="C690" s="2" t="str">
        <f>_xlfn.XLOOKUP(A690,'Customer Data'!B690,'Customer Data'!M690)</f>
        <v>Microphone</v>
      </c>
      <c r="D690" s="2" t="s">
        <v>34</v>
      </c>
      <c r="E690" s="2" t="str">
        <f t="shared" si="10"/>
        <v>Webcam - Electronics</v>
      </c>
    </row>
    <row r="691" spans="1:5">
      <c r="A691" s="2">
        <v>105153</v>
      </c>
      <c r="B691" s="2" t="s">
        <v>32</v>
      </c>
      <c r="C691" s="2" t="str">
        <f>_xlfn.XLOOKUP(A691,'Customer Data'!B691,'Customer Data'!M691)</f>
        <v>Fitness Band</v>
      </c>
      <c r="D691" s="2" t="s">
        <v>59</v>
      </c>
      <c r="E691" s="2" t="str">
        <f t="shared" si="10"/>
        <v>Microphone - Electronics</v>
      </c>
    </row>
    <row r="692" spans="1:5">
      <c r="A692" s="2">
        <v>100783</v>
      </c>
      <c r="B692" s="2" t="s">
        <v>43</v>
      </c>
      <c r="C692" s="2" t="str">
        <f>_xlfn.XLOOKUP(A692,'Customer Data'!B692,'Customer Data'!M692)</f>
        <v>Fitness Band</v>
      </c>
      <c r="D692" s="2" t="s">
        <v>59</v>
      </c>
      <c r="E692" s="2" t="str">
        <f t="shared" si="10"/>
        <v>Fitness Band - Wearables</v>
      </c>
    </row>
    <row r="693" spans="1:5">
      <c r="A693" s="2">
        <v>105384</v>
      </c>
      <c r="B693" s="2" t="s">
        <v>22</v>
      </c>
      <c r="C693" s="2" t="str">
        <f>_xlfn.XLOOKUP(A693,'Customer Data'!B693,'Customer Data'!M693)</f>
        <v>Desk Lamp</v>
      </c>
      <c r="D693" s="2" t="s">
        <v>37</v>
      </c>
      <c r="E693" s="2" t="str">
        <f t="shared" si="10"/>
        <v>Fitness Band - Wearables</v>
      </c>
    </row>
    <row r="694" spans="1:5">
      <c r="A694" s="2">
        <v>102149</v>
      </c>
      <c r="B694" s="2" t="s">
        <v>38</v>
      </c>
      <c r="C694" s="2" t="str">
        <f>_xlfn.XLOOKUP(A694,'Customer Data'!B694,'Customer Data'!M694)</f>
        <v>Webcam</v>
      </c>
      <c r="D694" s="2" t="s">
        <v>34</v>
      </c>
      <c r="E694" s="2" t="str">
        <f t="shared" si="10"/>
        <v>Desk Lamp - Home Office</v>
      </c>
    </row>
    <row r="695" spans="1:5">
      <c r="A695" s="2">
        <v>106862</v>
      </c>
      <c r="B695" s="2" t="s">
        <v>28</v>
      </c>
      <c r="C695" s="2" t="str">
        <f>_xlfn.XLOOKUP(A695,'Customer Data'!B695,'Customer Data'!M695)</f>
        <v>HDMI Cable</v>
      </c>
      <c r="D695" s="2" t="s">
        <v>25</v>
      </c>
      <c r="E695" s="2" t="str">
        <f t="shared" si="10"/>
        <v>Webcam - Electronics</v>
      </c>
    </row>
    <row r="696" spans="1:5">
      <c r="A696" s="2">
        <v>105408</v>
      </c>
      <c r="B696" s="2" t="s">
        <v>48</v>
      </c>
      <c r="C696" s="2" t="str">
        <f>_xlfn.XLOOKUP(A696,'Customer Data'!B696,'Customer Data'!M696)</f>
        <v>USB-C Cable</v>
      </c>
      <c r="D696" s="2" t="s">
        <v>25</v>
      </c>
      <c r="E696" s="2" t="str">
        <f t="shared" si="10"/>
        <v>HDMI Cable - Accessories</v>
      </c>
    </row>
    <row r="697" spans="1:5">
      <c r="A697" s="2">
        <v>107987</v>
      </c>
      <c r="B697" s="2" t="s">
        <v>52</v>
      </c>
      <c r="C697" s="2" t="str">
        <f>_xlfn.XLOOKUP(A697,'Customer Data'!B697,'Customer Data'!M697)</f>
        <v>Desk Lamp</v>
      </c>
      <c r="D697" s="2" t="s">
        <v>37</v>
      </c>
      <c r="E697" s="2" t="str">
        <f t="shared" si="10"/>
        <v>USB-C Cable - Accessories</v>
      </c>
    </row>
    <row r="698" spans="1:5">
      <c r="A698" s="2">
        <v>109669</v>
      </c>
      <c r="B698" s="2" t="s">
        <v>32</v>
      </c>
      <c r="C698" s="2" t="str">
        <f>_xlfn.XLOOKUP(A698,'Customer Data'!B698,'Customer Data'!M698)</f>
        <v>Fitness Band</v>
      </c>
      <c r="D698" s="2" t="s">
        <v>59</v>
      </c>
      <c r="E698" s="2" t="str">
        <f t="shared" si="10"/>
        <v>Desk Lamp - Home Office</v>
      </c>
    </row>
    <row r="699" spans="1:5">
      <c r="A699" s="2">
        <v>108349</v>
      </c>
      <c r="B699" s="2" t="s">
        <v>48</v>
      </c>
      <c r="C699" s="2" t="str">
        <f>_xlfn.XLOOKUP(A699,'Customer Data'!B699,'Customer Data'!M699)</f>
        <v>Phone Case</v>
      </c>
      <c r="D699" s="2" t="s">
        <v>25</v>
      </c>
      <c r="E699" s="2" t="str">
        <f t="shared" si="10"/>
        <v>Fitness Band - Wearables</v>
      </c>
    </row>
    <row r="700" spans="1:5">
      <c r="A700" s="2">
        <v>109882</v>
      </c>
      <c r="B700" s="2" t="s">
        <v>38</v>
      </c>
      <c r="C700" s="2" t="str">
        <f>_xlfn.XLOOKUP(A700,'Customer Data'!B700,'Customer Data'!M700)</f>
        <v>Desk Lamp</v>
      </c>
      <c r="D700" s="2" t="s">
        <v>37</v>
      </c>
      <c r="E700" s="2" t="str">
        <f t="shared" si="10"/>
        <v>Phone Case - Accessories</v>
      </c>
    </row>
    <row r="701" spans="1:5">
      <c r="A701" s="2">
        <v>105206</v>
      </c>
      <c r="B701" s="2" t="s">
        <v>35</v>
      </c>
      <c r="C701" s="2" t="str">
        <f>_xlfn.XLOOKUP(A701,'Customer Data'!B701,'Customer Data'!M701)</f>
        <v>Headphones</v>
      </c>
      <c r="D701" s="2" t="s">
        <v>34</v>
      </c>
      <c r="E701" s="2" t="str">
        <f t="shared" si="10"/>
        <v>Desk Lamp - Home Office</v>
      </c>
    </row>
    <row r="702" spans="1:5">
      <c r="A702" s="2">
        <v>107636</v>
      </c>
      <c r="B702" s="2" t="s">
        <v>48</v>
      </c>
      <c r="C702" s="2" t="str">
        <f>_xlfn.XLOOKUP(A702,'Customer Data'!B702,'Customer Data'!M702)</f>
        <v>Phone Case</v>
      </c>
      <c r="D702" s="2" t="s">
        <v>25</v>
      </c>
      <c r="E702" s="2" t="str">
        <f t="shared" si="10"/>
        <v>Headphones - Electronics</v>
      </c>
    </row>
    <row r="703" spans="1:5">
      <c r="A703" s="2">
        <v>109403</v>
      </c>
      <c r="B703" s="2" t="s">
        <v>52</v>
      </c>
      <c r="C703" s="2" t="str">
        <f>_xlfn.XLOOKUP(A703,'Customer Data'!B703,'Customer Data'!M703)</f>
        <v>HDMI Cable</v>
      </c>
      <c r="D703" s="2" t="s">
        <v>25</v>
      </c>
      <c r="E703" s="2" t="str">
        <f t="shared" si="10"/>
        <v>Phone Case - Accessories</v>
      </c>
    </row>
    <row r="704" spans="1:5">
      <c r="A704" s="2">
        <v>102423</v>
      </c>
      <c r="B704" s="2" t="s">
        <v>45</v>
      </c>
      <c r="C704" s="2" t="str">
        <f>_xlfn.XLOOKUP(A704,'Customer Data'!B704,'Customer Data'!M704)</f>
        <v>Office Chair</v>
      </c>
      <c r="D704" s="2" t="s">
        <v>37</v>
      </c>
      <c r="E704" s="2" t="str">
        <f t="shared" si="10"/>
        <v>HDMI Cable - Accessories</v>
      </c>
    </row>
    <row r="705" spans="1:5">
      <c r="A705" s="2">
        <v>108412</v>
      </c>
      <c r="B705" s="2" t="s">
        <v>32</v>
      </c>
      <c r="C705" s="2" t="str">
        <f>_xlfn.XLOOKUP(A705,'Customer Data'!B705,'Customer Data'!M705)</f>
        <v>Notebook</v>
      </c>
      <c r="D705" s="2" t="s">
        <v>54</v>
      </c>
      <c r="E705" s="2" t="str">
        <f t="shared" si="10"/>
        <v>Office Chair - Home Office</v>
      </c>
    </row>
    <row r="706" spans="1:5">
      <c r="A706" s="2">
        <v>109928</v>
      </c>
      <c r="B706" s="2" t="s">
        <v>22</v>
      </c>
      <c r="C706" s="2" t="str">
        <f>_xlfn.XLOOKUP(A706,'Customer Data'!B706,'Customer Data'!M706)</f>
        <v>Laptop Stand</v>
      </c>
      <c r="D706" s="2" t="s">
        <v>25</v>
      </c>
      <c r="E706" s="2" t="str">
        <f t="shared" si="10"/>
        <v>Notebook - Stationery</v>
      </c>
    </row>
    <row r="707" spans="1:5">
      <c r="A707" s="2">
        <v>103359</v>
      </c>
      <c r="B707" s="2" t="s">
        <v>52</v>
      </c>
      <c r="C707" s="2" t="str">
        <f>_xlfn.XLOOKUP(A707,'Customer Data'!B707,'Customer Data'!M707)</f>
        <v>Bluetooth Speaker</v>
      </c>
      <c r="D707" s="2" t="s">
        <v>34</v>
      </c>
      <c r="E707" s="2" t="str">
        <f t="shared" ref="E707:E770" si="11">CONCATENATE(C706," - ",D706)</f>
        <v>Laptop Stand - Accessories</v>
      </c>
    </row>
    <row r="708" spans="1:5">
      <c r="A708" s="2">
        <v>109387</v>
      </c>
      <c r="B708" s="2" t="s">
        <v>35</v>
      </c>
      <c r="C708" s="2" t="str">
        <f>_xlfn.XLOOKUP(A708,'Customer Data'!B708,'Customer Data'!M708)</f>
        <v>Microphone</v>
      </c>
      <c r="D708" s="2" t="s">
        <v>34</v>
      </c>
      <c r="E708" s="2" t="str">
        <f t="shared" si="11"/>
        <v>Bluetooth Speaker - Electronics</v>
      </c>
    </row>
    <row r="709" spans="1:5">
      <c r="A709" s="2">
        <v>104057</v>
      </c>
      <c r="B709" s="2" t="s">
        <v>48</v>
      </c>
      <c r="C709" s="2" t="str">
        <f>_xlfn.XLOOKUP(A709,'Customer Data'!B709,'Customer Data'!M709)</f>
        <v>Power Bank</v>
      </c>
      <c r="D709" s="2" t="s">
        <v>34</v>
      </c>
      <c r="E709" s="2" t="str">
        <f t="shared" si="11"/>
        <v>Microphone - Electronics</v>
      </c>
    </row>
    <row r="710" spans="1:5">
      <c r="A710" s="2">
        <v>106518</v>
      </c>
      <c r="B710" s="2" t="s">
        <v>43</v>
      </c>
      <c r="C710" s="2" t="str">
        <f>_xlfn.XLOOKUP(A710,'Customer Data'!B710,'Customer Data'!M710)</f>
        <v>USB-C Cable</v>
      </c>
      <c r="D710" s="2" t="s">
        <v>25</v>
      </c>
      <c r="E710" s="2" t="str">
        <f t="shared" si="11"/>
        <v>Power Bank - Electronics</v>
      </c>
    </row>
    <row r="711" spans="1:5">
      <c r="A711" s="2">
        <v>100596</v>
      </c>
      <c r="B711" s="2" t="s">
        <v>48</v>
      </c>
      <c r="C711" s="2" t="str">
        <f>_xlfn.XLOOKUP(A711,'Customer Data'!B711,'Customer Data'!M711)</f>
        <v>USB-C Cable</v>
      </c>
      <c r="D711" s="2" t="s">
        <v>25</v>
      </c>
      <c r="E711" s="2" t="str">
        <f t="shared" si="11"/>
        <v>USB-C Cable - Accessories</v>
      </c>
    </row>
    <row r="712" spans="1:5">
      <c r="A712" s="2">
        <v>100158</v>
      </c>
      <c r="B712" s="2" t="s">
        <v>35</v>
      </c>
      <c r="C712" s="2" t="str">
        <f>_xlfn.XLOOKUP(A712,'Customer Data'!B712,'Customer Data'!M712)</f>
        <v>Desk Lamp</v>
      </c>
      <c r="D712" s="2" t="s">
        <v>37</v>
      </c>
      <c r="E712" s="2" t="str">
        <f t="shared" si="11"/>
        <v>USB-C Cable - Accessories</v>
      </c>
    </row>
    <row r="713" spans="1:5">
      <c r="A713" s="2">
        <v>107879</v>
      </c>
      <c r="B713" s="2" t="s">
        <v>48</v>
      </c>
      <c r="C713" s="2" t="str">
        <f>_xlfn.XLOOKUP(A713,'Customer Data'!B713,'Customer Data'!M713)</f>
        <v>Power Bank</v>
      </c>
      <c r="D713" s="2" t="s">
        <v>34</v>
      </c>
      <c r="E713" s="2" t="str">
        <f t="shared" si="11"/>
        <v>Desk Lamp - Home Office</v>
      </c>
    </row>
    <row r="714" spans="1:5">
      <c r="A714" s="2">
        <v>102501</v>
      </c>
      <c r="B714" s="2" t="s">
        <v>43</v>
      </c>
      <c r="C714" s="2" t="str">
        <f>_xlfn.XLOOKUP(A714,'Customer Data'!B714,'Customer Data'!M714)</f>
        <v>Headphones</v>
      </c>
      <c r="D714" s="2" t="s">
        <v>34</v>
      </c>
      <c r="E714" s="2" t="str">
        <f t="shared" si="11"/>
        <v>Power Bank - Electronics</v>
      </c>
    </row>
    <row r="715" spans="1:5">
      <c r="A715" s="2">
        <v>107893</v>
      </c>
      <c r="B715" s="2" t="s">
        <v>32</v>
      </c>
      <c r="C715" s="2" t="str">
        <f>_xlfn.XLOOKUP(A715,'Customer Data'!B715,'Customer Data'!M715)</f>
        <v>HDMI Cable</v>
      </c>
      <c r="D715" s="2" t="s">
        <v>25</v>
      </c>
      <c r="E715" s="2" t="str">
        <f t="shared" si="11"/>
        <v>Headphones - Electronics</v>
      </c>
    </row>
    <row r="716" spans="1:5">
      <c r="A716" s="2">
        <v>104857</v>
      </c>
      <c r="B716" s="2" t="s">
        <v>48</v>
      </c>
      <c r="C716" s="2" t="str">
        <f>_xlfn.XLOOKUP(A716,'Customer Data'!B716,'Customer Data'!M716)</f>
        <v>Mechanical Keyboard</v>
      </c>
      <c r="D716" s="2" t="s">
        <v>34</v>
      </c>
      <c r="E716" s="2" t="str">
        <f t="shared" si="11"/>
        <v>HDMI Cable - Accessories</v>
      </c>
    </row>
    <row r="717" spans="1:5">
      <c r="A717" s="2">
        <v>100984</v>
      </c>
      <c r="B717" s="2" t="s">
        <v>45</v>
      </c>
      <c r="C717" s="2" t="str">
        <f>_xlfn.XLOOKUP(A717,'Customer Data'!B717,'Customer Data'!M717)</f>
        <v>Webcam</v>
      </c>
      <c r="D717" s="2" t="s">
        <v>34</v>
      </c>
      <c r="E717" s="2" t="str">
        <f t="shared" si="11"/>
        <v>Mechanical Keyboard - Electronics</v>
      </c>
    </row>
    <row r="718" spans="1:5">
      <c r="A718" s="2">
        <v>102977</v>
      </c>
      <c r="B718" s="2" t="s">
        <v>55</v>
      </c>
      <c r="C718" s="2" t="str">
        <f>_xlfn.XLOOKUP(A718,'Customer Data'!B718,'Customer Data'!M718)</f>
        <v>Notebook</v>
      </c>
      <c r="D718" s="2" t="s">
        <v>54</v>
      </c>
      <c r="E718" s="2" t="str">
        <f t="shared" si="11"/>
        <v>Webcam - Electronics</v>
      </c>
    </row>
    <row r="719" spans="1:5">
      <c r="A719" s="2">
        <v>101924</v>
      </c>
      <c r="B719" s="2" t="s">
        <v>43</v>
      </c>
      <c r="C719" s="2" t="str">
        <f>_xlfn.XLOOKUP(A719,'Customer Data'!B719,'Customer Data'!M719)</f>
        <v>USB-C Cable</v>
      </c>
      <c r="D719" s="2" t="s">
        <v>25</v>
      </c>
      <c r="E719" s="2" t="str">
        <f t="shared" si="11"/>
        <v>Notebook - Stationery</v>
      </c>
    </row>
    <row r="720" spans="1:5">
      <c r="A720" s="2">
        <v>106128</v>
      </c>
      <c r="B720" s="2" t="s">
        <v>32</v>
      </c>
      <c r="C720" s="2" t="str">
        <f>_xlfn.XLOOKUP(A720,'Customer Data'!B720,'Customer Data'!M720)</f>
        <v>Wireless Mouse</v>
      </c>
      <c r="D720" s="2" t="s">
        <v>34</v>
      </c>
      <c r="E720" s="2" t="str">
        <f t="shared" si="11"/>
        <v>USB-C Cable - Accessories</v>
      </c>
    </row>
    <row r="721" spans="1:5">
      <c r="A721" s="2">
        <v>101042</v>
      </c>
      <c r="B721" s="2" t="s">
        <v>32</v>
      </c>
      <c r="C721" s="2" t="str">
        <f>_xlfn.XLOOKUP(A721,'Customer Data'!B721,'Customer Data'!M721)</f>
        <v>Desk Lamp</v>
      </c>
      <c r="D721" s="2" t="s">
        <v>37</v>
      </c>
      <c r="E721" s="2" t="str">
        <f t="shared" si="11"/>
        <v>Wireless Mouse - Electronics</v>
      </c>
    </row>
    <row r="722" spans="1:5">
      <c r="A722" s="2">
        <v>105706</v>
      </c>
      <c r="B722" s="2" t="s">
        <v>35</v>
      </c>
      <c r="C722" s="2" t="str">
        <f>_xlfn.XLOOKUP(A722,'Customer Data'!B722,'Customer Data'!M722)</f>
        <v>Laptop Stand</v>
      </c>
      <c r="D722" s="2" t="s">
        <v>25</v>
      </c>
      <c r="E722" s="2" t="str">
        <f t="shared" si="11"/>
        <v>Desk Lamp - Home Office</v>
      </c>
    </row>
    <row r="723" spans="1:5">
      <c r="A723" s="2">
        <v>108190</v>
      </c>
      <c r="B723" s="2" t="s">
        <v>38</v>
      </c>
      <c r="C723" s="2" t="str">
        <f>_xlfn.XLOOKUP(A723,'Customer Data'!B723,'Customer Data'!M723)</f>
        <v>Laptop Stand</v>
      </c>
      <c r="D723" s="2" t="s">
        <v>25</v>
      </c>
      <c r="E723" s="2" t="str">
        <f t="shared" si="11"/>
        <v>Laptop Stand - Accessories</v>
      </c>
    </row>
    <row r="724" spans="1:5">
      <c r="A724" s="2">
        <v>109828</v>
      </c>
      <c r="B724" s="2" t="s">
        <v>32</v>
      </c>
      <c r="C724" s="2" t="str">
        <f>_xlfn.XLOOKUP(A724,'Customer Data'!B724,'Customer Data'!M724)</f>
        <v>Notebook</v>
      </c>
      <c r="D724" s="2" t="s">
        <v>54</v>
      </c>
      <c r="E724" s="2" t="str">
        <f t="shared" si="11"/>
        <v>Laptop Stand - Accessories</v>
      </c>
    </row>
    <row r="725" spans="1:5">
      <c r="A725" s="2">
        <v>106846</v>
      </c>
      <c r="B725" s="2" t="s">
        <v>43</v>
      </c>
      <c r="C725" s="2" t="str">
        <f>_xlfn.XLOOKUP(A725,'Customer Data'!B725,'Customer Data'!M725)</f>
        <v>Bluetooth Speaker</v>
      </c>
      <c r="D725" s="2" t="s">
        <v>34</v>
      </c>
      <c r="E725" s="2" t="str">
        <f t="shared" si="11"/>
        <v>Notebook - Stationery</v>
      </c>
    </row>
    <row r="726" spans="1:5">
      <c r="A726" s="2">
        <v>104373</v>
      </c>
      <c r="B726" s="2" t="s">
        <v>38</v>
      </c>
      <c r="C726" s="2" t="str">
        <f>_xlfn.XLOOKUP(A726,'Customer Data'!B726,'Customer Data'!M726)</f>
        <v>Microphone</v>
      </c>
      <c r="D726" s="2" t="s">
        <v>34</v>
      </c>
      <c r="E726" s="2" t="str">
        <f t="shared" si="11"/>
        <v>Bluetooth Speaker - Electronics</v>
      </c>
    </row>
    <row r="727" spans="1:5">
      <c r="A727" s="2">
        <v>105160</v>
      </c>
      <c r="B727" s="2" t="s">
        <v>38</v>
      </c>
      <c r="C727" s="2" t="str">
        <f>_xlfn.XLOOKUP(A727,'Customer Data'!B727,'Customer Data'!M727)</f>
        <v>Webcam</v>
      </c>
      <c r="D727" s="2" t="s">
        <v>34</v>
      </c>
      <c r="E727" s="2" t="str">
        <f t="shared" si="11"/>
        <v>Microphone - Electronics</v>
      </c>
    </row>
    <row r="728" spans="1:5">
      <c r="A728" s="2">
        <v>100295</v>
      </c>
      <c r="B728" s="2" t="s">
        <v>38</v>
      </c>
      <c r="C728" s="2" t="str">
        <f>_xlfn.XLOOKUP(A728,'Customer Data'!B728,'Customer Data'!M728)</f>
        <v>Wireless Mouse</v>
      </c>
      <c r="D728" s="2" t="s">
        <v>34</v>
      </c>
      <c r="E728" s="2" t="str">
        <f t="shared" si="11"/>
        <v>Webcam - Electronics</v>
      </c>
    </row>
    <row r="729" spans="1:5">
      <c r="A729" s="2">
        <v>108974</v>
      </c>
      <c r="B729" s="2" t="s">
        <v>43</v>
      </c>
      <c r="C729" s="2" t="str">
        <f>_xlfn.XLOOKUP(A729,'Customer Data'!B729,'Customer Data'!M729)</f>
        <v>USB-C Cable</v>
      </c>
      <c r="D729" s="2" t="s">
        <v>25</v>
      </c>
      <c r="E729" s="2" t="str">
        <f t="shared" si="11"/>
        <v>Wireless Mouse - Electronics</v>
      </c>
    </row>
    <row r="730" spans="1:5">
      <c r="A730" s="2">
        <v>100502</v>
      </c>
      <c r="B730" s="2" t="s">
        <v>43</v>
      </c>
      <c r="C730" s="2" t="str">
        <f>_xlfn.XLOOKUP(A730,'Customer Data'!B730,'Customer Data'!M730)</f>
        <v>Phone Case</v>
      </c>
      <c r="D730" s="2" t="s">
        <v>25</v>
      </c>
      <c r="E730" s="2" t="str">
        <f t="shared" si="11"/>
        <v>USB-C Cable - Accessories</v>
      </c>
    </row>
    <row r="731" spans="1:5">
      <c r="A731" s="2">
        <v>109763</v>
      </c>
      <c r="B731" s="2" t="s">
        <v>35</v>
      </c>
      <c r="C731" s="2" t="str">
        <f>_xlfn.XLOOKUP(A731,'Customer Data'!B731,'Customer Data'!M731)</f>
        <v>Power Bank</v>
      </c>
      <c r="D731" s="2" t="s">
        <v>34</v>
      </c>
      <c r="E731" s="2" t="str">
        <f t="shared" si="11"/>
        <v>Phone Case - Accessories</v>
      </c>
    </row>
    <row r="732" spans="1:5">
      <c r="A732" s="2">
        <v>101582</v>
      </c>
      <c r="B732" s="2" t="s">
        <v>48</v>
      </c>
      <c r="C732" s="2" t="str">
        <f>_xlfn.XLOOKUP(A732,'Customer Data'!B732,'Customer Data'!M732)</f>
        <v>Desk Lamp</v>
      </c>
      <c r="D732" s="2" t="s">
        <v>37</v>
      </c>
      <c r="E732" s="2" t="str">
        <f t="shared" si="11"/>
        <v>Power Bank - Electronics</v>
      </c>
    </row>
    <row r="733" spans="1:5">
      <c r="A733" s="2">
        <v>109191</v>
      </c>
      <c r="B733" s="2" t="s">
        <v>32</v>
      </c>
      <c r="C733" s="2" t="str">
        <f>_xlfn.XLOOKUP(A733,'Customer Data'!B733,'Customer Data'!M733)</f>
        <v>Notebook</v>
      </c>
      <c r="D733" s="2" t="s">
        <v>54</v>
      </c>
      <c r="E733" s="2" t="str">
        <f t="shared" si="11"/>
        <v>Desk Lamp - Home Office</v>
      </c>
    </row>
    <row r="734" spans="1:5">
      <c r="A734" s="2">
        <v>102512</v>
      </c>
      <c r="B734" s="2" t="s">
        <v>35</v>
      </c>
      <c r="C734" s="2" t="str">
        <f>_xlfn.XLOOKUP(A734,'Customer Data'!B734,'Customer Data'!M734)</f>
        <v>Gaming Controller</v>
      </c>
      <c r="D734" s="2" t="s">
        <v>63</v>
      </c>
      <c r="E734" s="2" t="str">
        <f t="shared" si="11"/>
        <v>Notebook - Stationery</v>
      </c>
    </row>
    <row r="735" spans="1:5">
      <c r="A735" s="2">
        <v>100424</v>
      </c>
      <c r="B735" s="2" t="s">
        <v>32</v>
      </c>
      <c r="C735" s="2" t="str">
        <f>_xlfn.XLOOKUP(A735,'Customer Data'!B735,'Customer Data'!M735)</f>
        <v>Smart Watch</v>
      </c>
      <c r="D735" s="2" t="s">
        <v>59</v>
      </c>
      <c r="E735" s="2" t="str">
        <f t="shared" si="11"/>
        <v>Gaming Controller - Gaming</v>
      </c>
    </row>
    <row r="736" spans="1:5">
      <c r="A736" s="2">
        <v>106701</v>
      </c>
      <c r="B736" s="2" t="s">
        <v>45</v>
      </c>
      <c r="C736" s="2" t="str">
        <f>_xlfn.XLOOKUP(A736,'Customer Data'!B736,'Customer Data'!M736)</f>
        <v>Phone Case</v>
      </c>
      <c r="D736" s="2" t="s">
        <v>25</v>
      </c>
      <c r="E736" s="2" t="str">
        <f t="shared" si="11"/>
        <v>Smart Watch - Wearables</v>
      </c>
    </row>
    <row r="737" spans="1:5">
      <c r="A737" s="2">
        <v>109573</v>
      </c>
      <c r="B737" s="2" t="s">
        <v>32</v>
      </c>
      <c r="C737" s="2" t="str">
        <f>_xlfn.XLOOKUP(A737,'Customer Data'!B737,'Customer Data'!M737)</f>
        <v>USB-C Cable</v>
      </c>
      <c r="D737" s="2" t="s">
        <v>25</v>
      </c>
      <c r="E737" s="2" t="str">
        <f t="shared" si="11"/>
        <v>Phone Case - Accessories</v>
      </c>
    </row>
    <row r="738" spans="1:5">
      <c r="A738" s="2">
        <v>106778</v>
      </c>
      <c r="B738" s="2" t="s">
        <v>45</v>
      </c>
      <c r="C738" s="2" t="str">
        <f>_xlfn.XLOOKUP(A738,'Customer Data'!B738,'Customer Data'!M738)</f>
        <v>HDMI Cable</v>
      </c>
      <c r="D738" s="2" t="s">
        <v>25</v>
      </c>
      <c r="E738" s="2" t="str">
        <f t="shared" si="11"/>
        <v>USB-C Cable - Accessories</v>
      </c>
    </row>
    <row r="739" spans="1:5">
      <c r="A739" s="2">
        <v>103277</v>
      </c>
      <c r="B739" s="2" t="s">
        <v>43</v>
      </c>
      <c r="C739" s="2" t="str">
        <f>_xlfn.XLOOKUP(A739,'Customer Data'!B739,'Customer Data'!M739)</f>
        <v>USB-C Cable</v>
      </c>
      <c r="D739" s="2" t="s">
        <v>25</v>
      </c>
      <c r="E739" s="2" t="str">
        <f t="shared" si="11"/>
        <v>HDMI Cable - Accessories</v>
      </c>
    </row>
    <row r="740" spans="1:5">
      <c r="A740" s="2">
        <v>108431</v>
      </c>
      <c r="B740" s="2" t="s">
        <v>28</v>
      </c>
      <c r="C740" s="2" t="str">
        <f>_xlfn.XLOOKUP(A740,'Customer Data'!B740,'Customer Data'!M740)</f>
        <v>Wireless Mouse</v>
      </c>
      <c r="D740" s="2" t="s">
        <v>34</v>
      </c>
      <c r="E740" s="2" t="str">
        <f t="shared" si="11"/>
        <v>USB-C Cable - Accessories</v>
      </c>
    </row>
    <row r="741" spans="1:5">
      <c r="A741" s="2">
        <v>105894</v>
      </c>
      <c r="B741" s="2" t="s">
        <v>43</v>
      </c>
      <c r="C741" s="2" t="str">
        <f>_xlfn.XLOOKUP(A741,'Customer Data'!B741,'Customer Data'!M741)</f>
        <v>Power Bank</v>
      </c>
      <c r="D741" s="2" t="s">
        <v>34</v>
      </c>
      <c r="E741" s="2" t="str">
        <f t="shared" si="11"/>
        <v>Wireless Mouse - Electronics</v>
      </c>
    </row>
    <row r="742" spans="1:5">
      <c r="A742" s="2">
        <v>100049</v>
      </c>
      <c r="B742" s="2" t="s">
        <v>32</v>
      </c>
      <c r="C742" s="2" t="str">
        <f>_xlfn.XLOOKUP(A742,'Customer Data'!B742,'Customer Data'!M742)</f>
        <v>Backpack</v>
      </c>
      <c r="D742" s="2" t="s">
        <v>25</v>
      </c>
      <c r="E742" s="2" t="str">
        <f t="shared" si="11"/>
        <v>Power Bank - Electronics</v>
      </c>
    </row>
    <row r="743" spans="1:5">
      <c r="A743" s="2">
        <v>101910</v>
      </c>
      <c r="B743" s="2" t="s">
        <v>45</v>
      </c>
      <c r="C743" s="2" t="str">
        <f>_xlfn.XLOOKUP(A743,'Customer Data'!B743,'Customer Data'!M743)</f>
        <v>Backpack</v>
      </c>
      <c r="D743" s="2" t="s">
        <v>25</v>
      </c>
      <c r="E743" s="2" t="str">
        <f t="shared" si="11"/>
        <v>Backpack - Accessories</v>
      </c>
    </row>
    <row r="744" spans="1:5">
      <c r="A744" s="2">
        <v>106784</v>
      </c>
      <c r="B744" s="2" t="s">
        <v>38</v>
      </c>
      <c r="C744" s="2" t="str">
        <f>_xlfn.XLOOKUP(A744,'Customer Data'!B744,'Customer Data'!M744)</f>
        <v>Wireless Mouse</v>
      </c>
      <c r="D744" s="2" t="s">
        <v>34</v>
      </c>
      <c r="E744" s="2" t="str">
        <f t="shared" si="11"/>
        <v>Backpack - Accessories</v>
      </c>
    </row>
    <row r="745" spans="1:5">
      <c r="A745" s="2">
        <v>100631</v>
      </c>
      <c r="B745" s="2" t="s">
        <v>43</v>
      </c>
      <c r="C745" s="2" t="str">
        <f>_xlfn.XLOOKUP(A745,'Customer Data'!B745,'Customer Data'!M745)</f>
        <v>Wireless Mouse</v>
      </c>
      <c r="D745" s="2" t="s">
        <v>34</v>
      </c>
      <c r="E745" s="2" t="str">
        <f t="shared" si="11"/>
        <v>Wireless Mouse - Electronics</v>
      </c>
    </row>
    <row r="746" spans="1:5">
      <c r="A746" s="2">
        <v>105615</v>
      </c>
      <c r="B746" s="2" t="s">
        <v>35</v>
      </c>
      <c r="C746" s="2" t="str">
        <f>_xlfn.XLOOKUP(A746,'Customer Data'!B746,'Customer Data'!M746)</f>
        <v>HDMI Cable</v>
      </c>
      <c r="D746" s="2" t="s">
        <v>25</v>
      </c>
      <c r="E746" s="2" t="str">
        <f t="shared" si="11"/>
        <v>Wireless Mouse - Electronics</v>
      </c>
    </row>
    <row r="747" spans="1:5">
      <c r="A747" s="2">
        <v>103022</v>
      </c>
      <c r="B747" s="2" t="s">
        <v>32</v>
      </c>
      <c r="C747" s="2" t="str">
        <f>_xlfn.XLOOKUP(A747,'Customer Data'!B747,'Customer Data'!M747)</f>
        <v>Notebook</v>
      </c>
      <c r="D747" s="2" t="s">
        <v>54</v>
      </c>
      <c r="E747" s="2" t="str">
        <f t="shared" si="11"/>
        <v>HDMI Cable - Accessories</v>
      </c>
    </row>
    <row r="748" spans="1:5">
      <c r="A748" s="2">
        <v>102567</v>
      </c>
      <c r="B748" s="2" t="s">
        <v>32</v>
      </c>
      <c r="C748" s="2" t="str">
        <f>_xlfn.XLOOKUP(A748,'Customer Data'!B748,'Customer Data'!M748)</f>
        <v>Smart Watch</v>
      </c>
      <c r="D748" s="2" t="s">
        <v>59</v>
      </c>
      <c r="E748" s="2" t="str">
        <f t="shared" si="11"/>
        <v>Notebook - Stationery</v>
      </c>
    </row>
    <row r="749" spans="1:5">
      <c r="A749" s="2">
        <v>105201</v>
      </c>
      <c r="B749" s="2" t="s">
        <v>48</v>
      </c>
      <c r="C749" s="2" t="str">
        <f>_xlfn.XLOOKUP(A749,'Customer Data'!B749,'Customer Data'!M749)</f>
        <v>Webcam</v>
      </c>
      <c r="D749" s="2" t="s">
        <v>34</v>
      </c>
      <c r="E749" s="2" t="str">
        <f t="shared" si="11"/>
        <v>Smart Watch - Wearables</v>
      </c>
    </row>
    <row r="750" spans="1:5">
      <c r="A750" s="2">
        <v>105988</v>
      </c>
      <c r="B750" s="2" t="s">
        <v>28</v>
      </c>
      <c r="C750" s="2" t="str">
        <f>_xlfn.XLOOKUP(A750,'Customer Data'!B750,'Customer Data'!M750)</f>
        <v>Power Bank</v>
      </c>
      <c r="D750" s="2" t="s">
        <v>34</v>
      </c>
      <c r="E750" s="2" t="str">
        <f t="shared" si="11"/>
        <v>Webcam - Electronics</v>
      </c>
    </row>
    <row r="751" spans="1:5">
      <c r="A751" s="2">
        <v>105651</v>
      </c>
      <c r="B751" s="2" t="s">
        <v>38</v>
      </c>
      <c r="C751" s="2" t="str">
        <f>_xlfn.XLOOKUP(A751,'Customer Data'!B751,'Customer Data'!M751)</f>
        <v>Wireless Mouse</v>
      </c>
      <c r="D751" s="2" t="s">
        <v>34</v>
      </c>
      <c r="E751" s="2" t="str">
        <f t="shared" si="11"/>
        <v>Power Bank - Electronics</v>
      </c>
    </row>
    <row r="752" spans="1:5">
      <c r="A752" s="2">
        <v>101466</v>
      </c>
      <c r="B752" s="2" t="s">
        <v>55</v>
      </c>
      <c r="C752" s="2" t="str">
        <f>_xlfn.XLOOKUP(A752,'Customer Data'!B752,'Customer Data'!M752)</f>
        <v>HDMI Cable</v>
      </c>
      <c r="D752" s="2" t="s">
        <v>25</v>
      </c>
      <c r="E752" s="2" t="str">
        <f t="shared" si="11"/>
        <v>Wireless Mouse - Electronics</v>
      </c>
    </row>
    <row r="753" spans="1:5">
      <c r="A753" s="2">
        <v>106860</v>
      </c>
      <c r="B753" s="2" t="s">
        <v>35</v>
      </c>
      <c r="C753" s="2" t="str">
        <f>_xlfn.XLOOKUP(A753,'Customer Data'!B753,'Customer Data'!M753)</f>
        <v>Notebook</v>
      </c>
      <c r="D753" s="2" t="s">
        <v>54</v>
      </c>
      <c r="E753" s="2" t="str">
        <f t="shared" si="11"/>
        <v>HDMI Cable - Accessories</v>
      </c>
    </row>
    <row r="754" spans="1:5">
      <c r="A754" s="2">
        <v>100206</v>
      </c>
      <c r="B754" s="2" t="s">
        <v>32</v>
      </c>
      <c r="C754" s="2" t="str">
        <f>_xlfn.XLOOKUP(A754,'Customer Data'!B754,'Customer Data'!M754)</f>
        <v>USB-C Cable</v>
      </c>
      <c r="D754" s="2" t="s">
        <v>25</v>
      </c>
      <c r="E754" s="2" t="str">
        <f t="shared" si="11"/>
        <v>Notebook - Stationery</v>
      </c>
    </row>
    <row r="755" spans="1:5">
      <c r="A755" s="2">
        <v>104231</v>
      </c>
      <c r="B755" s="2" t="s">
        <v>32</v>
      </c>
      <c r="C755" s="2" t="str">
        <f>_xlfn.XLOOKUP(A755,'Customer Data'!B755,'Customer Data'!M755)</f>
        <v>Office Chair</v>
      </c>
      <c r="D755" s="2" t="s">
        <v>37</v>
      </c>
      <c r="E755" s="2" t="str">
        <f t="shared" si="11"/>
        <v>USB-C Cable - Accessories</v>
      </c>
    </row>
    <row r="756" spans="1:5">
      <c r="A756" s="2">
        <v>104735</v>
      </c>
      <c r="B756" s="2" t="s">
        <v>32</v>
      </c>
      <c r="C756" s="2" t="str">
        <f>_xlfn.XLOOKUP(A756,'Customer Data'!B756,'Customer Data'!M756)</f>
        <v>Mechanical Keyboard</v>
      </c>
      <c r="D756" s="2" t="s">
        <v>34</v>
      </c>
      <c r="E756" s="2" t="str">
        <f t="shared" si="11"/>
        <v>Office Chair - Home Office</v>
      </c>
    </row>
    <row r="757" spans="1:5">
      <c r="A757" s="2">
        <v>105474</v>
      </c>
      <c r="B757" s="2" t="s">
        <v>55</v>
      </c>
      <c r="C757" s="2" t="str">
        <f>_xlfn.XLOOKUP(A757,'Customer Data'!B757,'Customer Data'!M757)</f>
        <v>Power Bank</v>
      </c>
      <c r="D757" s="2" t="s">
        <v>34</v>
      </c>
      <c r="E757" s="2" t="str">
        <f t="shared" si="11"/>
        <v>Mechanical Keyboard - Electronics</v>
      </c>
    </row>
    <row r="758" spans="1:5">
      <c r="A758" s="2">
        <v>106376</v>
      </c>
      <c r="B758" s="2" t="s">
        <v>45</v>
      </c>
      <c r="C758" s="2" t="str">
        <f>_xlfn.XLOOKUP(A758,'Customer Data'!B758,'Customer Data'!M758)</f>
        <v>HDMI Cable</v>
      </c>
      <c r="D758" s="2" t="s">
        <v>25</v>
      </c>
      <c r="E758" s="2" t="str">
        <f t="shared" si="11"/>
        <v>Power Bank - Electronics</v>
      </c>
    </row>
    <row r="759" spans="1:5">
      <c r="A759" s="2">
        <v>108424</v>
      </c>
      <c r="B759" s="2" t="s">
        <v>35</v>
      </c>
      <c r="C759" s="2" t="str">
        <f>_xlfn.XLOOKUP(A759,'Customer Data'!B759,'Customer Data'!M759)</f>
        <v>Notebook</v>
      </c>
      <c r="D759" s="2" t="s">
        <v>54</v>
      </c>
      <c r="E759" s="2" t="str">
        <f t="shared" si="11"/>
        <v>HDMI Cable - Accessories</v>
      </c>
    </row>
    <row r="760" spans="1:5">
      <c r="A760" s="2">
        <v>105512</v>
      </c>
      <c r="B760" s="2" t="s">
        <v>22</v>
      </c>
      <c r="C760" s="2" t="str">
        <f>_xlfn.XLOOKUP(A760,'Customer Data'!B760,'Customer Data'!M760)</f>
        <v>USB-C Cable</v>
      </c>
      <c r="D760" s="2" t="s">
        <v>25</v>
      </c>
      <c r="E760" s="2" t="str">
        <f t="shared" si="11"/>
        <v>Notebook - Stationery</v>
      </c>
    </row>
    <row r="761" spans="1:5">
      <c r="A761" s="2">
        <v>107390</v>
      </c>
      <c r="B761" s="2" t="s">
        <v>38</v>
      </c>
      <c r="C761" s="2" t="str">
        <f>_xlfn.XLOOKUP(A761,'Customer Data'!B761,'Customer Data'!M761)</f>
        <v>Headphones</v>
      </c>
      <c r="D761" s="2" t="s">
        <v>34</v>
      </c>
      <c r="E761" s="2" t="str">
        <f t="shared" si="11"/>
        <v>USB-C Cable - Accessories</v>
      </c>
    </row>
    <row r="762" spans="1:5">
      <c r="A762" s="2">
        <v>107897</v>
      </c>
      <c r="B762" s="2" t="s">
        <v>32</v>
      </c>
      <c r="C762" s="2" t="str">
        <f>_xlfn.XLOOKUP(A762,'Customer Data'!B762,'Customer Data'!M762)</f>
        <v>Bluetooth Speaker</v>
      </c>
      <c r="D762" s="2" t="s">
        <v>34</v>
      </c>
      <c r="E762" s="2" t="str">
        <f t="shared" si="11"/>
        <v>Headphones - Electronics</v>
      </c>
    </row>
    <row r="763" spans="1:5">
      <c r="A763" s="2">
        <v>104286</v>
      </c>
      <c r="B763" s="2" t="s">
        <v>32</v>
      </c>
      <c r="C763" s="2" t="str">
        <f>_xlfn.XLOOKUP(A763,'Customer Data'!B763,'Customer Data'!M763)</f>
        <v>Fitness Band</v>
      </c>
      <c r="D763" s="2" t="s">
        <v>59</v>
      </c>
      <c r="E763" s="2" t="str">
        <f t="shared" si="11"/>
        <v>Bluetooth Speaker - Electronics</v>
      </c>
    </row>
    <row r="764" spans="1:5">
      <c r="A764" s="2">
        <v>102356</v>
      </c>
      <c r="B764" s="2" t="s">
        <v>45</v>
      </c>
      <c r="C764" s="2" t="str">
        <f>_xlfn.XLOOKUP(A764,'Customer Data'!B764,'Customer Data'!M764)</f>
        <v>USB-C Cable</v>
      </c>
      <c r="D764" s="2" t="s">
        <v>25</v>
      </c>
      <c r="E764" s="2" t="str">
        <f t="shared" si="11"/>
        <v>Fitness Band - Wearables</v>
      </c>
    </row>
    <row r="765" spans="1:5">
      <c r="A765" s="2">
        <v>106840</v>
      </c>
      <c r="B765" s="2" t="s">
        <v>32</v>
      </c>
      <c r="C765" s="2" t="str">
        <f>_xlfn.XLOOKUP(A765,'Customer Data'!B765,'Customer Data'!M765)</f>
        <v>Headphones</v>
      </c>
      <c r="D765" s="2" t="s">
        <v>34</v>
      </c>
      <c r="E765" s="2" t="str">
        <f t="shared" si="11"/>
        <v>USB-C Cable - Accessories</v>
      </c>
    </row>
    <row r="766" spans="1:5">
      <c r="A766" s="2">
        <v>103422</v>
      </c>
      <c r="B766" s="2" t="s">
        <v>55</v>
      </c>
      <c r="C766" s="2" t="str">
        <f>_xlfn.XLOOKUP(A766,'Customer Data'!B766,'Customer Data'!M766)</f>
        <v>Microphone</v>
      </c>
      <c r="D766" s="2" t="s">
        <v>34</v>
      </c>
      <c r="E766" s="2" t="str">
        <f t="shared" si="11"/>
        <v>Headphones - Electronics</v>
      </c>
    </row>
    <row r="767" spans="1:5">
      <c r="A767" s="2">
        <v>101427</v>
      </c>
      <c r="B767" s="2" t="s">
        <v>32</v>
      </c>
      <c r="C767" s="2" t="str">
        <f>_xlfn.XLOOKUP(A767,'Customer Data'!B767,'Customer Data'!M767)</f>
        <v>USB-C Cable</v>
      </c>
      <c r="D767" s="2" t="s">
        <v>25</v>
      </c>
      <c r="E767" s="2" t="str">
        <f t="shared" si="11"/>
        <v>Microphone - Electronics</v>
      </c>
    </row>
    <row r="768" spans="1:5">
      <c r="A768" s="2">
        <v>105887</v>
      </c>
      <c r="B768" s="2" t="s">
        <v>35</v>
      </c>
      <c r="C768" s="2" t="str">
        <f>_xlfn.XLOOKUP(A768,'Customer Data'!B768,'Customer Data'!M768)</f>
        <v>Phone Case</v>
      </c>
      <c r="D768" s="2" t="s">
        <v>25</v>
      </c>
      <c r="E768" s="2" t="str">
        <f t="shared" si="11"/>
        <v>USB-C Cable - Accessories</v>
      </c>
    </row>
    <row r="769" spans="1:5">
      <c r="A769" s="2">
        <v>102660</v>
      </c>
      <c r="B769" s="2" t="s">
        <v>35</v>
      </c>
      <c r="C769" s="2" t="str">
        <f>_xlfn.XLOOKUP(A769,'Customer Data'!B769,'Customer Data'!M769)</f>
        <v>Laptop Stand</v>
      </c>
      <c r="D769" s="2" t="s">
        <v>25</v>
      </c>
      <c r="E769" s="2" t="str">
        <f t="shared" si="11"/>
        <v>Phone Case - Accessories</v>
      </c>
    </row>
    <row r="770" spans="1:5">
      <c r="A770" s="2">
        <v>103878</v>
      </c>
      <c r="B770" s="2" t="s">
        <v>38</v>
      </c>
      <c r="C770" s="2" t="str">
        <f>_xlfn.XLOOKUP(A770,'Customer Data'!B770,'Customer Data'!M770)</f>
        <v>Bluetooth Speaker</v>
      </c>
      <c r="D770" s="2" t="s">
        <v>34</v>
      </c>
      <c r="E770" s="2" t="str">
        <f t="shared" si="11"/>
        <v>Laptop Stand - Accessories</v>
      </c>
    </row>
    <row r="771" spans="1:5">
      <c r="A771" s="2">
        <v>104760</v>
      </c>
      <c r="B771" s="2" t="s">
        <v>32</v>
      </c>
      <c r="C771" s="2" t="str">
        <f>_xlfn.XLOOKUP(A771,'Customer Data'!B771,'Customer Data'!M771)</f>
        <v>Backpack</v>
      </c>
      <c r="D771" s="2" t="s">
        <v>25</v>
      </c>
      <c r="E771" s="2" t="str">
        <f t="shared" ref="E771:E834" si="12">CONCATENATE(C770," - ",D770)</f>
        <v>Bluetooth Speaker - Electronics</v>
      </c>
    </row>
    <row r="772" spans="1:5">
      <c r="A772" s="2">
        <v>107763</v>
      </c>
      <c r="B772" s="2" t="s">
        <v>43</v>
      </c>
      <c r="C772" s="2" t="str">
        <f>_xlfn.XLOOKUP(A772,'Customer Data'!B772,'Customer Data'!M772)</f>
        <v>Fitness Band</v>
      </c>
      <c r="D772" s="2" t="s">
        <v>59</v>
      </c>
      <c r="E772" s="2" t="str">
        <f t="shared" si="12"/>
        <v>Backpack - Accessories</v>
      </c>
    </row>
    <row r="773" spans="1:5">
      <c r="A773" s="2">
        <v>106411</v>
      </c>
      <c r="B773" s="2" t="s">
        <v>32</v>
      </c>
      <c r="C773" s="2" t="str">
        <f>_xlfn.XLOOKUP(A773,'Customer Data'!B773,'Customer Data'!M773)</f>
        <v>Wireless Mouse</v>
      </c>
      <c r="D773" s="2" t="s">
        <v>34</v>
      </c>
      <c r="E773" s="2" t="str">
        <f t="shared" si="12"/>
        <v>Fitness Band - Wearables</v>
      </c>
    </row>
    <row r="774" spans="1:5">
      <c r="A774" s="2">
        <v>100124</v>
      </c>
      <c r="B774" s="2" t="s">
        <v>35</v>
      </c>
      <c r="C774" s="2" t="str">
        <f>_xlfn.XLOOKUP(A774,'Customer Data'!B774,'Customer Data'!M774)</f>
        <v>Notebook</v>
      </c>
      <c r="D774" s="2" t="s">
        <v>54</v>
      </c>
      <c r="E774" s="2" t="str">
        <f t="shared" si="12"/>
        <v>Wireless Mouse - Electronics</v>
      </c>
    </row>
    <row r="775" spans="1:5">
      <c r="A775" s="2">
        <v>101086</v>
      </c>
      <c r="B775" s="2" t="s">
        <v>22</v>
      </c>
      <c r="C775" s="2" t="str">
        <f>_xlfn.XLOOKUP(A775,'Customer Data'!B775,'Customer Data'!M775)</f>
        <v>Fitness Band</v>
      </c>
      <c r="D775" s="2" t="s">
        <v>59</v>
      </c>
      <c r="E775" s="2" t="str">
        <f t="shared" si="12"/>
        <v>Notebook - Stationery</v>
      </c>
    </row>
    <row r="776" spans="1:5">
      <c r="A776" s="2">
        <v>107701</v>
      </c>
      <c r="B776" s="2" t="s">
        <v>35</v>
      </c>
      <c r="C776" s="2" t="str">
        <f>_xlfn.XLOOKUP(A776,'Customer Data'!B776,'Customer Data'!M776)</f>
        <v>Smart Watch</v>
      </c>
      <c r="D776" s="2" t="s">
        <v>59</v>
      </c>
      <c r="E776" s="2" t="str">
        <f t="shared" si="12"/>
        <v>Fitness Band - Wearables</v>
      </c>
    </row>
    <row r="777" spans="1:5">
      <c r="A777" s="2">
        <v>109229</v>
      </c>
      <c r="B777" s="2" t="s">
        <v>38</v>
      </c>
      <c r="C777" s="2" t="str">
        <f>_xlfn.XLOOKUP(A777,'Customer Data'!B777,'Customer Data'!M777)</f>
        <v>Headphones</v>
      </c>
      <c r="D777" s="2" t="s">
        <v>34</v>
      </c>
      <c r="E777" s="2" t="str">
        <f t="shared" si="12"/>
        <v>Smart Watch - Wearables</v>
      </c>
    </row>
    <row r="778" spans="1:5">
      <c r="A778" s="2">
        <v>108134</v>
      </c>
      <c r="B778" s="2" t="s">
        <v>35</v>
      </c>
      <c r="C778" s="2" t="str">
        <f>_xlfn.XLOOKUP(A778,'Customer Data'!B778,'Customer Data'!M778)</f>
        <v>USB-C Cable</v>
      </c>
      <c r="D778" s="2" t="s">
        <v>25</v>
      </c>
      <c r="E778" s="2" t="str">
        <f t="shared" si="12"/>
        <v>Headphones - Electronics</v>
      </c>
    </row>
    <row r="779" spans="1:5">
      <c r="A779" s="2">
        <v>101782</v>
      </c>
      <c r="B779" s="2" t="s">
        <v>45</v>
      </c>
      <c r="C779" s="2" t="str">
        <f>_xlfn.XLOOKUP(A779,'Customer Data'!B779,'Customer Data'!M779)</f>
        <v>Wireless Mouse</v>
      </c>
      <c r="D779" s="2" t="s">
        <v>34</v>
      </c>
      <c r="E779" s="2" t="str">
        <f t="shared" si="12"/>
        <v>USB-C Cable - Accessories</v>
      </c>
    </row>
    <row r="780" spans="1:5">
      <c r="A780" s="2">
        <v>107008</v>
      </c>
      <c r="B780" s="2" t="s">
        <v>52</v>
      </c>
      <c r="C780" s="2" t="str">
        <f>_xlfn.XLOOKUP(A780,'Customer Data'!B780,'Customer Data'!M780)</f>
        <v>Fitness Band</v>
      </c>
      <c r="D780" s="2" t="s">
        <v>59</v>
      </c>
      <c r="E780" s="2" t="str">
        <f t="shared" si="12"/>
        <v>Wireless Mouse - Electronics</v>
      </c>
    </row>
    <row r="781" spans="1:5">
      <c r="A781" s="2">
        <v>100989</v>
      </c>
      <c r="B781" s="2" t="s">
        <v>28</v>
      </c>
      <c r="C781" s="2" t="str">
        <f>_xlfn.XLOOKUP(A781,'Customer Data'!B781,'Customer Data'!M781)</f>
        <v>Wireless Mouse</v>
      </c>
      <c r="D781" s="2" t="s">
        <v>34</v>
      </c>
      <c r="E781" s="2" t="str">
        <f t="shared" si="12"/>
        <v>Fitness Band - Wearables</v>
      </c>
    </row>
    <row r="782" spans="1:5">
      <c r="A782" s="2">
        <v>105497</v>
      </c>
      <c r="B782" s="2" t="s">
        <v>45</v>
      </c>
      <c r="C782" s="2" t="str">
        <f>_xlfn.XLOOKUP(A782,'Customer Data'!B782,'Customer Data'!M782)</f>
        <v>Notebook</v>
      </c>
      <c r="D782" s="2" t="s">
        <v>54</v>
      </c>
      <c r="E782" s="2" t="str">
        <f t="shared" si="12"/>
        <v>Wireless Mouse - Electronics</v>
      </c>
    </row>
    <row r="783" spans="1:5">
      <c r="A783" s="2">
        <v>103017</v>
      </c>
      <c r="B783" s="2" t="s">
        <v>38</v>
      </c>
      <c r="C783" s="2" t="str">
        <f>_xlfn.XLOOKUP(A783,'Customer Data'!B783,'Customer Data'!M783)</f>
        <v>USB-C Cable</v>
      </c>
      <c r="D783" s="2" t="s">
        <v>25</v>
      </c>
      <c r="E783" s="2" t="str">
        <f t="shared" si="12"/>
        <v>Notebook - Stationery</v>
      </c>
    </row>
    <row r="784" spans="1:5">
      <c r="A784" s="2">
        <v>102445</v>
      </c>
      <c r="B784" s="2" t="s">
        <v>32</v>
      </c>
      <c r="C784" s="2" t="str">
        <f>_xlfn.XLOOKUP(A784,'Customer Data'!B784,'Customer Data'!M784)</f>
        <v>HDMI Cable</v>
      </c>
      <c r="D784" s="2" t="s">
        <v>25</v>
      </c>
      <c r="E784" s="2" t="str">
        <f t="shared" si="12"/>
        <v>USB-C Cable - Accessories</v>
      </c>
    </row>
    <row r="785" spans="1:5">
      <c r="A785" s="2">
        <v>103437</v>
      </c>
      <c r="B785" s="2" t="s">
        <v>43</v>
      </c>
      <c r="C785" s="2" t="str">
        <f>_xlfn.XLOOKUP(A785,'Customer Data'!B785,'Customer Data'!M785)</f>
        <v>Laptop Stand</v>
      </c>
      <c r="D785" s="2" t="s">
        <v>25</v>
      </c>
      <c r="E785" s="2" t="str">
        <f t="shared" si="12"/>
        <v>HDMI Cable - Accessories</v>
      </c>
    </row>
    <row r="786" spans="1:5">
      <c r="A786" s="2">
        <v>101461</v>
      </c>
      <c r="B786" s="2" t="s">
        <v>32</v>
      </c>
      <c r="C786" s="2" t="str">
        <f>_xlfn.XLOOKUP(A786,'Customer Data'!B786,'Customer Data'!M786)</f>
        <v>Mechanical Keyboard</v>
      </c>
      <c r="D786" s="2" t="s">
        <v>34</v>
      </c>
      <c r="E786" s="2" t="str">
        <f t="shared" si="12"/>
        <v>Laptop Stand - Accessories</v>
      </c>
    </row>
    <row r="787" spans="1:5">
      <c r="A787" s="2">
        <v>109365</v>
      </c>
      <c r="B787" s="2" t="s">
        <v>32</v>
      </c>
      <c r="C787" s="2" t="str">
        <f>_xlfn.XLOOKUP(A787,'Customer Data'!B787,'Customer Data'!M787)</f>
        <v>Office Chair</v>
      </c>
      <c r="D787" s="2" t="s">
        <v>37</v>
      </c>
      <c r="E787" s="2" t="str">
        <f t="shared" si="12"/>
        <v>Mechanical Keyboard - Electronics</v>
      </c>
    </row>
    <row r="788" spans="1:5">
      <c r="A788" s="2">
        <v>108923</v>
      </c>
      <c r="B788" s="2" t="s">
        <v>43</v>
      </c>
      <c r="C788" s="2" t="str">
        <f>_xlfn.XLOOKUP(A788,'Customer Data'!B788,'Customer Data'!M788)</f>
        <v>Notebook</v>
      </c>
      <c r="D788" s="2" t="s">
        <v>54</v>
      </c>
      <c r="E788" s="2" t="str">
        <f t="shared" si="12"/>
        <v>Office Chair - Home Office</v>
      </c>
    </row>
    <row r="789" spans="1:5">
      <c r="A789" s="2">
        <v>109005</v>
      </c>
      <c r="B789" s="2" t="s">
        <v>32</v>
      </c>
      <c r="C789" s="2" t="str">
        <f>_xlfn.XLOOKUP(A789,'Customer Data'!B789,'Customer Data'!M789)</f>
        <v>Mechanical Keyboard</v>
      </c>
      <c r="D789" s="2" t="s">
        <v>34</v>
      </c>
      <c r="E789" s="2" t="str">
        <f t="shared" si="12"/>
        <v>Notebook - Stationery</v>
      </c>
    </row>
    <row r="790" spans="1:5">
      <c r="A790" s="2">
        <v>109997</v>
      </c>
      <c r="B790" s="2" t="s">
        <v>35</v>
      </c>
      <c r="C790" s="2" t="str">
        <f>_xlfn.XLOOKUP(A790,'Customer Data'!B790,'Customer Data'!M790)</f>
        <v>Power Bank</v>
      </c>
      <c r="D790" s="2" t="s">
        <v>34</v>
      </c>
      <c r="E790" s="2" t="str">
        <f t="shared" si="12"/>
        <v>Mechanical Keyboard - Electronics</v>
      </c>
    </row>
    <row r="791" spans="1:5">
      <c r="A791" s="2">
        <v>108633</v>
      </c>
      <c r="B791" s="2" t="s">
        <v>52</v>
      </c>
      <c r="C791" s="2" t="str">
        <f>_xlfn.XLOOKUP(A791,'Customer Data'!B791,'Customer Data'!M791)</f>
        <v>Laptop Stand</v>
      </c>
      <c r="D791" s="2" t="s">
        <v>25</v>
      </c>
      <c r="E791" s="2" t="str">
        <f t="shared" si="12"/>
        <v>Power Bank - Electronics</v>
      </c>
    </row>
    <row r="792" spans="1:5">
      <c r="A792" s="2">
        <v>101650</v>
      </c>
      <c r="B792" s="2" t="s">
        <v>45</v>
      </c>
      <c r="C792" s="2" t="str">
        <f>_xlfn.XLOOKUP(A792,'Customer Data'!B792,'Customer Data'!M792)</f>
        <v>Notebook</v>
      </c>
      <c r="D792" s="2" t="s">
        <v>54</v>
      </c>
      <c r="E792" s="2" t="str">
        <f t="shared" si="12"/>
        <v>Laptop Stand - Accessories</v>
      </c>
    </row>
    <row r="793" spans="1:5">
      <c r="A793" s="2">
        <v>104690</v>
      </c>
      <c r="B793" s="2" t="s">
        <v>32</v>
      </c>
      <c r="C793" s="2" t="str">
        <f>_xlfn.XLOOKUP(A793,'Customer Data'!B793,'Customer Data'!M793)</f>
        <v>Laptop Stand</v>
      </c>
      <c r="D793" s="2" t="s">
        <v>25</v>
      </c>
      <c r="E793" s="2" t="str">
        <f t="shared" si="12"/>
        <v>Notebook - Stationery</v>
      </c>
    </row>
    <row r="794" spans="1:5">
      <c r="A794" s="2">
        <v>103822</v>
      </c>
      <c r="B794" s="2" t="s">
        <v>45</v>
      </c>
      <c r="C794" s="2" t="str">
        <f>_xlfn.XLOOKUP(A794,'Customer Data'!B794,'Customer Data'!M794)</f>
        <v>USB-C Cable</v>
      </c>
      <c r="D794" s="2" t="s">
        <v>25</v>
      </c>
      <c r="E794" s="2" t="str">
        <f t="shared" si="12"/>
        <v>Laptop Stand - Accessories</v>
      </c>
    </row>
    <row r="795" spans="1:5">
      <c r="A795" s="2">
        <v>100095</v>
      </c>
      <c r="B795" s="2" t="s">
        <v>32</v>
      </c>
      <c r="C795" s="2" t="str">
        <f>_xlfn.XLOOKUP(A795,'Customer Data'!B795,'Customer Data'!M795)</f>
        <v>Gaming Controller</v>
      </c>
      <c r="D795" s="2" t="s">
        <v>63</v>
      </c>
      <c r="E795" s="2" t="str">
        <f t="shared" si="12"/>
        <v>USB-C Cable - Accessories</v>
      </c>
    </row>
    <row r="796" spans="1:5">
      <c r="A796" s="2">
        <v>102289</v>
      </c>
      <c r="B796" s="2" t="s">
        <v>35</v>
      </c>
      <c r="C796" s="2" t="str">
        <f>_xlfn.XLOOKUP(A796,'Customer Data'!B796,'Customer Data'!M796)</f>
        <v>Webcam</v>
      </c>
      <c r="D796" s="2" t="s">
        <v>34</v>
      </c>
      <c r="E796" s="2" t="str">
        <f t="shared" si="12"/>
        <v>Gaming Controller - Gaming</v>
      </c>
    </row>
    <row r="797" spans="1:5">
      <c r="A797" s="2">
        <v>107030</v>
      </c>
      <c r="B797" s="2" t="s">
        <v>35</v>
      </c>
      <c r="C797" s="2" t="str">
        <f>_xlfn.XLOOKUP(A797,'Customer Data'!B797,'Customer Data'!M797)</f>
        <v>Wireless Mouse</v>
      </c>
      <c r="D797" s="2" t="s">
        <v>34</v>
      </c>
      <c r="E797" s="2" t="str">
        <f t="shared" si="12"/>
        <v>Webcam - Electronics</v>
      </c>
    </row>
    <row r="798" spans="1:5">
      <c r="A798" s="2">
        <v>102051</v>
      </c>
      <c r="B798" s="2" t="s">
        <v>28</v>
      </c>
      <c r="C798" s="2" t="str">
        <f>_xlfn.XLOOKUP(A798,'Customer Data'!B798,'Customer Data'!M798)</f>
        <v>Office Chair</v>
      </c>
      <c r="D798" s="2" t="s">
        <v>37</v>
      </c>
      <c r="E798" s="2" t="str">
        <f t="shared" si="12"/>
        <v>Wireless Mouse - Electronics</v>
      </c>
    </row>
    <row r="799" spans="1:5">
      <c r="A799" s="2">
        <v>105984</v>
      </c>
      <c r="B799" s="2" t="s">
        <v>32</v>
      </c>
      <c r="C799" s="2" t="str">
        <f>_xlfn.XLOOKUP(A799,'Customer Data'!B799,'Customer Data'!M799)</f>
        <v>Power Bank</v>
      </c>
      <c r="D799" s="2" t="s">
        <v>34</v>
      </c>
      <c r="E799" s="2" t="str">
        <f t="shared" si="12"/>
        <v>Office Chair - Home Office</v>
      </c>
    </row>
    <row r="800" spans="1:5">
      <c r="A800" s="2">
        <v>107032</v>
      </c>
      <c r="B800" s="2" t="s">
        <v>48</v>
      </c>
      <c r="C800" s="2" t="str">
        <f>_xlfn.XLOOKUP(A800,'Customer Data'!B800,'Customer Data'!M800)</f>
        <v>Laptop Stand</v>
      </c>
      <c r="D800" s="2" t="s">
        <v>25</v>
      </c>
      <c r="E800" s="2" t="str">
        <f t="shared" si="12"/>
        <v>Power Bank - Electronics</v>
      </c>
    </row>
    <row r="801" spans="1:5">
      <c r="A801" s="2">
        <v>100028</v>
      </c>
      <c r="B801" s="2" t="s">
        <v>45</v>
      </c>
      <c r="C801" s="2" t="str">
        <f>_xlfn.XLOOKUP(A801,'Customer Data'!B801,'Customer Data'!M801)</f>
        <v>Fitness Band</v>
      </c>
      <c r="D801" s="2" t="s">
        <v>59</v>
      </c>
      <c r="E801" s="2" t="str">
        <f t="shared" si="12"/>
        <v>Laptop Stand - Accessories</v>
      </c>
    </row>
    <row r="802" spans="1:5">
      <c r="A802" s="2">
        <v>109359</v>
      </c>
      <c r="B802" s="2" t="s">
        <v>32</v>
      </c>
      <c r="C802" s="2" t="str">
        <f>_xlfn.XLOOKUP(A802,'Customer Data'!B802,'Customer Data'!M802)</f>
        <v>Wireless Mouse</v>
      </c>
      <c r="D802" s="2" t="s">
        <v>34</v>
      </c>
      <c r="E802" s="2" t="str">
        <f t="shared" si="12"/>
        <v>Fitness Band - Wearables</v>
      </c>
    </row>
    <row r="803" spans="1:5">
      <c r="A803" s="2">
        <v>104706</v>
      </c>
      <c r="B803" s="2" t="s">
        <v>32</v>
      </c>
      <c r="C803" s="2" t="str">
        <f>_xlfn.XLOOKUP(A803,'Customer Data'!B803,'Customer Data'!M803)</f>
        <v>Phone Case</v>
      </c>
      <c r="D803" s="2" t="s">
        <v>25</v>
      </c>
      <c r="E803" s="2" t="str">
        <f t="shared" si="12"/>
        <v>Wireless Mouse - Electronics</v>
      </c>
    </row>
    <row r="804" spans="1:5">
      <c r="A804" s="2">
        <v>103984</v>
      </c>
      <c r="B804" s="2" t="s">
        <v>22</v>
      </c>
      <c r="C804" s="2" t="str">
        <f>_xlfn.XLOOKUP(A804,'Customer Data'!B804,'Customer Data'!M804)</f>
        <v>Notebook</v>
      </c>
      <c r="D804" s="2" t="s">
        <v>54</v>
      </c>
      <c r="E804" s="2" t="str">
        <f t="shared" si="12"/>
        <v>Phone Case - Accessories</v>
      </c>
    </row>
    <row r="805" spans="1:5">
      <c r="A805" s="2">
        <v>100138</v>
      </c>
      <c r="B805" s="2" t="s">
        <v>32</v>
      </c>
      <c r="C805" s="2" t="str">
        <f>_xlfn.XLOOKUP(A805,'Customer Data'!B805,'Customer Data'!M805)</f>
        <v>Notebook</v>
      </c>
      <c r="D805" s="2" t="s">
        <v>54</v>
      </c>
      <c r="E805" s="2" t="str">
        <f t="shared" si="12"/>
        <v>Notebook - Stationery</v>
      </c>
    </row>
    <row r="806" spans="1:5">
      <c r="A806" s="2">
        <v>108408</v>
      </c>
      <c r="B806" s="2" t="s">
        <v>48</v>
      </c>
      <c r="C806" s="2" t="str">
        <f>_xlfn.XLOOKUP(A806,'Customer Data'!B806,'Customer Data'!M806)</f>
        <v>Monitor</v>
      </c>
      <c r="D806" s="2" t="s">
        <v>34</v>
      </c>
      <c r="E806" s="2" t="str">
        <f t="shared" si="12"/>
        <v>Notebook - Stationery</v>
      </c>
    </row>
    <row r="807" spans="1:5">
      <c r="A807" s="2">
        <v>108933</v>
      </c>
      <c r="B807" s="2" t="s">
        <v>35</v>
      </c>
      <c r="C807" s="2" t="str">
        <f>_xlfn.XLOOKUP(A807,'Customer Data'!B807,'Customer Data'!M807)</f>
        <v>Wireless Mouse</v>
      </c>
      <c r="D807" s="2" t="s">
        <v>34</v>
      </c>
      <c r="E807" s="2" t="str">
        <f t="shared" si="12"/>
        <v>Monitor - Electronics</v>
      </c>
    </row>
    <row r="808" spans="1:5">
      <c r="A808" s="2">
        <v>108745</v>
      </c>
      <c r="B808" s="2" t="s">
        <v>35</v>
      </c>
      <c r="C808" s="2" t="str">
        <f>_xlfn.XLOOKUP(A808,'Customer Data'!B808,'Customer Data'!M808)</f>
        <v>Phone Case</v>
      </c>
      <c r="D808" s="2" t="s">
        <v>25</v>
      </c>
      <c r="E808" s="2" t="str">
        <f t="shared" si="12"/>
        <v>Wireless Mouse - Electronics</v>
      </c>
    </row>
    <row r="809" spans="1:5">
      <c r="A809" s="2">
        <v>105827</v>
      </c>
      <c r="B809" s="2" t="s">
        <v>38</v>
      </c>
      <c r="C809" s="2" t="str">
        <f>_xlfn.XLOOKUP(A809,'Customer Data'!B809,'Customer Data'!M809)</f>
        <v>Backpack</v>
      </c>
      <c r="D809" s="2" t="s">
        <v>25</v>
      </c>
      <c r="E809" s="2" t="str">
        <f t="shared" si="12"/>
        <v>Phone Case - Accessories</v>
      </c>
    </row>
    <row r="810" spans="1:5">
      <c r="A810" s="2">
        <v>106881</v>
      </c>
      <c r="B810" s="2" t="s">
        <v>35</v>
      </c>
      <c r="C810" s="2" t="str">
        <f>_xlfn.XLOOKUP(A810,'Customer Data'!B810,'Customer Data'!M810)</f>
        <v>Phone Case</v>
      </c>
      <c r="D810" s="2" t="s">
        <v>25</v>
      </c>
      <c r="E810" s="2" t="str">
        <f t="shared" si="12"/>
        <v>Backpack - Accessories</v>
      </c>
    </row>
    <row r="811" spans="1:5">
      <c r="A811" s="2">
        <v>108306</v>
      </c>
      <c r="B811" s="2" t="s">
        <v>32</v>
      </c>
      <c r="C811" s="2" t="str">
        <f>_xlfn.XLOOKUP(A811,'Customer Data'!B811,'Customer Data'!M811)</f>
        <v>Power Bank</v>
      </c>
      <c r="D811" s="2" t="s">
        <v>34</v>
      </c>
      <c r="E811" s="2" t="str">
        <f t="shared" si="12"/>
        <v>Phone Case - Accessories</v>
      </c>
    </row>
    <row r="812" spans="1:5">
      <c r="A812" s="2">
        <v>107791</v>
      </c>
      <c r="B812" s="2" t="s">
        <v>48</v>
      </c>
      <c r="C812" s="2" t="str">
        <f>_xlfn.XLOOKUP(A812,'Customer Data'!B812,'Customer Data'!M812)</f>
        <v>Wireless Mouse</v>
      </c>
      <c r="D812" s="2" t="s">
        <v>34</v>
      </c>
      <c r="E812" s="2" t="str">
        <f t="shared" si="12"/>
        <v>Power Bank - Electronics</v>
      </c>
    </row>
    <row r="813" spans="1:5">
      <c r="A813" s="2">
        <v>104933</v>
      </c>
      <c r="B813" s="2" t="s">
        <v>43</v>
      </c>
      <c r="C813" s="2" t="str">
        <f>_xlfn.XLOOKUP(A813,'Customer Data'!B813,'Customer Data'!M813)</f>
        <v>Wireless Mouse</v>
      </c>
      <c r="D813" s="2" t="s">
        <v>34</v>
      </c>
      <c r="E813" s="2" t="str">
        <f t="shared" si="12"/>
        <v>Wireless Mouse - Electronics</v>
      </c>
    </row>
    <row r="814" spans="1:5">
      <c r="A814" s="2">
        <v>100897</v>
      </c>
      <c r="B814" s="2" t="s">
        <v>32</v>
      </c>
      <c r="C814" s="2" t="str">
        <f>_xlfn.XLOOKUP(A814,'Customer Data'!B814,'Customer Data'!M814)</f>
        <v>USB-C Cable</v>
      </c>
      <c r="D814" s="2" t="s">
        <v>25</v>
      </c>
      <c r="E814" s="2" t="str">
        <f t="shared" si="12"/>
        <v>Wireless Mouse - Electronics</v>
      </c>
    </row>
    <row r="815" spans="1:5">
      <c r="A815" s="2">
        <v>104036</v>
      </c>
      <c r="B815" s="2" t="s">
        <v>45</v>
      </c>
      <c r="C815" s="2" t="str">
        <f>_xlfn.XLOOKUP(A815,'Customer Data'!B815,'Customer Data'!M815)</f>
        <v>HDMI Cable</v>
      </c>
      <c r="D815" s="2" t="s">
        <v>25</v>
      </c>
      <c r="E815" s="2" t="str">
        <f t="shared" si="12"/>
        <v>USB-C Cable - Accessories</v>
      </c>
    </row>
    <row r="816" spans="1:5">
      <c r="A816" s="2">
        <v>107912</v>
      </c>
      <c r="B816" s="2" t="s">
        <v>45</v>
      </c>
      <c r="C816" s="2" t="str">
        <f>_xlfn.XLOOKUP(A816,'Customer Data'!B816,'Customer Data'!M816)</f>
        <v>Desk Lamp</v>
      </c>
      <c r="D816" s="2" t="s">
        <v>37</v>
      </c>
      <c r="E816" s="2" t="str">
        <f t="shared" si="12"/>
        <v>HDMI Cable - Accessories</v>
      </c>
    </row>
    <row r="817" spans="1:5">
      <c r="A817" s="2">
        <v>109685</v>
      </c>
      <c r="B817" s="2" t="s">
        <v>45</v>
      </c>
      <c r="C817" s="2" t="str">
        <f>_xlfn.XLOOKUP(A817,'Customer Data'!B817,'Customer Data'!M817)</f>
        <v>Laptop Stand</v>
      </c>
      <c r="D817" s="2" t="s">
        <v>25</v>
      </c>
      <c r="E817" s="2" t="str">
        <f t="shared" si="12"/>
        <v>Desk Lamp - Home Office</v>
      </c>
    </row>
    <row r="818" spans="1:5">
      <c r="A818" s="2">
        <v>101498</v>
      </c>
      <c r="B818" s="2" t="s">
        <v>43</v>
      </c>
      <c r="C818" s="2" t="str">
        <f>_xlfn.XLOOKUP(A818,'Customer Data'!B818,'Customer Data'!M818)</f>
        <v>Notebook</v>
      </c>
      <c r="D818" s="2" t="s">
        <v>54</v>
      </c>
      <c r="E818" s="2" t="str">
        <f t="shared" si="12"/>
        <v>Laptop Stand - Accessories</v>
      </c>
    </row>
    <row r="819" spans="1:5">
      <c r="A819" s="2">
        <v>108542</v>
      </c>
      <c r="B819" s="2" t="s">
        <v>28</v>
      </c>
      <c r="C819" s="2" t="str">
        <f>_xlfn.XLOOKUP(A819,'Customer Data'!B819,'Customer Data'!M819)</f>
        <v>Smart Watch</v>
      </c>
      <c r="D819" s="2" t="s">
        <v>59</v>
      </c>
      <c r="E819" s="2" t="str">
        <f t="shared" si="12"/>
        <v>Notebook - Stationery</v>
      </c>
    </row>
    <row r="820" spans="1:5">
      <c r="A820" s="2">
        <v>107244</v>
      </c>
      <c r="B820" s="2" t="s">
        <v>22</v>
      </c>
      <c r="C820" s="2" t="str">
        <f>_xlfn.XLOOKUP(A820,'Customer Data'!B820,'Customer Data'!M820)</f>
        <v>Notebook</v>
      </c>
      <c r="D820" s="2" t="s">
        <v>54</v>
      </c>
      <c r="E820" s="2" t="str">
        <f t="shared" si="12"/>
        <v>Smart Watch - Wearables</v>
      </c>
    </row>
    <row r="821" spans="1:5">
      <c r="A821" s="2">
        <v>103658</v>
      </c>
      <c r="B821" s="2" t="s">
        <v>43</v>
      </c>
      <c r="C821" s="2" t="str">
        <f>_xlfn.XLOOKUP(A821,'Customer Data'!B821,'Customer Data'!M821)</f>
        <v>Laptop Stand</v>
      </c>
      <c r="D821" s="2" t="s">
        <v>25</v>
      </c>
      <c r="E821" s="2" t="str">
        <f t="shared" si="12"/>
        <v>Notebook - Stationery</v>
      </c>
    </row>
    <row r="822" spans="1:5">
      <c r="A822" s="2">
        <v>109559</v>
      </c>
      <c r="B822" s="2" t="s">
        <v>32</v>
      </c>
      <c r="C822" s="2" t="str">
        <f>_xlfn.XLOOKUP(A822,'Customer Data'!B822,'Customer Data'!M822)</f>
        <v>Notebook</v>
      </c>
      <c r="D822" s="2" t="s">
        <v>54</v>
      </c>
      <c r="E822" s="2" t="str">
        <f t="shared" si="12"/>
        <v>Laptop Stand - Accessories</v>
      </c>
    </row>
    <row r="823" spans="1:5">
      <c r="A823" s="2">
        <v>100489</v>
      </c>
      <c r="B823" s="2" t="s">
        <v>43</v>
      </c>
      <c r="C823" s="2" t="str">
        <f>_xlfn.XLOOKUP(A823,'Customer Data'!B823,'Customer Data'!M823)</f>
        <v>Microphone</v>
      </c>
      <c r="D823" s="2" t="s">
        <v>34</v>
      </c>
      <c r="E823" s="2" t="str">
        <f t="shared" si="12"/>
        <v>Notebook - Stationery</v>
      </c>
    </row>
    <row r="824" spans="1:5">
      <c r="A824" s="2">
        <v>102846</v>
      </c>
      <c r="B824" s="2" t="s">
        <v>32</v>
      </c>
      <c r="C824" s="2" t="str">
        <f>_xlfn.XLOOKUP(A824,'Customer Data'!B824,'Customer Data'!M824)</f>
        <v>Backpack</v>
      </c>
      <c r="D824" s="2" t="s">
        <v>25</v>
      </c>
      <c r="E824" s="2" t="str">
        <f t="shared" si="12"/>
        <v>Microphone - Electronics</v>
      </c>
    </row>
    <row r="825" spans="1:5">
      <c r="A825" s="2">
        <v>100806</v>
      </c>
      <c r="B825" s="2" t="s">
        <v>38</v>
      </c>
      <c r="C825" s="2" t="str">
        <f>_xlfn.XLOOKUP(A825,'Customer Data'!B825,'Customer Data'!M825)</f>
        <v>Power Bank</v>
      </c>
      <c r="D825" s="2" t="s">
        <v>34</v>
      </c>
      <c r="E825" s="2" t="str">
        <f t="shared" si="12"/>
        <v>Backpack - Accessories</v>
      </c>
    </row>
    <row r="826" spans="1:5">
      <c r="A826" s="2">
        <v>104801</v>
      </c>
      <c r="B826" s="2" t="s">
        <v>32</v>
      </c>
      <c r="C826" s="2" t="str">
        <f>_xlfn.XLOOKUP(A826,'Customer Data'!B826,'Customer Data'!M826)</f>
        <v>Bluetooth Speaker</v>
      </c>
      <c r="D826" s="2" t="s">
        <v>34</v>
      </c>
      <c r="E826" s="2" t="str">
        <f t="shared" si="12"/>
        <v>Power Bank - Electronics</v>
      </c>
    </row>
    <row r="827" spans="1:5">
      <c r="A827" s="2">
        <v>107575</v>
      </c>
      <c r="B827" s="2" t="s">
        <v>48</v>
      </c>
      <c r="C827" s="2" t="str">
        <f>_xlfn.XLOOKUP(A827,'Customer Data'!B827,'Customer Data'!M827)</f>
        <v>USB-C Cable</v>
      </c>
      <c r="D827" s="2" t="s">
        <v>25</v>
      </c>
      <c r="E827" s="2" t="str">
        <f t="shared" si="12"/>
        <v>Bluetooth Speaker - Electronics</v>
      </c>
    </row>
    <row r="828" spans="1:5">
      <c r="A828" s="2">
        <v>104715</v>
      </c>
      <c r="B828" s="2" t="s">
        <v>32</v>
      </c>
      <c r="C828" s="2" t="str">
        <f>_xlfn.XLOOKUP(A828,'Customer Data'!B828,'Customer Data'!M828)</f>
        <v>Webcam</v>
      </c>
      <c r="D828" s="2" t="s">
        <v>34</v>
      </c>
      <c r="E828" s="2" t="str">
        <f t="shared" si="12"/>
        <v>USB-C Cable - Accessories</v>
      </c>
    </row>
    <row r="829" spans="1:5">
      <c r="A829" s="2">
        <v>103925</v>
      </c>
      <c r="B829" s="2" t="s">
        <v>43</v>
      </c>
      <c r="C829" s="2" t="str">
        <f>_xlfn.XLOOKUP(A829,'Customer Data'!B829,'Customer Data'!M829)</f>
        <v>Power Bank</v>
      </c>
      <c r="D829" s="2" t="s">
        <v>34</v>
      </c>
      <c r="E829" s="2" t="str">
        <f t="shared" si="12"/>
        <v>Webcam - Electronics</v>
      </c>
    </row>
    <row r="830" spans="1:5">
      <c r="A830" s="2">
        <v>101896</v>
      </c>
      <c r="B830" s="2" t="s">
        <v>32</v>
      </c>
      <c r="C830" s="2" t="str">
        <f>_xlfn.XLOOKUP(A830,'Customer Data'!B830,'Customer Data'!M830)</f>
        <v>Tablet</v>
      </c>
      <c r="D830" s="2" t="s">
        <v>34</v>
      </c>
      <c r="E830" s="2" t="str">
        <f t="shared" si="12"/>
        <v>Power Bank - Electronics</v>
      </c>
    </row>
    <row r="831" spans="1:5">
      <c r="A831" s="2">
        <v>103382</v>
      </c>
      <c r="B831" s="2" t="s">
        <v>35</v>
      </c>
      <c r="C831" s="2" t="str">
        <f>_xlfn.XLOOKUP(A831,'Customer Data'!B831,'Customer Data'!M831)</f>
        <v>Power Bank</v>
      </c>
      <c r="D831" s="2" t="s">
        <v>34</v>
      </c>
      <c r="E831" s="2" t="str">
        <f t="shared" si="12"/>
        <v>Tablet - Electronics</v>
      </c>
    </row>
    <row r="832" spans="1:5">
      <c r="A832" s="2">
        <v>100189</v>
      </c>
      <c r="B832" s="2" t="s">
        <v>52</v>
      </c>
      <c r="C832" s="2" t="str">
        <f>_xlfn.XLOOKUP(A832,'Customer Data'!B832,'Customer Data'!M832)</f>
        <v>Notebook</v>
      </c>
      <c r="D832" s="2" t="s">
        <v>54</v>
      </c>
      <c r="E832" s="2" t="str">
        <f t="shared" si="12"/>
        <v>Power Bank - Electronics</v>
      </c>
    </row>
    <row r="833" spans="1:5">
      <c r="A833" s="2">
        <v>105929</v>
      </c>
      <c r="B833" s="2" t="s">
        <v>52</v>
      </c>
      <c r="C833" s="2" t="str">
        <f>_xlfn.XLOOKUP(A833,'Customer Data'!B833,'Customer Data'!M833)</f>
        <v>Notebook</v>
      </c>
      <c r="D833" s="2" t="s">
        <v>54</v>
      </c>
      <c r="E833" s="2" t="str">
        <f t="shared" si="12"/>
        <v>Notebook - Stationery</v>
      </c>
    </row>
    <row r="834" spans="1:5">
      <c r="A834" s="2">
        <v>107630</v>
      </c>
      <c r="B834" s="2" t="s">
        <v>38</v>
      </c>
      <c r="C834" s="2" t="str">
        <f>_xlfn.XLOOKUP(A834,'Customer Data'!B834,'Customer Data'!M834)</f>
        <v>Wireless Mouse</v>
      </c>
      <c r="D834" s="2" t="s">
        <v>34</v>
      </c>
      <c r="E834" s="2" t="str">
        <f t="shared" si="12"/>
        <v>Notebook - Stationery</v>
      </c>
    </row>
    <row r="835" spans="1:5">
      <c r="A835" s="2">
        <v>107221</v>
      </c>
      <c r="B835" s="2" t="s">
        <v>38</v>
      </c>
      <c r="C835" s="2" t="str">
        <f>_xlfn.XLOOKUP(A835,'Customer Data'!B835,'Customer Data'!M835)</f>
        <v>Webcam</v>
      </c>
      <c r="D835" s="2" t="s">
        <v>34</v>
      </c>
      <c r="E835" s="2" t="str">
        <f t="shared" ref="E835:E898" si="13">CONCATENATE(C834," - ",D834)</f>
        <v>Wireless Mouse - Electronics</v>
      </c>
    </row>
    <row r="836" spans="1:5">
      <c r="A836" s="2">
        <v>108910</v>
      </c>
      <c r="B836" s="2" t="s">
        <v>45</v>
      </c>
      <c r="C836" s="2" t="str">
        <f>_xlfn.XLOOKUP(A836,'Customer Data'!B836,'Customer Data'!M836)</f>
        <v>Webcam</v>
      </c>
      <c r="D836" s="2" t="s">
        <v>34</v>
      </c>
      <c r="E836" s="2" t="str">
        <f t="shared" si="13"/>
        <v>Webcam - Electronics</v>
      </c>
    </row>
    <row r="837" spans="1:5">
      <c r="A837" s="2">
        <v>104620</v>
      </c>
      <c r="B837" s="2" t="s">
        <v>38</v>
      </c>
      <c r="C837" s="2" t="str">
        <f>_xlfn.XLOOKUP(A837,'Customer Data'!B837,'Customer Data'!M837)</f>
        <v>Smart Watch</v>
      </c>
      <c r="D837" s="2" t="s">
        <v>59</v>
      </c>
      <c r="E837" s="2" t="str">
        <f t="shared" si="13"/>
        <v>Webcam - Electronics</v>
      </c>
    </row>
    <row r="838" spans="1:5">
      <c r="A838" s="2">
        <v>102684</v>
      </c>
      <c r="B838" s="2" t="s">
        <v>55</v>
      </c>
      <c r="C838" s="2" t="str">
        <f>_xlfn.XLOOKUP(A838,'Customer Data'!B838,'Customer Data'!M838)</f>
        <v>USB-C Cable</v>
      </c>
      <c r="D838" s="2" t="s">
        <v>25</v>
      </c>
      <c r="E838" s="2" t="str">
        <f t="shared" si="13"/>
        <v>Smart Watch - Wearables</v>
      </c>
    </row>
    <row r="839" spans="1:5">
      <c r="A839" s="2">
        <v>105045</v>
      </c>
      <c r="B839" s="2" t="s">
        <v>45</v>
      </c>
      <c r="C839" s="2" t="str">
        <f>_xlfn.XLOOKUP(A839,'Customer Data'!B839,'Customer Data'!M839)</f>
        <v>USB-C Cable</v>
      </c>
      <c r="D839" s="2" t="s">
        <v>25</v>
      </c>
      <c r="E839" s="2" t="str">
        <f t="shared" si="13"/>
        <v>USB-C Cable - Accessories</v>
      </c>
    </row>
    <row r="840" spans="1:5">
      <c r="A840" s="2">
        <v>106725</v>
      </c>
      <c r="B840" s="2" t="s">
        <v>32</v>
      </c>
      <c r="C840" s="2" t="str">
        <f>_xlfn.XLOOKUP(A840,'Customer Data'!B840,'Customer Data'!M840)</f>
        <v>USB-C Cable</v>
      </c>
      <c r="D840" s="2" t="s">
        <v>25</v>
      </c>
      <c r="E840" s="2" t="str">
        <f t="shared" si="13"/>
        <v>USB-C Cable - Accessories</v>
      </c>
    </row>
    <row r="841" spans="1:5">
      <c r="A841" s="2">
        <v>107274</v>
      </c>
      <c r="B841" s="2" t="s">
        <v>32</v>
      </c>
      <c r="C841" s="2" t="str">
        <f>_xlfn.XLOOKUP(A841,'Customer Data'!B841,'Customer Data'!M841)</f>
        <v>Webcam</v>
      </c>
      <c r="D841" s="2" t="s">
        <v>34</v>
      </c>
      <c r="E841" s="2" t="str">
        <f t="shared" si="13"/>
        <v>USB-C Cable - Accessories</v>
      </c>
    </row>
    <row r="842" spans="1:5">
      <c r="A842" s="2">
        <v>106121</v>
      </c>
      <c r="B842" s="2" t="s">
        <v>52</v>
      </c>
      <c r="C842" s="2" t="str">
        <f>_xlfn.XLOOKUP(A842,'Customer Data'!B842,'Customer Data'!M842)</f>
        <v>USB-C Cable</v>
      </c>
      <c r="D842" s="2" t="s">
        <v>25</v>
      </c>
      <c r="E842" s="2" t="str">
        <f t="shared" si="13"/>
        <v>Webcam - Electronics</v>
      </c>
    </row>
    <row r="843" spans="1:5">
      <c r="A843" s="2">
        <v>101674</v>
      </c>
      <c r="B843" s="2" t="s">
        <v>43</v>
      </c>
      <c r="C843" s="2" t="str">
        <f>_xlfn.XLOOKUP(A843,'Customer Data'!B843,'Customer Data'!M843)</f>
        <v>USB-C Cable</v>
      </c>
      <c r="D843" s="2" t="s">
        <v>25</v>
      </c>
      <c r="E843" s="2" t="str">
        <f t="shared" si="13"/>
        <v>USB-C Cable - Accessories</v>
      </c>
    </row>
    <row r="844" spans="1:5">
      <c r="A844" s="2">
        <v>103246</v>
      </c>
      <c r="B844" s="2" t="s">
        <v>32</v>
      </c>
      <c r="C844" s="2" t="str">
        <f>_xlfn.XLOOKUP(A844,'Customer Data'!B844,'Customer Data'!M844)</f>
        <v>Desk Lamp</v>
      </c>
      <c r="D844" s="2" t="s">
        <v>37</v>
      </c>
      <c r="E844" s="2" t="str">
        <f t="shared" si="13"/>
        <v>USB-C Cable - Accessories</v>
      </c>
    </row>
    <row r="845" spans="1:5">
      <c r="A845" s="2">
        <v>101254</v>
      </c>
      <c r="B845" s="2" t="s">
        <v>45</v>
      </c>
      <c r="C845" s="2" t="str">
        <f>_xlfn.XLOOKUP(A845,'Customer Data'!B845,'Customer Data'!M845)</f>
        <v>Power Bank</v>
      </c>
      <c r="D845" s="2" t="s">
        <v>34</v>
      </c>
      <c r="E845" s="2" t="str">
        <f t="shared" si="13"/>
        <v>Desk Lamp - Home Office</v>
      </c>
    </row>
    <row r="846" spans="1:5">
      <c r="A846" s="2">
        <v>102732</v>
      </c>
      <c r="B846" s="2" t="s">
        <v>43</v>
      </c>
      <c r="C846" s="2" t="str">
        <f>_xlfn.XLOOKUP(A846,'Customer Data'!B846,'Customer Data'!M846)</f>
        <v>Wireless Mouse</v>
      </c>
      <c r="D846" s="2" t="s">
        <v>34</v>
      </c>
      <c r="E846" s="2" t="str">
        <f t="shared" si="13"/>
        <v>Power Bank - Electronics</v>
      </c>
    </row>
    <row r="847" spans="1:5">
      <c r="A847" s="2">
        <v>103931</v>
      </c>
      <c r="B847" s="2" t="s">
        <v>48</v>
      </c>
      <c r="C847" s="2" t="str">
        <f>_xlfn.XLOOKUP(A847,'Customer Data'!B847,'Customer Data'!M847)</f>
        <v>Backpack</v>
      </c>
      <c r="D847" s="2" t="s">
        <v>25</v>
      </c>
      <c r="E847" s="2" t="str">
        <f t="shared" si="13"/>
        <v>Wireless Mouse - Electronics</v>
      </c>
    </row>
    <row r="848" spans="1:5">
      <c r="A848" s="2">
        <v>108703</v>
      </c>
      <c r="B848" s="2" t="s">
        <v>32</v>
      </c>
      <c r="C848" s="2" t="str">
        <f>_xlfn.XLOOKUP(A848,'Customer Data'!B848,'Customer Data'!M848)</f>
        <v>Mechanical Keyboard</v>
      </c>
      <c r="D848" s="2" t="s">
        <v>34</v>
      </c>
      <c r="E848" s="2" t="str">
        <f t="shared" si="13"/>
        <v>Backpack - Accessories</v>
      </c>
    </row>
    <row r="849" spans="1:5">
      <c r="A849" s="2">
        <v>103720</v>
      </c>
      <c r="B849" s="2" t="s">
        <v>32</v>
      </c>
      <c r="C849" s="2" t="str">
        <f>_xlfn.XLOOKUP(A849,'Customer Data'!B849,'Customer Data'!M849)</f>
        <v>HDMI Cable</v>
      </c>
      <c r="D849" s="2" t="s">
        <v>25</v>
      </c>
      <c r="E849" s="2" t="str">
        <f t="shared" si="13"/>
        <v>Mechanical Keyboard - Electronics</v>
      </c>
    </row>
    <row r="850" spans="1:5">
      <c r="A850" s="2">
        <v>103975</v>
      </c>
      <c r="B850" s="2" t="s">
        <v>45</v>
      </c>
      <c r="C850" s="2" t="str">
        <f>_xlfn.XLOOKUP(A850,'Customer Data'!B850,'Customer Data'!M850)</f>
        <v>Laptop Stand</v>
      </c>
      <c r="D850" s="2" t="s">
        <v>25</v>
      </c>
      <c r="E850" s="2" t="str">
        <f t="shared" si="13"/>
        <v>HDMI Cable - Accessories</v>
      </c>
    </row>
    <row r="851" spans="1:5">
      <c r="A851" s="2">
        <v>106315</v>
      </c>
      <c r="B851" s="2" t="s">
        <v>32</v>
      </c>
      <c r="C851" s="2" t="str">
        <f>_xlfn.XLOOKUP(A851,'Customer Data'!B851,'Customer Data'!M851)</f>
        <v>Gaming Controller</v>
      </c>
      <c r="D851" s="2" t="s">
        <v>63</v>
      </c>
      <c r="E851" s="2" t="str">
        <f t="shared" si="13"/>
        <v>Laptop Stand - Accessories</v>
      </c>
    </row>
    <row r="852" spans="1:5">
      <c r="A852" s="2">
        <v>109971</v>
      </c>
      <c r="B852" s="2" t="s">
        <v>38</v>
      </c>
      <c r="C852" s="2" t="str">
        <f>_xlfn.XLOOKUP(A852,'Customer Data'!B852,'Customer Data'!M852)</f>
        <v>Phone Case</v>
      </c>
      <c r="D852" s="2" t="s">
        <v>25</v>
      </c>
      <c r="E852" s="2" t="str">
        <f t="shared" si="13"/>
        <v>Gaming Controller - Gaming</v>
      </c>
    </row>
    <row r="853" spans="1:5">
      <c r="A853" s="2">
        <v>102793</v>
      </c>
      <c r="B853" s="2" t="s">
        <v>32</v>
      </c>
      <c r="C853" s="2" t="str">
        <f>_xlfn.XLOOKUP(A853,'Customer Data'!B853,'Customer Data'!M853)</f>
        <v>Office Chair</v>
      </c>
      <c r="D853" s="2" t="s">
        <v>37</v>
      </c>
      <c r="E853" s="2" t="str">
        <f t="shared" si="13"/>
        <v>Phone Case - Accessories</v>
      </c>
    </row>
    <row r="854" spans="1:5">
      <c r="A854" s="2">
        <v>108319</v>
      </c>
      <c r="B854" s="2" t="s">
        <v>38</v>
      </c>
      <c r="C854" s="2" t="str">
        <f>_xlfn.XLOOKUP(A854,'Customer Data'!B854,'Customer Data'!M854)</f>
        <v>Webcam</v>
      </c>
      <c r="D854" s="2" t="s">
        <v>34</v>
      </c>
      <c r="E854" s="2" t="str">
        <f t="shared" si="13"/>
        <v>Office Chair - Home Office</v>
      </c>
    </row>
    <row r="855" spans="1:5">
      <c r="A855" s="2">
        <v>109255</v>
      </c>
      <c r="B855" s="2" t="s">
        <v>52</v>
      </c>
      <c r="C855" s="2" t="str">
        <f>_xlfn.XLOOKUP(A855,'Customer Data'!B855,'Customer Data'!M855)</f>
        <v>Wireless Mouse</v>
      </c>
      <c r="D855" s="2" t="s">
        <v>34</v>
      </c>
      <c r="E855" s="2" t="str">
        <f t="shared" si="13"/>
        <v>Webcam - Electronics</v>
      </c>
    </row>
    <row r="856" spans="1:5">
      <c r="A856" s="2">
        <v>108344</v>
      </c>
      <c r="B856" s="2" t="s">
        <v>32</v>
      </c>
      <c r="C856" s="2" t="str">
        <f>_xlfn.XLOOKUP(A856,'Customer Data'!B856,'Customer Data'!M856)</f>
        <v>Monitor</v>
      </c>
      <c r="D856" s="2" t="s">
        <v>34</v>
      </c>
      <c r="E856" s="2" t="str">
        <f t="shared" si="13"/>
        <v>Wireless Mouse - Electronics</v>
      </c>
    </row>
    <row r="857" spans="1:5">
      <c r="A857" s="2">
        <v>101683</v>
      </c>
      <c r="B857" s="2" t="s">
        <v>35</v>
      </c>
      <c r="C857" s="2" t="str">
        <f>_xlfn.XLOOKUP(A857,'Customer Data'!B857,'Customer Data'!M857)</f>
        <v>Laptop Stand</v>
      </c>
      <c r="D857" s="2" t="s">
        <v>25</v>
      </c>
      <c r="E857" s="2" t="str">
        <f t="shared" si="13"/>
        <v>Monitor - Electronics</v>
      </c>
    </row>
    <row r="858" spans="1:5">
      <c r="A858" s="2">
        <v>102178</v>
      </c>
      <c r="B858" s="2" t="s">
        <v>28</v>
      </c>
      <c r="C858" s="2" t="str">
        <f>_xlfn.XLOOKUP(A858,'Customer Data'!B858,'Customer Data'!M858)</f>
        <v>Desk Lamp</v>
      </c>
      <c r="D858" s="2" t="s">
        <v>37</v>
      </c>
      <c r="E858" s="2" t="str">
        <f t="shared" si="13"/>
        <v>Laptop Stand - Accessories</v>
      </c>
    </row>
    <row r="859" spans="1:5">
      <c r="A859" s="2">
        <v>107818</v>
      </c>
      <c r="B859" s="2" t="s">
        <v>55</v>
      </c>
      <c r="C859" s="2" t="str">
        <f>_xlfn.XLOOKUP(A859,'Customer Data'!B859,'Customer Data'!M859)</f>
        <v>Backpack</v>
      </c>
      <c r="D859" s="2" t="s">
        <v>25</v>
      </c>
      <c r="E859" s="2" t="str">
        <f t="shared" si="13"/>
        <v>Desk Lamp - Home Office</v>
      </c>
    </row>
    <row r="860" spans="1:5">
      <c r="A860" s="2">
        <v>104149</v>
      </c>
      <c r="B860" s="2" t="s">
        <v>45</v>
      </c>
      <c r="C860" s="2" t="str">
        <f>_xlfn.XLOOKUP(A860,'Customer Data'!B860,'Customer Data'!M860)</f>
        <v>Mechanical Keyboard</v>
      </c>
      <c r="D860" s="2" t="s">
        <v>34</v>
      </c>
      <c r="E860" s="2" t="str">
        <f t="shared" si="13"/>
        <v>Backpack - Accessories</v>
      </c>
    </row>
    <row r="861" spans="1:5">
      <c r="A861" s="2">
        <v>104721</v>
      </c>
      <c r="B861" s="2" t="s">
        <v>38</v>
      </c>
      <c r="C861" s="2" t="str">
        <f>_xlfn.XLOOKUP(A861,'Customer Data'!B861,'Customer Data'!M861)</f>
        <v>USB-C Cable</v>
      </c>
      <c r="D861" s="2" t="s">
        <v>25</v>
      </c>
      <c r="E861" s="2" t="str">
        <f t="shared" si="13"/>
        <v>Mechanical Keyboard - Electronics</v>
      </c>
    </row>
    <row r="862" spans="1:5">
      <c r="A862" s="2">
        <v>101220</v>
      </c>
      <c r="B862" s="2" t="s">
        <v>43</v>
      </c>
      <c r="C862" s="2" t="str">
        <f>_xlfn.XLOOKUP(A862,'Customer Data'!B862,'Customer Data'!M862)</f>
        <v>Headphones</v>
      </c>
      <c r="D862" s="2" t="s">
        <v>34</v>
      </c>
      <c r="E862" s="2" t="str">
        <f t="shared" si="13"/>
        <v>USB-C Cable - Accessories</v>
      </c>
    </row>
    <row r="863" spans="1:5">
      <c r="A863" s="2">
        <v>101637</v>
      </c>
      <c r="B863" s="2" t="s">
        <v>32</v>
      </c>
      <c r="C863" s="2" t="str">
        <f>_xlfn.XLOOKUP(A863,'Customer Data'!B863,'Customer Data'!M863)</f>
        <v>Phone Case</v>
      </c>
      <c r="D863" s="2" t="s">
        <v>25</v>
      </c>
      <c r="E863" s="2" t="str">
        <f t="shared" si="13"/>
        <v>Headphones - Electronics</v>
      </c>
    </row>
    <row r="864" spans="1:5">
      <c r="A864" s="2">
        <v>103764</v>
      </c>
      <c r="B864" s="2" t="s">
        <v>48</v>
      </c>
      <c r="C864" s="2" t="str">
        <f>_xlfn.XLOOKUP(A864,'Customer Data'!B864,'Customer Data'!M864)</f>
        <v>Microphone</v>
      </c>
      <c r="D864" s="2" t="s">
        <v>34</v>
      </c>
      <c r="E864" s="2" t="str">
        <f t="shared" si="13"/>
        <v>Phone Case - Accessories</v>
      </c>
    </row>
    <row r="865" spans="1:5">
      <c r="A865" s="2">
        <v>107070</v>
      </c>
      <c r="B865" s="2" t="s">
        <v>48</v>
      </c>
      <c r="C865" s="2" t="str">
        <f>_xlfn.XLOOKUP(A865,'Customer Data'!B865,'Customer Data'!M865)</f>
        <v>Headphones</v>
      </c>
      <c r="D865" s="2" t="s">
        <v>34</v>
      </c>
      <c r="E865" s="2" t="str">
        <f t="shared" si="13"/>
        <v>Microphone - Electronics</v>
      </c>
    </row>
    <row r="866" spans="1:5">
      <c r="A866" s="2">
        <v>109980</v>
      </c>
      <c r="B866" s="2" t="s">
        <v>48</v>
      </c>
      <c r="C866" s="2" t="str">
        <f>_xlfn.XLOOKUP(A866,'Customer Data'!B866,'Customer Data'!M866)</f>
        <v>Bluetooth Speaker</v>
      </c>
      <c r="D866" s="2" t="s">
        <v>34</v>
      </c>
      <c r="E866" s="2" t="str">
        <f t="shared" si="13"/>
        <v>Headphones - Electronics</v>
      </c>
    </row>
    <row r="867" spans="1:5">
      <c r="A867" s="2">
        <v>100769</v>
      </c>
      <c r="B867" s="2" t="s">
        <v>45</v>
      </c>
      <c r="C867" s="2" t="str">
        <f>_xlfn.XLOOKUP(A867,'Customer Data'!B867,'Customer Data'!M867)</f>
        <v>Laptop Stand</v>
      </c>
      <c r="D867" s="2" t="s">
        <v>25</v>
      </c>
      <c r="E867" s="2" t="str">
        <f t="shared" si="13"/>
        <v>Bluetooth Speaker - Electronics</v>
      </c>
    </row>
    <row r="868" spans="1:5">
      <c r="A868" s="2">
        <v>106324</v>
      </c>
      <c r="B868" s="2" t="s">
        <v>55</v>
      </c>
      <c r="C868" s="2" t="str">
        <f>_xlfn.XLOOKUP(A868,'Customer Data'!B868,'Customer Data'!M868)</f>
        <v>Fitness Band</v>
      </c>
      <c r="D868" s="2" t="s">
        <v>59</v>
      </c>
      <c r="E868" s="2" t="str">
        <f t="shared" si="13"/>
        <v>Laptop Stand - Accessories</v>
      </c>
    </row>
    <row r="869" spans="1:5">
      <c r="A869" s="2">
        <v>109244</v>
      </c>
      <c r="B869" s="2" t="s">
        <v>32</v>
      </c>
      <c r="C869" s="2" t="str">
        <f>_xlfn.XLOOKUP(A869,'Customer Data'!B869,'Customer Data'!M869)</f>
        <v>Headphones</v>
      </c>
      <c r="D869" s="2" t="s">
        <v>34</v>
      </c>
      <c r="E869" s="2" t="str">
        <f t="shared" si="13"/>
        <v>Fitness Band - Wearables</v>
      </c>
    </row>
    <row r="870" spans="1:5">
      <c r="A870" s="2">
        <v>103357</v>
      </c>
      <c r="B870" s="2" t="s">
        <v>48</v>
      </c>
      <c r="C870" s="2" t="str">
        <f>_xlfn.XLOOKUP(A870,'Customer Data'!B870,'Customer Data'!M870)</f>
        <v>HDMI Cable</v>
      </c>
      <c r="D870" s="2" t="s">
        <v>25</v>
      </c>
      <c r="E870" s="2" t="str">
        <f t="shared" si="13"/>
        <v>Headphones - Electronics</v>
      </c>
    </row>
    <row r="871" spans="1:5">
      <c r="A871" s="2">
        <v>108872</v>
      </c>
      <c r="B871" s="2" t="s">
        <v>43</v>
      </c>
      <c r="C871" s="2" t="str">
        <f>_xlfn.XLOOKUP(A871,'Customer Data'!B871,'Customer Data'!M871)</f>
        <v>Phone Case</v>
      </c>
      <c r="D871" s="2" t="s">
        <v>25</v>
      </c>
      <c r="E871" s="2" t="str">
        <f t="shared" si="13"/>
        <v>HDMI Cable - Accessories</v>
      </c>
    </row>
    <row r="872" spans="1:5">
      <c r="A872" s="2">
        <v>102921</v>
      </c>
      <c r="B872" s="2" t="s">
        <v>48</v>
      </c>
      <c r="C872" s="2" t="str">
        <f>_xlfn.XLOOKUP(A872,'Customer Data'!B872,'Customer Data'!M872)</f>
        <v>Desk Lamp</v>
      </c>
      <c r="D872" s="2" t="s">
        <v>37</v>
      </c>
      <c r="E872" s="2" t="str">
        <f t="shared" si="13"/>
        <v>Phone Case - Accessories</v>
      </c>
    </row>
    <row r="873" spans="1:5">
      <c r="A873" s="2">
        <v>105521</v>
      </c>
      <c r="B873" s="2" t="s">
        <v>52</v>
      </c>
      <c r="C873" s="2" t="str">
        <f>_xlfn.XLOOKUP(A873,'Customer Data'!B873,'Customer Data'!M873)</f>
        <v>HDMI Cable</v>
      </c>
      <c r="D873" s="2" t="s">
        <v>25</v>
      </c>
      <c r="E873" s="2" t="str">
        <f t="shared" si="13"/>
        <v>Desk Lamp - Home Office</v>
      </c>
    </row>
    <row r="874" spans="1:5">
      <c r="A874" s="2">
        <v>102138</v>
      </c>
      <c r="B874" s="2" t="s">
        <v>32</v>
      </c>
      <c r="C874" s="2" t="str">
        <f>_xlfn.XLOOKUP(A874,'Customer Data'!B874,'Customer Data'!M874)</f>
        <v>HDMI Cable</v>
      </c>
      <c r="D874" s="2" t="s">
        <v>25</v>
      </c>
      <c r="E874" s="2" t="str">
        <f t="shared" si="13"/>
        <v>HDMI Cable - Accessories</v>
      </c>
    </row>
    <row r="875" spans="1:5">
      <c r="A875" s="2">
        <v>108327</v>
      </c>
      <c r="B875" s="2" t="s">
        <v>52</v>
      </c>
      <c r="C875" s="2" t="str">
        <f>_xlfn.XLOOKUP(A875,'Customer Data'!B875,'Customer Data'!M875)</f>
        <v>Notebook</v>
      </c>
      <c r="D875" s="2" t="s">
        <v>54</v>
      </c>
      <c r="E875" s="2" t="str">
        <f t="shared" si="13"/>
        <v>HDMI Cable - Accessories</v>
      </c>
    </row>
    <row r="876" spans="1:5">
      <c r="A876" s="2">
        <v>101106</v>
      </c>
      <c r="B876" s="2" t="s">
        <v>28</v>
      </c>
      <c r="C876" s="2" t="str">
        <f>_xlfn.XLOOKUP(A876,'Customer Data'!B876,'Customer Data'!M876)</f>
        <v>Headphones</v>
      </c>
      <c r="D876" s="2" t="s">
        <v>34</v>
      </c>
      <c r="E876" s="2" t="str">
        <f t="shared" si="13"/>
        <v>Notebook - Stationery</v>
      </c>
    </row>
    <row r="877" spans="1:5">
      <c r="A877" s="2">
        <v>101695</v>
      </c>
      <c r="B877" s="2" t="s">
        <v>43</v>
      </c>
      <c r="C877" s="2" t="str">
        <f>_xlfn.XLOOKUP(A877,'Customer Data'!B877,'Customer Data'!M877)</f>
        <v>HDMI Cable</v>
      </c>
      <c r="D877" s="2" t="s">
        <v>25</v>
      </c>
      <c r="E877" s="2" t="str">
        <f t="shared" si="13"/>
        <v>Headphones - Electronics</v>
      </c>
    </row>
    <row r="878" spans="1:5">
      <c r="A878" s="2">
        <v>102038</v>
      </c>
      <c r="B878" s="2" t="s">
        <v>38</v>
      </c>
      <c r="C878" s="2" t="str">
        <f>_xlfn.XLOOKUP(A878,'Customer Data'!B878,'Customer Data'!M878)</f>
        <v>Webcam</v>
      </c>
      <c r="D878" s="2" t="s">
        <v>34</v>
      </c>
      <c r="E878" s="2" t="str">
        <f t="shared" si="13"/>
        <v>HDMI Cable - Accessories</v>
      </c>
    </row>
    <row r="879" spans="1:5">
      <c r="A879" s="2">
        <v>103664</v>
      </c>
      <c r="B879" s="2" t="s">
        <v>52</v>
      </c>
      <c r="C879" s="2" t="str">
        <f>_xlfn.XLOOKUP(A879,'Customer Data'!B879,'Customer Data'!M879)</f>
        <v>Fitness Band</v>
      </c>
      <c r="D879" s="2" t="s">
        <v>59</v>
      </c>
      <c r="E879" s="2" t="str">
        <f t="shared" si="13"/>
        <v>Webcam - Electronics</v>
      </c>
    </row>
    <row r="880" spans="1:5">
      <c r="A880" s="2">
        <v>100927</v>
      </c>
      <c r="B880" s="2" t="s">
        <v>22</v>
      </c>
      <c r="C880" s="2" t="str">
        <f>_xlfn.XLOOKUP(A880,'Customer Data'!B880,'Customer Data'!M880)</f>
        <v>Laptop Stand</v>
      </c>
      <c r="D880" s="2" t="s">
        <v>25</v>
      </c>
      <c r="E880" s="2" t="str">
        <f t="shared" si="13"/>
        <v>Fitness Band - Wearables</v>
      </c>
    </row>
    <row r="881" spans="1:5">
      <c r="A881" s="2">
        <v>104286</v>
      </c>
      <c r="B881" s="2" t="s">
        <v>32</v>
      </c>
      <c r="C881" s="2" t="str">
        <f>_xlfn.XLOOKUP(A881,'Customer Data'!B881,'Customer Data'!M881)</f>
        <v>Headphones</v>
      </c>
      <c r="D881" s="2" t="s">
        <v>34</v>
      </c>
      <c r="E881" s="2" t="str">
        <f t="shared" si="13"/>
        <v>Laptop Stand - Accessories</v>
      </c>
    </row>
    <row r="882" spans="1:5">
      <c r="A882" s="2">
        <v>103165</v>
      </c>
      <c r="B882" s="2" t="s">
        <v>45</v>
      </c>
      <c r="C882" s="2" t="str">
        <f>_xlfn.XLOOKUP(A882,'Customer Data'!B882,'Customer Data'!M882)</f>
        <v>Notebook</v>
      </c>
      <c r="D882" s="2" t="s">
        <v>54</v>
      </c>
      <c r="E882" s="2" t="str">
        <f t="shared" si="13"/>
        <v>Headphones - Electronics</v>
      </c>
    </row>
    <row r="883" spans="1:5">
      <c r="A883" s="2">
        <v>103823</v>
      </c>
      <c r="B883" s="2" t="s">
        <v>48</v>
      </c>
      <c r="C883" s="2" t="str">
        <f>_xlfn.XLOOKUP(A883,'Customer Data'!B883,'Customer Data'!M883)</f>
        <v>Phone Case</v>
      </c>
      <c r="D883" s="2" t="s">
        <v>25</v>
      </c>
      <c r="E883" s="2" t="str">
        <f t="shared" si="13"/>
        <v>Notebook - Stationery</v>
      </c>
    </row>
    <row r="884" spans="1:5">
      <c r="A884" s="2">
        <v>101673</v>
      </c>
      <c r="B884" s="2" t="s">
        <v>35</v>
      </c>
      <c r="C884" s="2" t="str">
        <f>_xlfn.XLOOKUP(A884,'Customer Data'!B884,'Customer Data'!M884)</f>
        <v>Power Bank</v>
      </c>
      <c r="D884" s="2" t="s">
        <v>34</v>
      </c>
      <c r="E884" s="2" t="str">
        <f t="shared" si="13"/>
        <v>Phone Case - Accessories</v>
      </c>
    </row>
    <row r="885" spans="1:5">
      <c r="A885" s="2">
        <v>101524</v>
      </c>
      <c r="B885" s="2" t="s">
        <v>32</v>
      </c>
      <c r="C885" s="2" t="str">
        <f>_xlfn.XLOOKUP(A885,'Customer Data'!B885,'Customer Data'!M885)</f>
        <v>Fitness Band</v>
      </c>
      <c r="D885" s="2" t="s">
        <v>59</v>
      </c>
      <c r="E885" s="2" t="str">
        <f t="shared" si="13"/>
        <v>Power Bank - Electronics</v>
      </c>
    </row>
    <row r="886" spans="1:5">
      <c r="A886" s="2">
        <v>107310</v>
      </c>
      <c r="B886" s="2" t="s">
        <v>45</v>
      </c>
      <c r="C886" s="2" t="str">
        <f>_xlfn.XLOOKUP(A886,'Customer Data'!B886,'Customer Data'!M886)</f>
        <v>Laptop Stand</v>
      </c>
      <c r="D886" s="2" t="s">
        <v>25</v>
      </c>
      <c r="E886" s="2" t="str">
        <f t="shared" si="13"/>
        <v>Fitness Band - Wearables</v>
      </c>
    </row>
    <row r="887" spans="1:5">
      <c r="A887" s="2">
        <v>102801</v>
      </c>
      <c r="B887" s="2" t="s">
        <v>32</v>
      </c>
      <c r="C887" s="2" t="str">
        <f>_xlfn.XLOOKUP(A887,'Customer Data'!B887,'Customer Data'!M887)</f>
        <v>Notebook</v>
      </c>
      <c r="D887" s="2" t="s">
        <v>54</v>
      </c>
      <c r="E887" s="2" t="str">
        <f t="shared" si="13"/>
        <v>Laptop Stand - Accessories</v>
      </c>
    </row>
    <row r="888" spans="1:5">
      <c r="A888" s="2">
        <v>105707</v>
      </c>
      <c r="B888" s="2" t="s">
        <v>28</v>
      </c>
      <c r="C888" s="2" t="str">
        <f>_xlfn.XLOOKUP(A888,'Customer Data'!B888,'Customer Data'!M888)</f>
        <v>Backpack</v>
      </c>
      <c r="D888" s="2" t="s">
        <v>25</v>
      </c>
      <c r="E888" s="2" t="str">
        <f t="shared" si="13"/>
        <v>Notebook - Stationery</v>
      </c>
    </row>
    <row r="889" spans="1:5">
      <c r="A889" s="2">
        <v>104442</v>
      </c>
      <c r="B889" s="2" t="s">
        <v>52</v>
      </c>
      <c r="C889" s="2" t="str">
        <f>_xlfn.XLOOKUP(A889,'Customer Data'!B889,'Customer Data'!M889)</f>
        <v>Phone Case</v>
      </c>
      <c r="D889" s="2" t="s">
        <v>25</v>
      </c>
      <c r="E889" s="2" t="str">
        <f t="shared" si="13"/>
        <v>Backpack - Accessories</v>
      </c>
    </row>
    <row r="890" spans="1:5">
      <c r="A890" s="2">
        <v>103090</v>
      </c>
      <c r="B890" s="2" t="s">
        <v>32</v>
      </c>
      <c r="C890" s="2" t="str">
        <f>_xlfn.XLOOKUP(A890,'Customer Data'!B890,'Customer Data'!M890)</f>
        <v>Phone Case</v>
      </c>
      <c r="D890" s="2" t="s">
        <v>25</v>
      </c>
      <c r="E890" s="2" t="str">
        <f t="shared" si="13"/>
        <v>Phone Case - Accessories</v>
      </c>
    </row>
    <row r="891" spans="1:5">
      <c r="A891" s="2">
        <v>100842</v>
      </c>
      <c r="B891" s="2" t="s">
        <v>45</v>
      </c>
      <c r="C891" s="2" t="str">
        <f>_xlfn.XLOOKUP(A891,'Customer Data'!B891,'Customer Data'!M891)</f>
        <v>Notebook</v>
      </c>
      <c r="D891" s="2" t="s">
        <v>54</v>
      </c>
      <c r="E891" s="2" t="str">
        <f t="shared" si="13"/>
        <v>Phone Case - Accessories</v>
      </c>
    </row>
    <row r="892" spans="1:5">
      <c r="A892" s="2">
        <v>105179</v>
      </c>
      <c r="B892" s="2" t="s">
        <v>32</v>
      </c>
      <c r="C892" s="2" t="str">
        <f>_xlfn.XLOOKUP(A892,'Customer Data'!B892,'Customer Data'!M892)</f>
        <v>Headphones</v>
      </c>
      <c r="D892" s="2" t="s">
        <v>34</v>
      </c>
      <c r="E892" s="2" t="str">
        <f t="shared" si="13"/>
        <v>Notebook - Stationery</v>
      </c>
    </row>
    <row r="893" spans="1:5">
      <c r="A893" s="2">
        <v>100502</v>
      </c>
      <c r="B893" s="2" t="s">
        <v>43</v>
      </c>
      <c r="C893" s="2" t="str">
        <f>_xlfn.XLOOKUP(A893,'Customer Data'!B893,'Customer Data'!M893)</f>
        <v>Gaming Controller</v>
      </c>
      <c r="D893" s="2" t="s">
        <v>63</v>
      </c>
      <c r="E893" s="2" t="str">
        <f t="shared" si="13"/>
        <v>Headphones - Electronics</v>
      </c>
    </row>
    <row r="894" spans="1:5">
      <c r="A894" s="2">
        <v>102675</v>
      </c>
      <c r="B894" s="2" t="s">
        <v>43</v>
      </c>
      <c r="C894" s="2" t="str">
        <f>_xlfn.XLOOKUP(A894,'Customer Data'!B894,'Customer Data'!M894)</f>
        <v>Monitor</v>
      </c>
      <c r="D894" s="2" t="s">
        <v>34</v>
      </c>
      <c r="E894" s="2" t="str">
        <f t="shared" si="13"/>
        <v>Gaming Controller - Gaming</v>
      </c>
    </row>
    <row r="895" spans="1:5">
      <c r="A895" s="2">
        <v>107940</v>
      </c>
      <c r="B895" s="2" t="s">
        <v>45</v>
      </c>
      <c r="C895" s="2" t="str">
        <f>_xlfn.XLOOKUP(A895,'Customer Data'!B895,'Customer Data'!M895)</f>
        <v>Smart Watch</v>
      </c>
      <c r="D895" s="2" t="s">
        <v>59</v>
      </c>
      <c r="E895" s="2" t="str">
        <f t="shared" si="13"/>
        <v>Monitor - Electronics</v>
      </c>
    </row>
    <row r="896" spans="1:5">
      <c r="A896" s="2">
        <v>101407</v>
      </c>
      <c r="B896" s="2" t="s">
        <v>28</v>
      </c>
      <c r="C896" s="2" t="str">
        <f>_xlfn.XLOOKUP(A896,'Customer Data'!B896,'Customer Data'!M896)</f>
        <v>Phone Case</v>
      </c>
      <c r="D896" s="2" t="s">
        <v>25</v>
      </c>
      <c r="E896" s="2" t="str">
        <f t="shared" si="13"/>
        <v>Smart Watch - Wearables</v>
      </c>
    </row>
    <row r="897" spans="1:5">
      <c r="A897" s="2">
        <v>101998</v>
      </c>
      <c r="B897" s="2" t="s">
        <v>45</v>
      </c>
      <c r="C897" s="2" t="str">
        <f>_xlfn.XLOOKUP(A897,'Customer Data'!B897,'Customer Data'!M897)</f>
        <v>Smart Watch</v>
      </c>
      <c r="D897" s="2" t="s">
        <v>59</v>
      </c>
      <c r="E897" s="2" t="str">
        <f t="shared" si="13"/>
        <v>Phone Case - Accessories</v>
      </c>
    </row>
    <row r="898" spans="1:5">
      <c r="A898" s="2">
        <v>108373</v>
      </c>
      <c r="B898" s="2" t="s">
        <v>32</v>
      </c>
      <c r="C898" s="2" t="str">
        <f>_xlfn.XLOOKUP(A898,'Customer Data'!B898,'Customer Data'!M898)</f>
        <v>Smart Watch</v>
      </c>
      <c r="D898" s="2" t="s">
        <v>59</v>
      </c>
      <c r="E898" s="2" t="str">
        <f t="shared" si="13"/>
        <v>Smart Watch - Wearables</v>
      </c>
    </row>
    <row r="899" spans="1:5">
      <c r="A899" s="2">
        <v>103033</v>
      </c>
      <c r="B899" s="2" t="s">
        <v>35</v>
      </c>
      <c r="C899" s="2" t="str">
        <f>_xlfn.XLOOKUP(A899,'Customer Data'!B899,'Customer Data'!M899)</f>
        <v>Mechanical Keyboard</v>
      </c>
      <c r="D899" s="2" t="s">
        <v>34</v>
      </c>
      <c r="E899" s="2" t="str">
        <f t="shared" ref="E899:E962" si="14">CONCATENATE(C898," - ",D898)</f>
        <v>Smart Watch - Wearables</v>
      </c>
    </row>
    <row r="900" spans="1:5">
      <c r="A900" s="2">
        <v>104868</v>
      </c>
      <c r="B900" s="2" t="s">
        <v>22</v>
      </c>
      <c r="C900" s="2" t="str">
        <f>_xlfn.XLOOKUP(A900,'Customer Data'!B900,'Customer Data'!M900)</f>
        <v>Phone Case</v>
      </c>
      <c r="D900" s="2" t="s">
        <v>25</v>
      </c>
      <c r="E900" s="2" t="str">
        <f t="shared" si="14"/>
        <v>Mechanical Keyboard - Electronics</v>
      </c>
    </row>
    <row r="901" spans="1:5">
      <c r="A901" s="2">
        <v>104644</v>
      </c>
      <c r="B901" s="2" t="s">
        <v>32</v>
      </c>
      <c r="C901" s="2" t="str">
        <f>_xlfn.XLOOKUP(A901,'Customer Data'!B901,'Customer Data'!M901)</f>
        <v>Phone Case</v>
      </c>
      <c r="D901" s="2" t="s">
        <v>25</v>
      </c>
      <c r="E901" s="2" t="str">
        <f t="shared" si="14"/>
        <v>Phone Case - Accessories</v>
      </c>
    </row>
    <row r="902" spans="1:5">
      <c r="A902" s="2">
        <v>101846</v>
      </c>
      <c r="B902" s="2" t="s">
        <v>32</v>
      </c>
      <c r="C902" s="2" t="str">
        <f>_xlfn.XLOOKUP(A902,'Customer Data'!B902,'Customer Data'!M902)</f>
        <v>Laptop Stand</v>
      </c>
      <c r="D902" s="2" t="s">
        <v>25</v>
      </c>
      <c r="E902" s="2" t="str">
        <f t="shared" si="14"/>
        <v>Phone Case - Accessories</v>
      </c>
    </row>
    <row r="903" spans="1:5">
      <c r="A903" s="2">
        <v>104019</v>
      </c>
      <c r="B903" s="2" t="s">
        <v>38</v>
      </c>
      <c r="C903" s="2" t="str">
        <f>_xlfn.XLOOKUP(A903,'Customer Data'!B903,'Customer Data'!M903)</f>
        <v>HDMI Cable</v>
      </c>
      <c r="D903" s="2" t="s">
        <v>25</v>
      </c>
      <c r="E903" s="2" t="str">
        <f t="shared" si="14"/>
        <v>Laptop Stand - Accessories</v>
      </c>
    </row>
    <row r="904" spans="1:5">
      <c r="A904" s="2">
        <v>108366</v>
      </c>
      <c r="B904" s="2" t="s">
        <v>32</v>
      </c>
      <c r="C904" s="2" t="str">
        <f>_xlfn.XLOOKUP(A904,'Customer Data'!B904,'Customer Data'!M904)</f>
        <v>USB-C Cable</v>
      </c>
      <c r="D904" s="2" t="s">
        <v>25</v>
      </c>
      <c r="E904" s="2" t="str">
        <f t="shared" si="14"/>
        <v>HDMI Cable - Accessories</v>
      </c>
    </row>
    <row r="905" spans="1:5">
      <c r="A905" s="2">
        <v>105382</v>
      </c>
      <c r="B905" s="2" t="s">
        <v>48</v>
      </c>
      <c r="C905" s="2" t="str">
        <f>_xlfn.XLOOKUP(A905,'Customer Data'!B905,'Customer Data'!M905)</f>
        <v>HDMI Cable</v>
      </c>
      <c r="D905" s="2" t="s">
        <v>25</v>
      </c>
      <c r="E905" s="2" t="str">
        <f t="shared" si="14"/>
        <v>USB-C Cable - Accessories</v>
      </c>
    </row>
    <row r="906" spans="1:5">
      <c r="A906" s="2">
        <v>109241</v>
      </c>
      <c r="B906" s="2" t="s">
        <v>32</v>
      </c>
      <c r="C906" s="2" t="str">
        <f>_xlfn.XLOOKUP(A906,'Customer Data'!B906,'Customer Data'!M906)</f>
        <v>Fitness Band</v>
      </c>
      <c r="D906" s="2" t="s">
        <v>59</v>
      </c>
      <c r="E906" s="2" t="str">
        <f t="shared" si="14"/>
        <v>HDMI Cable - Accessories</v>
      </c>
    </row>
    <row r="907" spans="1:5">
      <c r="A907" s="2">
        <v>109649</v>
      </c>
      <c r="B907" s="2" t="s">
        <v>52</v>
      </c>
      <c r="C907" s="2" t="str">
        <f>_xlfn.XLOOKUP(A907,'Customer Data'!B907,'Customer Data'!M907)</f>
        <v>Notebook</v>
      </c>
      <c r="D907" s="2" t="s">
        <v>54</v>
      </c>
      <c r="E907" s="2" t="str">
        <f t="shared" si="14"/>
        <v>Fitness Band - Wearables</v>
      </c>
    </row>
    <row r="908" spans="1:5">
      <c r="A908" s="2">
        <v>104122</v>
      </c>
      <c r="B908" s="2" t="s">
        <v>28</v>
      </c>
      <c r="C908" s="2" t="str">
        <f>_xlfn.XLOOKUP(A908,'Customer Data'!B908,'Customer Data'!M908)</f>
        <v>HDMI Cable</v>
      </c>
      <c r="D908" s="2" t="s">
        <v>25</v>
      </c>
      <c r="E908" s="2" t="str">
        <f t="shared" si="14"/>
        <v>Notebook - Stationery</v>
      </c>
    </row>
    <row r="909" spans="1:5">
      <c r="A909" s="2">
        <v>102703</v>
      </c>
      <c r="B909" s="2" t="s">
        <v>35</v>
      </c>
      <c r="C909" s="2" t="str">
        <f>_xlfn.XLOOKUP(A909,'Customer Data'!B909,'Customer Data'!M909)</f>
        <v>Webcam</v>
      </c>
      <c r="D909" s="2" t="s">
        <v>34</v>
      </c>
      <c r="E909" s="2" t="str">
        <f t="shared" si="14"/>
        <v>HDMI Cable - Accessories</v>
      </c>
    </row>
    <row r="910" spans="1:5">
      <c r="A910" s="2">
        <v>102127</v>
      </c>
      <c r="B910" s="2" t="s">
        <v>45</v>
      </c>
      <c r="C910" s="2" t="str">
        <f>_xlfn.XLOOKUP(A910,'Customer Data'!B910,'Customer Data'!M910)</f>
        <v>USB-C Cable</v>
      </c>
      <c r="D910" s="2" t="s">
        <v>25</v>
      </c>
      <c r="E910" s="2" t="str">
        <f t="shared" si="14"/>
        <v>Webcam - Electronics</v>
      </c>
    </row>
    <row r="911" spans="1:5">
      <c r="A911" s="2">
        <v>106176</v>
      </c>
      <c r="B911" s="2" t="s">
        <v>43</v>
      </c>
      <c r="C911" s="2" t="str">
        <f>_xlfn.XLOOKUP(A911,'Customer Data'!B911,'Customer Data'!M911)</f>
        <v>HDMI Cable</v>
      </c>
      <c r="D911" s="2" t="s">
        <v>25</v>
      </c>
      <c r="E911" s="2" t="str">
        <f t="shared" si="14"/>
        <v>USB-C Cable - Accessories</v>
      </c>
    </row>
    <row r="912" spans="1:5">
      <c r="A912" s="2">
        <v>106951</v>
      </c>
      <c r="B912" s="2" t="s">
        <v>55</v>
      </c>
      <c r="C912" s="2" t="str">
        <f>_xlfn.XLOOKUP(A912,'Customer Data'!B912,'Customer Data'!M912)</f>
        <v>Power Bank</v>
      </c>
      <c r="D912" s="2" t="s">
        <v>34</v>
      </c>
      <c r="E912" s="2" t="str">
        <f t="shared" si="14"/>
        <v>HDMI Cable - Accessories</v>
      </c>
    </row>
    <row r="913" spans="1:5">
      <c r="A913" s="2">
        <v>107765</v>
      </c>
      <c r="B913" s="2" t="s">
        <v>43</v>
      </c>
      <c r="C913" s="2" t="str">
        <f>_xlfn.XLOOKUP(A913,'Customer Data'!B913,'Customer Data'!M913)</f>
        <v>Power Bank</v>
      </c>
      <c r="D913" s="2" t="s">
        <v>34</v>
      </c>
      <c r="E913" s="2" t="str">
        <f t="shared" si="14"/>
        <v>Power Bank - Electronics</v>
      </c>
    </row>
    <row r="914" spans="1:5">
      <c r="A914" s="2">
        <v>102040</v>
      </c>
      <c r="B914" s="2" t="s">
        <v>52</v>
      </c>
      <c r="C914" s="2" t="str">
        <f>_xlfn.XLOOKUP(A914,'Customer Data'!B914,'Customer Data'!M914)</f>
        <v>Phone Case</v>
      </c>
      <c r="D914" s="2" t="s">
        <v>25</v>
      </c>
      <c r="E914" s="2" t="str">
        <f t="shared" si="14"/>
        <v>Power Bank - Electronics</v>
      </c>
    </row>
    <row r="915" spans="1:5">
      <c r="A915" s="2">
        <v>106633</v>
      </c>
      <c r="B915" s="2" t="s">
        <v>32</v>
      </c>
      <c r="C915" s="2" t="str">
        <f>_xlfn.XLOOKUP(A915,'Customer Data'!B915,'Customer Data'!M915)</f>
        <v>USB-C Cable</v>
      </c>
      <c r="D915" s="2" t="s">
        <v>25</v>
      </c>
      <c r="E915" s="2" t="str">
        <f t="shared" si="14"/>
        <v>Phone Case - Accessories</v>
      </c>
    </row>
    <row r="916" spans="1:5">
      <c r="A916" s="2">
        <v>106811</v>
      </c>
      <c r="B916" s="2" t="s">
        <v>28</v>
      </c>
      <c r="C916" s="2" t="str">
        <f>_xlfn.XLOOKUP(A916,'Customer Data'!B916,'Customer Data'!M916)</f>
        <v>Webcam</v>
      </c>
      <c r="D916" s="2" t="s">
        <v>34</v>
      </c>
      <c r="E916" s="2" t="str">
        <f t="shared" si="14"/>
        <v>USB-C Cable - Accessories</v>
      </c>
    </row>
    <row r="917" spans="1:5">
      <c r="A917" s="2">
        <v>104932</v>
      </c>
      <c r="B917" s="2" t="s">
        <v>38</v>
      </c>
      <c r="C917" s="2" t="str">
        <f>_xlfn.XLOOKUP(A917,'Customer Data'!B917,'Customer Data'!M917)</f>
        <v>Fitness Band</v>
      </c>
      <c r="D917" s="2" t="s">
        <v>59</v>
      </c>
      <c r="E917" s="2" t="str">
        <f t="shared" si="14"/>
        <v>Webcam - Electronics</v>
      </c>
    </row>
    <row r="918" spans="1:5">
      <c r="A918" s="2">
        <v>106858</v>
      </c>
      <c r="B918" s="2" t="s">
        <v>35</v>
      </c>
      <c r="C918" s="2" t="str">
        <f>_xlfn.XLOOKUP(A918,'Customer Data'!B918,'Customer Data'!M918)</f>
        <v>HDMI Cable</v>
      </c>
      <c r="D918" s="2" t="s">
        <v>25</v>
      </c>
      <c r="E918" s="2" t="str">
        <f t="shared" si="14"/>
        <v>Fitness Band - Wearables</v>
      </c>
    </row>
    <row r="919" spans="1:5">
      <c r="A919" s="2">
        <v>104910</v>
      </c>
      <c r="B919" s="2" t="s">
        <v>55</v>
      </c>
      <c r="C919" s="2" t="str">
        <f>_xlfn.XLOOKUP(A919,'Customer Data'!B919,'Customer Data'!M919)</f>
        <v>Mechanical Keyboard</v>
      </c>
      <c r="D919" s="2" t="s">
        <v>34</v>
      </c>
      <c r="E919" s="2" t="str">
        <f t="shared" si="14"/>
        <v>HDMI Cable - Accessories</v>
      </c>
    </row>
    <row r="920" spans="1:5">
      <c r="A920" s="2">
        <v>107999</v>
      </c>
      <c r="B920" s="2" t="s">
        <v>55</v>
      </c>
      <c r="C920" s="2" t="str">
        <f>_xlfn.XLOOKUP(A920,'Customer Data'!B920,'Customer Data'!M920)</f>
        <v>HDMI Cable</v>
      </c>
      <c r="D920" s="2" t="s">
        <v>25</v>
      </c>
      <c r="E920" s="2" t="str">
        <f t="shared" si="14"/>
        <v>Mechanical Keyboard - Electronics</v>
      </c>
    </row>
    <row r="921" spans="1:5">
      <c r="A921" s="2">
        <v>103050</v>
      </c>
      <c r="B921" s="2" t="s">
        <v>38</v>
      </c>
      <c r="C921" s="2" t="str">
        <f>_xlfn.XLOOKUP(A921,'Customer Data'!B921,'Customer Data'!M921)</f>
        <v>Phone Case</v>
      </c>
      <c r="D921" s="2" t="s">
        <v>25</v>
      </c>
      <c r="E921" s="2" t="str">
        <f t="shared" si="14"/>
        <v>HDMI Cable - Accessories</v>
      </c>
    </row>
    <row r="922" spans="1:5">
      <c r="A922" s="2">
        <v>102544</v>
      </c>
      <c r="B922" s="2" t="s">
        <v>28</v>
      </c>
      <c r="C922" s="2" t="str">
        <f>_xlfn.XLOOKUP(A922,'Customer Data'!B922,'Customer Data'!M922)</f>
        <v>Monitor</v>
      </c>
      <c r="D922" s="2" t="s">
        <v>34</v>
      </c>
      <c r="E922" s="2" t="str">
        <f t="shared" si="14"/>
        <v>Phone Case - Accessories</v>
      </c>
    </row>
    <row r="923" spans="1:5">
      <c r="A923" s="2">
        <v>106150</v>
      </c>
      <c r="B923" s="2" t="s">
        <v>38</v>
      </c>
      <c r="C923" s="2" t="str">
        <f>_xlfn.XLOOKUP(A923,'Customer Data'!B923,'Customer Data'!M923)</f>
        <v>HDMI Cable</v>
      </c>
      <c r="D923" s="2" t="s">
        <v>25</v>
      </c>
      <c r="E923" s="2" t="str">
        <f t="shared" si="14"/>
        <v>Monitor - Electronics</v>
      </c>
    </row>
    <row r="924" spans="1:5">
      <c r="A924" s="2">
        <v>103207</v>
      </c>
      <c r="B924" s="2" t="s">
        <v>45</v>
      </c>
      <c r="C924" s="2" t="str">
        <f>_xlfn.XLOOKUP(A924,'Customer Data'!B924,'Customer Data'!M924)</f>
        <v>Smart Watch</v>
      </c>
      <c r="D924" s="2" t="s">
        <v>59</v>
      </c>
      <c r="E924" s="2" t="str">
        <f t="shared" si="14"/>
        <v>HDMI Cable - Accessories</v>
      </c>
    </row>
    <row r="925" spans="1:5">
      <c r="A925" s="2">
        <v>105057</v>
      </c>
      <c r="B925" s="2" t="s">
        <v>32</v>
      </c>
      <c r="C925" s="2" t="str">
        <f>_xlfn.XLOOKUP(A925,'Customer Data'!B925,'Customer Data'!M925)</f>
        <v>HDMI Cable</v>
      </c>
      <c r="D925" s="2" t="s">
        <v>25</v>
      </c>
      <c r="E925" s="2" t="str">
        <f t="shared" si="14"/>
        <v>Smart Watch - Wearables</v>
      </c>
    </row>
    <row r="926" spans="1:5">
      <c r="A926" s="2">
        <v>102519</v>
      </c>
      <c r="B926" s="2" t="s">
        <v>45</v>
      </c>
      <c r="C926" s="2" t="str">
        <f>_xlfn.XLOOKUP(A926,'Customer Data'!B926,'Customer Data'!M926)</f>
        <v>USB-C Cable</v>
      </c>
      <c r="D926" s="2" t="s">
        <v>25</v>
      </c>
      <c r="E926" s="2" t="str">
        <f t="shared" si="14"/>
        <v>HDMI Cable - Accessories</v>
      </c>
    </row>
    <row r="927" spans="1:5">
      <c r="A927" s="2">
        <v>102437</v>
      </c>
      <c r="B927" s="2" t="s">
        <v>32</v>
      </c>
      <c r="C927" s="2" t="str">
        <f>_xlfn.XLOOKUP(A927,'Customer Data'!B927,'Customer Data'!M927)</f>
        <v>HDMI Cable</v>
      </c>
      <c r="D927" s="2" t="s">
        <v>25</v>
      </c>
      <c r="E927" s="2" t="str">
        <f t="shared" si="14"/>
        <v>USB-C Cable - Accessories</v>
      </c>
    </row>
    <row r="928" spans="1:5">
      <c r="A928" s="2">
        <v>106393</v>
      </c>
      <c r="B928" s="2" t="s">
        <v>38</v>
      </c>
      <c r="C928" s="2" t="str">
        <f>_xlfn.XLOOKUP(A928,'Customer Data'!B928,'Customer Data'!M928)</f>
        <v>HDMI Cable</v>
      </c>
      <c r="D928" s="2" t="s">
        <v>25</v>
      </c>
      <c r="E928" s="2" t="str">
        <f t="shared" si="14"/>
        <v>HDMI Cable - Accessories</v>
      </c>
    </row>
    <row r="929" spans="1:5">
      <c r="A929" s="2">
        <v>102808</v>
      </c>
      <c r="B929" s="2" t="s">
        <v>45</v>
      </c>
      <c r="C929" s="2" t="str">
        <f>_xlfn.XLOOKUP(A929,'Customer Data'!B929,'Customer Data'!M929)</f>
        <v>Desk Lamp</v>
      </c>
      <c r="D929" s="2" t="s">
        <v>37</v>
      </c>
      <c r="E929" s="2" t="str">
        <f t="shared" si="14"/>
        <v>HDMI Cable - Accessories</v>
      </c>
    </row>
    <row r="930" spans="1:5">
      <c r="A930" s="2">
        <v>109761</v>
      </c>
      <c r="B930" s="2" t="s">
        <v>45</v>
      </c>
      <c r="C930" s="2" t="str">
        <f>_xlfn.XLOOKUP(A930,'Customer Data'!B930,'Customer Data'!M930)</f>
        <v>Notebook</v>
      </c>
      <c r="D930" s="2" t="s">
        <v>54</v>
      </c>
      <c r="E930" s="2" t="str">
        <f t="shared" si="14"/>
        <v>Desk Lamp - Home Office</v>
      </c>
    </row>
    <row r="931" spans="1:5">
      <c r="A931" s="2">
        <v>108151</v>
      </c>
      <c r="B931" s="2" t="s">
        <v>38</v>
      </c>
      <c r="C931" s="2" t="str">
        <f>_xlfn.XLOOKUP(A931,'Customer Data'!B931,'Customer Data'!M931)</f>
        <v>Backpack</v>
      </c>
      <c r="D931" s="2" t="s">
        <v>25</v>
      </c>
      <c r="E931" s="2" t="str">
        <f t="shared" si="14"/>
        <v>Notebook - Stationery</v>
      </c>
    </row>
    <row r="932" spans="1:5">
      <c r="A932" s="2">
        <v>104200</v>
      </c>
      <c r="B932" s="2" t="s">
        <v>43</v>
      </c>
      <c r="C932" s="2" t="str">
        <f>_xlfn.XLOOKUP(A932,'Customer Data'!B932,'Customer Data'!M932)</f>
        <v>Gaming Controller</v>
      </c>
      <c r="D932" s="2" t="s">
        <v>63</v>
      </c>
      <c r="E932" s="2" t="str">
        <f t="shared" si="14"/>
        <v>Backpack - Accessories</v>
      </c>
    </row>
    <row r="933" spans="1:5">
      <c r="A933" s="2">
        <v>102428</v>
      </c>
      <c r="B933" s="2" t="s">
        <v>32</v>
      </c>
      <c r="C933" s="2" t="str">
        <f>_xlfn.XLOOKUP(A933,'Customer Data'!B933,'Customer Data'!M933)</f>
        <v>Phone Case</v>
      </c>
      <c r="D933" s="2" t="s">
        <v>25</v>
      </c>
      <c r="E933" s="2" t="str">
        <f t="shared" si="14"/>
        <v>Gaming Controller - Gaming</v>
      </c>
    </row>
    <row r="934" spans="1:5">
      <c r="A934" s="2">
        <v>103367</v>
      </c>
      <c r="B934" s="2" t="s">
        <v>32</v>
      </c>
      <c r="C934" s="2" t="str">
        <f>_xlfn.XLOOKUP(A934,'Customer Data'!B934,'Customer Data'!M934)</f>
        <v>Phone Case</v>
      </c>
      <c r="D934" s="2" t="s">
        <v>25</v>
      </c>
      <c r="E934" s="2" t="str">
        <f t="shared" si="14"/>
        <v>Phone Case - Accessories</v>
      </c>
    </row>
    <row r="935" spans="1:5">
      <c r="A935" s="2">
        <v>104469</v>
      </c>
      <c r="B935" s="2" t="s">
        <v>35</v>
      </c>
      <c r="C935" s="2" t="str">
        <f>_xlfn.XLOOKUP(A935,'Customer Data'!B935,'Customer Data'!M935)</f>
        <v>Webcam</v>
      </c>
      <c r="D935" s="2" t="s">
        <v>34</v>
      </c>
      <c r="E935" s="2" t="str">
        <f t="shared" si="14"/>
        <v>Phone Case - Accessories</v>
      </c>
    </row>
    <row r="936" spans="1:5">
      <c r="A936" s="2">
        <v>105801</v>
      </c>
      <c r="B936" s="2" t="s">
        <v>32</v>
      </c>
      <c r="C936" s="2" t="str">
        <f>_xlfn.XLOOKUP(A936,'Customer Data'!B936,'Customer Data'!M936)</f>
        <v>USB-C Cable</v>
      </c>
      <c r="D936" s="2" t="s">
        <v>25</v>
      </c>
      <c r="E936" s="2" t="str">
        <f t="shared" si="14"/>
        <v>Webcam - Electronics</v>
      </c>
    </row>
    <row r="937" spans="1:5">
      <c r="A937" s="2">
        <v>103584</v>
      </c>
      <c r="B937" s="2" t="s">
        <v>32</v>
      </c>
      <c r="C937" s="2" t="str">
        <f>_xlfn.XLOOKUP(A937,'Customer Data'!B937,'Customer Data'!M937)</f>
        <v>Laptop Stand</v>
      </c>
      <c r="D937" s="2" t="s">
        <v>25</v>
      </c>
      <c r="E937" s="2" t="str">
        <f t="shared" si="14"/>
        <v>USB-C Cable - Accessories</v>
      </c>
    </row>
    <row r="938" spans="1:5">
      <c r="A938" s="2">
        <v>103536</v>
      </c>
      <c r="B938" s="2" t="s">
        <v>32</v>
      </c>
      <c r="C938" s="2" t="str">
        <f>_xlfn.XLOOKUP(A938,'Customer Data'!B938,'Customer Data'!M938)</f>
        <v>Notebook</v>
      </c>
      <c r="D938" s="2" t="s">
        <v>54</v>
      </c>
      <c r="E938" s="2" t="str">
        <f t="shared" si="14"/>
        <v>Laptop Stand - Accessories</v>
      </c>
    </row>
    <row r="939" spans="1:5">
      <c r="A939" s="2">
        <v>104959</v>
      </c>
      <c r="B939" s="2" t="s">
        <v>43</v>
      </c>
      <c r="C939" s="2" t="str">
        <f>_xlfn.XLOOKUP(A939,'Customer Data'!B939,'Customer Data'!M939)</f>
        <v>Wireless Mouse</v>
      </c>
      <c r="D939" s="2" t="s">
        <v>34</v>
      </c>
      <c r="E939" s="2" t="str">
        <f t="shared" si="14"/>
        <v>Notebook - Stationery</v>
      </c>
    </row>
    <row r="940" spans="1:5">
      <c r="A940" s="2">
        <v>101119</v>
      </c>
      <c r="B940" s="2" t="s">
        <v>55</v>
      </c>
      <c r="C940" s="2" t="str">
        <f>_xlfn.XLOOKUP(A940,'Customer Data'!B940,'Customer Data'!M940)</f>
        <v>Notebook</v>
      </c>
      <c r="D940" s="2" t="s">
        <v>54</v>
      </c>
      <c r="E940" s="2" t="str">
        <f t="shared" si="14"/>
        <v>Wireless Mouse - Electronics</v>
      </c>
    </row>
    <row r="941" spans="1:5">
      <c r="A941" s="2">
        <v>100376</v>
      </c>
      <c r="B941" s="2" t="s">
        <v>38</v>
      </c>
      <c r="C941" s="2" t="str">
        <f>_xlfn.XLOOKUP(A941,'Customer Data'!B941,'Customer Data'!M941)</f>
        <v>Microphone</v>
      </c>
      <c r="D941" s="2" t="s">
        <v>34</v>
      </c>
      <c r="E941" s="2" t="str">
        <f t="shared" si="14"/>
        <v>Notebook - Stationery</v>
      </c>
    </row>
    <row r="942" spans="1:5">
      <c r="A942" s="2">
        <v>104951</v>
      </c>
      <c r="B942" s="2" t="s">
        <v>32</v>
      </c>
      <c r="C942" s="2" t="str">
        <f>_xlfn.XLOOKUP(A942,'Customer Data'!B942,'Customer Data'!M942)</f>
        <v>Power Bank</v>
      </c>
      <c r="D942" s="2" t="s">
        <v>34</v>
      </c>
      <c r="E942" s="2" t="str">
        <f t="shared" si="14"/>
        <v>Microphone - Electronics</v>
      </c>
    </row>
    <row r="943" spans="1:5">
      <c r="A943" s="2">
        <v>107168</v>
      </c>
      <c r="B943" s="2" t="s">
        <v>28</v>
      </c>
      <c r="C943" s="2" t="str">
        <f>_xlfn.XLOOKUP(A943,'Customer Data'!B943,'Customer Data'!M943)</f>
        <v>Laptop Stand</v>
      </c>
      <c r="D943" s="2" t="s">
        <v>25</v>
      </c>
      <c r="E943" s="2" t="str">
        <f t="shared" si="14"/>
        <v>Power Bank - Electronics</v>
      </c>
    </row>
    <row r="944" spans="1:5">
      <c r="A944" s="2">
        <v>105861</v>
      </c>
      <c r="B944" s="2" t="s">
        <v>45</v>
      </c>
      <c r="C944" s="2" t="str">
        <f>_xlfn.XLOOKUP(A944,'Customer Data'!B944,'Customer Data'!M944)</f>
        <v>HDMI Cable</v>
      </c>
      <c r="D944" s="2" t="s">
        <v>25</v>
      </c>
      <c r="E944" s="2" t="str">
        <f t="shared" si="14"/>
        <v>Laptop Stand - Accessories</v>
      </c>
    </row>
    <row r="945" spans="1:5">
      <c r="A945" s="2">
        <v>100763</v>
      </c>
      <c r="B945" s="2" t="s">
        <v>38</v>
      </c>
      <c r="C945" s="2" t="str">
        <f>_xlfn.XLOOKUP(A945,'Customer Data'!B945,'Customer Data'!M945)</f>
        <v>Tablet</v>
      </c>
      <c r="D945" s="2" t="s">
        <v>34</v>
      </c>
      <c r="E945" s="2" t="str">
        <f t="shared" si="14"/>
        <v>HDMI Cable - Accessories</v>
      </c>
    </row>
    <row r="946" spans="1:5">
      <c r="A946" s="2">
        <v>104325</v>
      </c>
      <c r="B946" s="2" t="s">
        <v>43</v>
      </c>
      <c r="C946" s="2" t="str">
        <f>_xlfn.XLOOKUP(A946,'Customer Data'!B946,'Customer Data'!M946)</f>
        <v>Backpack</v>
      </c>
      <c r="D946" s="2" t="s">
        <v>25</v>
      </c>
      <c r="E946" s="2" t="str">
        <f t="shared" si="14"/>
        <v>Tablet - Electronics</v>
      </c>
    </row>
    <row r="947" spans="1:5">
      <c r="A947" s="2">
        <v>105444</v>
      </c>
      <c r="B947" s="2" t="s">
        <v>48</v>
      </c>
      <c r="C947" s="2" t="str">
        <f>_xlfn.XLOOKUP(A947,'Customer Data'!B947,'Customer Data'!M947)</f>
        <v>Power Bank</v>
      </c>
      <c r="D947" s="2" t="s">
        <v>34</v>
      </c>
      <c r="E947" s="2" t="str">
        <f t="shared" si="14"/>
        <v>Backpack - Accessories</v>
      </c>
    </row>
    <row r="948" spans="1:5">
      <c r="A948" s="2">
        <v>107648</v>
      </c>
      <c r="B948" s="2" t="s">
        <v>45</v>
      </c>
      <c r="C948" s="2" t="str">
        <f>_xlfn.XLOOKUP(A948,'Customer Data'!B948,'Customer Data'!M948)</f>
        <v>Smart Watch</v>
      </c>
      <c r="D948" s="2" t="s">
        <v>59</v>
      </c>
      <c r="E948" s="2" t="str">
        <f t="shared" si="14"/>
        <v>Power Bank - Electronics</v>
      </c>
    </row>
    <row r="949" spans="1:5">
      <c r="A949" s="2">
        <v>106732</v>
      </c>
      <c r="B949" s="2" t="s">
        <v>45</v>
      </c>
      <c r="C949" s="2" t="str">
        <f>_xlfn.XLOOKUP(A949,'Customer Data'!B949,'Customer Data'!M949)</f>
        <v>HDMI Cable</v>
      </c>
      <c r="D949" s="2" t="s">
        <v>25</v>
      </c>
      <c r="E949" s="2" t="str">
        <f t="shared" si="14"/>
        <v>Smart Watch - Wearables</v>
      </c>
    </row>
    <row r="950" spans="1:5">
      <c r="A950" s="2">
        <v>106778</v>
      </c>
      <c r="B950" s="2" t="s">
        <v>45</v>
      </c>
      <c r="C950" s="2" t="str">
        <f>_xlfn.XLOOKUP(A950,'Customer Data'!B950,'Customer Data'!M950)</f>
        <v>Desk Lamp</v>
      </c>
      <c r="D950" s="2" t="s">
        <v>37</v>
      </c>
      <c r="E950" s="2" t="str">
        <f t="shared" si="14"/>
        <v>HDMI Cable - Accessories</v>
      </c>
    </row>
    <row r="951" spans="1:5">
      <c r="A951" s="2">
        <v>100053</v>
      </c>
      <c r="B951" s="2" t="s">
        <v>35</v>
      </c>
      <c r="C951" s="2" t="str">
        <f>_xlfn.XLOOKUP(A951,'Customer Data'!B951,'Customer Data'!M951)</f>
        <v>Power Bank</v>
      </c>
      <c r="D951" s="2" t="s">
        <v>34</v>
      </c>
      <c r="E951" s="2" t="str">
        <f t="shared" si="14"/>
        <v>Desk Lamp - Home Office</v>
      </c>
    </row>
    <row r="952" spans="1:5">
      <c r="A952" s="2">
        <v>104596</v>
      </c>
      <c r="B952" s="2" t="s">
        <v>43</v>
      </c>
      <c r="C952" s="2" t="str">
        <f>_xlfn.XLOOKUP(A952,'Customer Data'!B952,'Customer Data'!M952)</f>
        <v>Wireless Mouse</v>
      </c>
      <c r="D952" s="2" t="s">
        <v>34</v>
      </c>
      <c r="E952" s="2" t="str">
        <f t="shared" si="14"/>
        <v>Power Bank - Electronics</v>
      </c>
    </row>
    <row r="953" spans="1:5">
      <c r="A953" s="2">
        <v>109251</v>
      </c>
      <c r="B953" s="2" t="s">
        <v>38</v>
      </c>
      <c r="C953" s="2" t="str">
        <f>_xlfn.XLOOKUP(A953,'Customer Data'!B953,'Customer Data'!M953)</f>
        <v>Headphones</v>
      </c>
      <c r="D953" s="2" t="s">
        <v>34</v>
      </c>
      <c r="E953" s="2" t="str">
        <f t="shared" si="14"/>
        <v>Wireless Mouse - Electronics</v>
      </c>
    </row>
    <row r="954" spans="1:5">
      <c r="A954" s="2">
        <v>109494</v>
      </c>
      <c r="B954" s="2" t="s">
        <v>52</v>
      </c>
      <c r="C954" s="2" t="str">
        <f>_xlfn.XLOOKUP(A954,'Customer Data'!B954,'Customer Data'!M954)</f>
        <v>Bluetooth Speaker</v>
      </c>
      <c r="D954" s="2" t="s">
        <v>34</v>
      </c>
      <c r="E954" s="2" t="str">
        <f t="shared" si="14"/>
        <v>Headphones - Electronics</v>
      </c>
    </row>
    <row r="955" spans="1:5">
      <c r="A955" s="2">
        <v>107716</v>
      </c>
      <c r="B955" s="2" t="s">
        <v>32</v>
      </c>
      <c r="C955" s="2" t="str">
        <f>_xlfn.XLOOKUP(A955,'Customer Data'!B955,'Customer Data'!M955)</f>
        <v>Wireless Mouse</v>
      </c>
      <c r="D955" s="2" t="s">
        <v>34</v>
      </c>
      <c r="E955" s="2" t="str">
        <f t="shared" si="14"/>
        <v>Bluetooth Speaker - Electronics</v>
      </c>
    </row>
    <row r="956" spans="1:5">
      <c r="A956" s="2">
        <v>105870</v>
      </c>
      <c r="B956" s="2" t="s">
        <v>28</v>
      </c>
      <c r="C956" s="2" t="str">
        <f>_xlfn.XLOOKUP(A956,'Customer Data'!B956,'Customer Data'!M956)</f>
        <v>Headphones</v>
      </c>
      <c r="D956" s="2" t="s">
        <v>34</v>
      </c>
      <c r="E956" s="2" t="str">
        <f t="shared" si="14"/>
        <v>Wireless Mouse - Electronics</v>
      </c>
    </row>
    <row r="957" spans="1:5">
      <c r="A957" s="2">
        <v>108212</v>
      </c>
      <c r="B957" s="2" t="s">
        <v>45</v>
      </c>
      <c r="C957" s="2" t="str">
        <f>_xlfn.XLOOKUP(A957,'Customer Data'!B957,'Customer Data'!M957)</f>
        <v>Bluetooth Speaker</v>
      </c>
      <c r="D957" s="2" t="s">
        <v>34</v>
      </c>
      <c r="E957" s="2" t="str">
        <f t="shared" si="14"/>
        <v>Headphones - Electronics</v>
      </c>
    </row>
    <row r="958" spans="1:5">
      <c r="A958" s="2">
        <v>103601</v>
      </c>
      <c r="B958" s="2" t="s">
        <v>35</v>
      </c>
      <c r="C958" s="2" t="str">
        <f>_xlfn.XLOOKUP(A958,'Customer Data'!B958,'Customer Data'!M958)</f>
        <v>Notebook</v>
      </c>
      <c r="D958" s="2" t="s">
        <v>54</v>
      </c>
      <c r="E958" s="2" t="str">
        <f t="shared" si="14"/>
        <v>Bluetooth Speaker - Electronics</v>
      </c>
    </row>
    <row r="959" spans="1:5">
      <c r="A959" s="2">
        <v>104509</v>
      </c>
      <c r="B959" s="2" t="s">
        <v>38</v>
      </c>
      <c r="C959" s="2" t="str">
        <f>_xlfn.XLOOKUP(A959,'Customer Data'!B959,'Customer Data'!M959)</f>
        <v>Wireless Mouse</v>
      </c>
      <c r="D959" s="2" t="s">
        <v>34</v>
      </c>
      <c r="E959" s="2" t="str">
        <f t="shared" si="14"/>
        <v>Notebook - Stationery</v>
      </c>
    </row>
    <row r="960" spans="1:5">
      <c r="A960" s="2">
        <v>103751</v>
      </c>
      <c r="B960" s="2" t="s">
        <v>38</v>
      </c>
      <c r="C960" s="2" t="str">
        <f>_xlfn.XLOOKUP(A960,'Customer Data'!B960,'Customer Data'!M960)</f>
        <v>Notebook</v>
      </c>
      <c r="D960" s="2" t="s">
        <v>54</v>
      </c>
      <c r="E960" s="2" t="str">
        <f t="shared" si="14"/>
        <v>Wireless Mouse - Electronics</v>
      </c>
    </row>
    <row r="961" spans="1:5">
      <c r="A961" s="2">
        <v>100219</v>
      </c>
      <c r="B961" s="2" t="s">
        <v>45</v>
      </c>
      <c r="C961" s="2" t="str">
        <f>_xlfn.XLOOKUP(A961,'Customer Data'!B961,'Customer Data'!M961)</f>
        <v>Bluetooth Speaker</v>
      </c>
      <c r="D961" s="2" t="s">
        <v>34</v>
      </c>
      <c r="E961" s="2" t="str">
        <f t="shared" si="14"/>
        <v>Notebook - Stationery</v>
      </c>
    </row>
    <row r="962" spans="1:5">
      <c r="A962" s="2">
        <v>103311</v>
      </c>
      <c r="B962" s="2" t="s">
        <v>52</v>
      </c>
      <c r="C962" s="2" t="str">
        <f>_xlfn.XLOOKUP(A962,'Customer Data'!B962,'Customer Data'!M962)</f>
        <v>Wireless Mouse</v>
      </c>
      <c r="D962" s="2" t="s">
        <v>34</v>
      </c>
      <c r="E962" s="2" t="str">
        <f t="shared" si="14"/>
        <v>Bluetooth Speaker - Electronics</v>
      </c>
    </row>
    <row r="963" spans="1:5">
      <c r="A963" s="2">
        <v>106716</v>
      </c>
      <c r="B963" s="2" t="s">
        <v>55</v>
      </c>
      <c r="C963" s="2" t="str">
        <f>_xlfn.XLOOKUP(A963,'Customer Data'!B963,'Customer Data'!M963)</f>
        <v>Mechanical Keyboard</v>
      </c>
      <c r="D963" s="2" t="s">
        <v>34</v>
      </c>
      <c r="E963" s="2" t="str">
        <f t="shared" ref="E963:E1001" si="15">CONCATENATE(C962," - ",D962)</f>
        <v>Wireless Mouse - Electronics</v>
      </c>
    </row>
    <row r="964" spans="1:5">
      <c r="A964" s="2">
        <v>107164</v>
      </c>
      <c r="B964" s="2" t="s">
        <v>38</v>
      </c>
      <c r="C964" s="2" t="str">
        <f>_xlfn.XLOOKUP(A964,'Customer Data'!B964,'Customer Data'!M964)</f>
        <v>Phone Case</v>
      </c>
      <c r="D964" s="2" t="s">
        <v>25</v>
      </c>
      <c r="E964" s="2" t="str">
        <f t="shared" si="15"/>
        <v>Mechanical Keyboard - Electronics</v>
      </c>
    </row>
    <row r="965" spans="1:5">
      <c r="A965" s="2">
        <v>107451</v>
      </c>
      <c r="B965" s="2" t="s">
        <v>32</v>
      </c>
      <c r="C965" s="2" t="str">
        <f>_xlfn.XLOOKUP(A965,'Customer Data'!B965,'Customer Data'!M965)</f>
        <v>Mechanical Keyboard</v>
      </c>
      <c r="D965" s="2" t="s">
        <v>34</v>
      </c>
      <c r="E965" s="2" t="str">
        <f t="shared" si="15"/>
        <v>Phone Case - Accessories</v>
      </c>
    </row>
    <row r="966" spans="1:5">
      <c r="A966" s="2">
        <v>105613</v>
      </c>
      <c r="B966" s="2" t="s">
        <v>55</v>
      </c>
      <c r="C966" s="2" t="str">
        <f>_xlfn.XLOOKUP(A966,'Customer Data'!B966,'Customer Data'!M966)</f>
        <v>Backpack</v>
      </c>
      <c r="D966" s="2" t="s">
        <v>25</v>
      </c>
      <c r="E966" s="2" t="str">
        <f t="shared" si="15"/>
        <v>Mechanical Keyboard - Electronics</v>
      </c>
    </row>
    <row r="967" spans="1:5">
      <c r="A967" s="2">
        <v>102231</v>
      </c>
      <c r="B967" s="2" t="s">
        <v>45</v>
      </c>
      <c r="C967" s="2" t="str">
        <f>_xlfn.XLOOKUP(A967,'Customer Data'!B967,'Customer Data'!M967)</f>
        <v>Backpack</v>
      </c>
      <c r="D967" s="2" t="s">
        <v>25</v>
      </c>
      <c r="E967" s="2" t="str">
        <f t="shared" si="15"/>
        <v>Backpack - Accessories</v>
      </c>
    </row>
    <row r="968" spans="1:5">
      <c r="A968" s="2">
        <v>108470</v>
      </c>
      <c r="B968" s="2" t="s">
        <v>32</v>
      </c>
      <c r="C968" s="2" t="str">
        <f>_xlfn.XLOOKUP(A968,'Customer Data'!B968,'Customer Data'!M968)</f>
        <v>Wireless Mouse</v>
      </c>
      <c r="D968" s="2" t="s">
        <v>34</v>
      </c>
      <c r="E968" s="2" t="str">
        <f t="shared" si="15"/>
        <v>Backpack - Accessories</v>
      </c>
    </row>
    <row r="969" spans="1:5">
      <c r="A969" s="2">
        <v>107684</v>
      </c>
      <c r="B969" s="2" t="s">
        <v>32</v>
      </c>
      <c r="C969" s="2" t="str">
        <f>_xlfn.XLOOKUP(A969,'Customer Data'!B969,'Customer Data'!M969)</f>
        <v>Phone Case</v>
      </c>
      <c r="D969" s="2" t="s">
        <v>25</v>
      </c>
      <c r="E969" s="2" t="str">
        <f t="shared" si="15"/>
        <v>Wireless Mouse - Electronics</v>
      </c>
    </row>
    <row r="970" spans="1:5">
      <c r="A970" s="2">
        <v>102008</v>
      </c>
      <c r="B970" s="2" t="s">
        <v>32</v>
      </c>
      <c r="C970" s="2" t="str">
        <f>_xlfn.XLOOKUP(A970,'Customer Data'!B970,'Customer Data'!M970)</f>
        <v>Power Bank</v>
      </c>
      <c r="D970" s="2" t="s">
        <v>34</v>
      </c>
      <c r="E970" s="2" t="str">
        <f t="shared" si="15"/>
        <v>Phone Case - Accessories</v>
      </c>
    </row>
    <row r="971" spans="1:5">
      <c r="A971" s="2">
        <v>106776</v>
      </c>
      <c r="B971" s="2" t="s">
        <v>32</v>
      </c>
      <c r="C971" s="2" t="str">
        <f>_xlfn.XLOOKUP(A971,'Customer Data'!B971,'Customer Data'!M971)</f>
        <v>Office Chair</v>
      </c>
      <c r="D971" s="2" t="s">
        <v>37</v>
      </c>
      <c r="E971" s="2" t="str">
        <f t="shared" si="15"/>
        <v>Power Bank - Electronics</v>
      </c>
    </row>
    <row r="972" spans="1:5">
      <c r="A972" s="2">
        <v>102328</v>
      </c>
      <c r="B972" s="2" t="s">
        <v>43</v>
      </c>
      <c r="C972" s="2" t="str">
        <f>_xlfn.XLOOKUP(A972,'Customer Data'!B972,'Customer Data'!M972)</f>
        <v>Mechanical Keyboard</v>
      </c>
      <c r="D972" s="2" t="s">
        <v>34</v>
      </c>
      <c r="E972" s="2" t="str">
        <f t="shared" si="15"/>
        <v>Office Chair - Home Office</v>
      </c>
    </row>
    <row r="973" spans="1:5">
      <c r="A973" s="2">
        <v>100546</v>
      </c>
      <c r="B973" s="2" t="s">
        <v>45</v>
      </c>
      <c r="C973" s="2" t="str">
        <f>_xlfn.XLOOKUP(A973,'Customer Data'!B973,'Customer Data'!M973)</f>
        <v>HDMI Cable</v>
      </c>
      <c r="D973" s="2" t="s">
        <v>25</v>
      </c>
      <c r="E973" s="2" t="str">
        <f t="shared" si="15"/>
        <v>Mechanical Keyboard - Electronics</v>
      </c>
    </row>
    <row r="974" spans="1:5">
      <c r="A974" s="2">
        <v>100555</v>
      </c>
      <c r="B974" s="2" t="s">
        <v>48</v>
      </c>
      <c r="C974" s="2" t="str">
        <f>_xlfn.XLOOKUP(A974,'Customer Data'!B974,'Customer Data'!M974)</f>
        <v>Office Chair</v>
      </c>
      <c r="D974" s="2" t="s">
        <v>37</v>
      </c>
      <c r="E974" s="2" t="str">
        <f t="shared" si="15"/>
        <v>HDMI Cable - Accessories</v>
      </c>
    </row>
    <row r="975" spans="1:5">
      <c r="A975" s="2">
        <v>102657</v>
      </c>
      <c r="B975" s="2" t="s">
        <v>22</v>
      </c>
      <c r="C975" s="2" t="str">
        <f>_xlfn.XLOOKUP(A975,'Customer Data'!B975,'Customer Data'!M975)</f>
        <v>Gaming Controller</v>
      </c>
      <c r="D975" s="2" t="s">
        <v>63</v>
      </c>
      <c r="E975" s="2" t="str">
        <f t="shared" si="15"/>
        <v>Office Chair - Home Office</v>
      </c>
    </row>
    <row r="976" spans="1:5">
      <c r="A976" s="2">
        <v>102213</v>
      </c>
      <c r="B976" s="2" t="s">
        <v>48</v>
      </c>
      <c r="C976" s="2" t="str">
        <f>_xlfn.XLOOKUP(A976,'Customer Data'!B976,'Customer Data'!M976)</f>
        <v>USB-C Cable</v>
      </c>
      <c r="D976" s="2" t="s">
        <v>25</v>
      </c>
      <c r="E976" s="2" t="str">
        <f t="shared" si="15"/>
        <v>Gaming Controller - Gaming</v>
      </c>
    </row>
    <row r="977" spans="1:5">
      <c r="A977" s="2">
        <v>110000</v>
      </c>
      <c r="B977" s="2" t="s">
        <v>55</v>
      </c>
      <c r="C977" s="2" t="str">
        <f>_xlfn.XLOOKUP(A977,'Customer Data'!B977,'Customer Data'!M977)</f>
        <v>Wireless Mouse</v>
      </c>
      <c r="D977" s="2" t="s">
        <v>34</v>
      </c>
      <c r="E977" s="2" t="str">
        <f t="shared" si="15"/>
        <v>USB-C Cable - Accessories</v>
      </c>
    </row>
    <row r="978" spans="1:5">
      <c r="A978" s="2">
        <v>109524</v>
      </c>
      <c r="B978" s="2" t="s">
        <v>22</v>
      </c>
      <c r="C978" s="2" t="str">
        <f>_xlfn.XLOOKUP(A978,'Customer Data'!B978,'Customer Data'!M978)</f>
        <v>Power Bank</v>
      </c>
      <c r="D978" s="2" t="s">
        <v>34</v>
      </c>
      <c r="E978" s="2" t="str">
        <f t="shared" si="15"/>
        <v>Wireless Mouse - Electronics</v>
      </c>
    </row>
    <row r="979" spans="1:5">
      <c r="A979" s="2">
        <v>100080</v>
      </c>
      <c r="B979" s="2" t="s">
        <v>38</v>
      </c>
      <c r="C979" s="2" t="str">
        <f>_xlfn.XLOOKUP(A979,'Customer Data'!B979,'Customer Data'!M979)</f>
        <v>Gaming Controller</v>
      </c>
      <c r="D979" s="2" t="s">
        <v>63</v>
      </c>
      <c r="E979" s="2" t="str">
        <f t="shared" si="15"/>
        <v>Power Bank - Electronics</v>
      </c>
    </row>
    <row r="980" spans="1:5">
      <c r="A980" s="2">
        <v>109885</v>
      </c>
      <c r="B980" s="2" t="s">
        <v>22</v>
      </c>
      <c r="C980" s="2" t="str">
        <f>_xlfn.XLOOKUP(A980,'Customer Data'!B980,'Customer Data'!M980)</f>
        <v>Notebook</v>
      </c>
      <c r="D980" s="2" t="s">
        <v>54</v>
      </c>
      <c r="E980" s="2" t="str">
        <f t="shared" si="15"/>
        <v>Gaming Controller - Gaming</v>
      </c>
    </row>
    <row r="981" spans="1:5">
      <c r="A981" s="2">
        <v>109203</v>
      </c>
      <c r="B981" s="2" t="s">
        <v>55</v>
      </c>
      <c r="C981" s="2" t="str">
        <f>_xlfn.XLOOKUP(A981,'Customer Data'!B981,'Customer Data'!M981)</f>
        <v>Wireless Mouse</v>
      </c>
      <c r="D981" s="2" t="s">
        <v>34</v>
      </c>
      <c r="E981" s="2" t="str">
        <f t="shared" si="15"/>
        <v>Notebook - Stationery</v>
      </c>
    </row>
    <row r="982" spans="1:5">
      <c r="A982" s="2">
        <v>109543</v>
      </c>
      <c r="B982" s="2" t="s">
        <v>48</v>
      </c>
      <c r="C982" s="2" t="str">
        <f>_xlfn.XLOOKUP(A982,'Customer Data'!B982,'Customer Data'!M982)</f>
        <v>HDMI Cable</v>
      </c>
      <c r="D982" s="2" t="s">
        <v>25</v>
      </c>
      <c r="E982" s="2" t="str">
        <f t="shared" si="15"/>
        <v>Wireless Mouse - Electronics</v>
      </c>
    </row>
    <row r="983" spans="1:5">
      <c r="A983" s="2">
        <v>108174</v>
      </c>
      <c r="B983" s="2" t="s">
        <v>43</v>
      </c>
      <c r="C983" s="2" t="str">
        <f>_xlfn.XLOOKUP(A983,'Customer Data'!B983,'Customer Data'!M983)</f>
        <v>Desk Lamp</v>
      </c>
      <c r="D983" s="2" t="s">
        <v>37</v>
      </c>
      <c r="E983" s="2" t="str">
        <f t="shared" si="15"/>
        <v>HDMI Cable - Accessories</v>
      </c>
    </row>
    <row r="984" spans="1:5">
      <c r="A984" s="2">
        <v>101194</v>
      </c>
      <c r="B984" s="2" t="s">
        <v>43</v>
      </c>
      <c r="C984" s="2" t="str">
        <f>_xlfn.XLOOKUP(A984,'Customer Data'!B984,'Customer Data'!M984)</f>
        <v>USB-C Cable</v>
      </c>
      <c r="D984" s="2" t="s">
        <v>25</v>
      </c>
      <c r="E984" s="2" t="str">
        <f t="shared" si="15"/>
        <v>Desk Lamp - Home Office</v>
      </c>
    </row>
    <row r="985" spans="1:5">
      <c r="A985" s="2">
        <v>107276</v>
      </c>
      <c r="B985" s="2" t="s">
        <v>43</v>
      </c>
      <c r="C985" s="2" t="str">
        <f>_xlfn.XLOOKUP(A985,'Customer Data'!B985,'Customer Data'!M985)</f>
        <v>Headphones</v>
      </c>
      <c r="D985" s="2" t="s">
        <v>34</v>
      </c>
      <c r="E985" s="2" t="str">
        <f t="shared" si="15"/>
        <v>USB-C Cable - Accessories</v>
      </c>
    </row>
    <row r="986" spans="1:5">
      <c r="A986" s="2">
        <v>107567</v>
      </c>
      <c r="B986" s="2" t="s">
        <v>43</v>
      </c>
      <c r="C986" s="2" t="str">
        <f>_xlfn.XLOOKUP(A986,'Customer Data'!B986,'Customer Data'!M986)</f>
        <v>Notebook</v>
      </c>
      <c r="D986" s="2" t="s">
        <v>54</v>
      </c>
      <c r="E986" s="2" t="str">
        <f t="shared" si="15"/>
        <v>Headphones - Electronics</v>
      </c>
    </row>
    <row r="987" spans="1:5">
      <c r="A987" s="2">
        <v>105566</v>
      </c>
      <c r="B987" s="2" t="s">
        <v>43</v>
      </c>
      <c r="C987" s="2" t="str">
        <f>_xlfn.XLOOKUP(A987,'Customer Data'!B987,'Customer Data'!M987)</f>
        <v>Desk Lamp</v>
      </c>
      <c r="D987" s="2" t="s">
        <v>37</v>
      </c>
      <c r="E987" s="2" t="str">
        <f t="shared" si="15"/>
        <v>Notebook - Stationery</v>
      </c>
    </row>
    <row r="988" spans="1:5">
      <c r="A988" s="2">
        <v>101019</v>
      </c>
      <c r="B988" s="2" t="s">
        <v>38</v>
      </c>
      <c r="C988" s="2" t="str">
        <f>_xlfn.XLOOKUP(A988,'Customer Data'!B988,'Customer Data'!M988)</f>
        <v>USB-C Cable</v>
      </c>
      <c r="D988" s="2" t="s">
        <v>25</v>
      </c>
      <c r="E988" s="2" t="str">
        <f t="shared" si="15"/>
        <v>Desk Lamp - Home Office</v>
      </c>
    </row>
    <row r="989" spans="1:5">
      <c r="A989" s="2">
        <v>102539</v>
      </c>
      <c r="B989" s="2" t="s">
        <v>32</v>
      </c>
      <c r="C989" s="2" t="str">
        <f>_xlfn.XLOOKUP(A989,'Customer Data'!B989,'Customer Data'!M989)</f>
        <v>Wireless Mouse</v>
      </c>
      <c r="D989" s="2" t="s">
        <v>34</v>
      </c>
      <c r="E989" s="2" t="str">
        <f t="shared" si="15"/>
        <v>USB-C Cable - Accessories</v>
      </c>
    </row>
    <row r="990" spans="1:5">
      <c r="A990" s="2">
        <v>105171</v>
      </c>
      <c r="B990" s="2" t="s">
        <v>43</v>
      </c>
      <c r="C990" s="2" t="str">
        <f>_xlfn.XLOOKUP(A990,'Customer Data'!B990,'Customer Data'!M990)</f>
        <v>Power Bank</v>
      </c>
      <c r="D990" s="2" t="s">
        <v>34</v>
      </c>
      <c r="E990" s="2" t="str">
        <f t="shared" si="15"/>
        <v>Wireless Mouse - Electronics</v>
      </c>
    </row>
    <row r="991" spans="1:5">
      <c r="A991" s="2">
        <v>101636</v>
      </c>
      <c r="B991" s="2" t="s">
        <v>32</v>
      </c>
      <c r="C991" s="2" t="str">
        <f>_xlfn.XLOOKUP(A991,'Customer Data'!B991,'Customer Data'!M991)</f>
        <v>Notebook</v>
      </c>
      <c r="D991" s="2" t="s">
        <v>54</v>
      </c>
      <c r="E991" s="2" t="str">
        <f t="shared" si="15"/>
        <v>Power Bank - Electronics</v>
      </c>
    </row>
    <row r="992" spans="1:5">
      <c r="A992" s="2">
        <v>109720</v>
      </c>
      <c r="B992" s="2" t="s">
        <v>45</v>
      </c>
      <c r="C992" s="2" t="str">
        <f>_xlfn.XLOOKUP(A992,'Customer Data'!B992,'Customer Data'!M992)</f>
        <v>Power Bank</v>
      </c>
      <c r="D992" s="2" t="s">
        <v>34</v>
      </c>
      <c r="E992" s="2" t="str">
        <f t="shared" si="15"/>
        <v>Notebook - Stationery</v>
      </c>
    </row>
    <row r="993" spans="1:5">
      <c r="A993" s="2">
        <v>100572</v>
      </c>
      <c r="B993" s="2" t="s">
        <v>32</v>
      </c>
      <c r="C993" s="2" t="str">
        <f>_xlfn.XLOOKUP(A993,'Customer Data'!B993,'Customer Data'!M993)</f>
        <v>Laptop Stand</v>
      </c>
      <c r="D993" s="2" t="s">
        <v>25</v>
      </c>
      <c r="E993" s="2" t="str">
        <f t="shared" si="15"/>
        <v>Power Bank - Electronics</v>
      </c>
    </row>
    <row r="994" spans="1:5">
      <c r="A994" s="2">
        <v>105358</v>
      </c>
      <c r="B994" s="2" t="s">
        <v>48</v>
      </c>
      <c r="C994" s="2" t="str">
        <f>_xlfn.XLOOKUP(A994,'Customer Data'!B994,'Customer Data'!M994)</f>
        <v>Bluetooth Speaker</v>
      </c>
      <c r="D994" s="2" t="s">
        <v>34</v>
      </c>
      <c r="E994" s="2" t="str">
        <f t="shared" si="15"/>
        <v>Laptop Stand - Accessories</v>
      </c>
    </row>
    <row r="995" spans="1:5">
      <c r="A995" s="2">
        <v>105616</v>
      </c>
      <c r="B995" s="2" t="s">
        <v>45</v>
      </c>
      <c r="C995" s="2" t="str">
        <f>_xlfn.XLOOKUP(A995,'Customer Data'!B995,'Customer Data'!M995)</f>
        <v>Gaming Controller</v>
      </c>
      <c r="D995" s="2" t="s">
        <v>63</v>
      </c>
      <c r="E995" s="2" t="str">
        <f t="shared" si="15"/>
        <v>Bluetooth Speaker - Electronics</v>
      </c>
    </row>
    <row r="996" spans="1:5">
      <c r="A996" s="2">
        <v>104658</v>
      </c>
      <c r="B996" s="2" t="s">
        <v>32</v>
      </c>
      <c r="C996" s="2" t="str">
        <f>_xlfn.XLOOKUP(A996,'Customer Data'!B996,'Customer Data'!M996)</f>
        <v>Mechanical Keyboard</v>
      </c>
      <c r="D996" s="2" t="s">
        <v>34</v>
      </c>
      <c r="E996" s="2" t="str">
        <f t="shared" si="15"/>
        <v>Gaming Controller - Gaming</v>
      </c>
    </row>
    <row r="997" spans="1:5">
      <c r="A997" s="2">
        <v>108805</v>
      </c>
      <c r="B997" s="2" t="s">
        <v>35</v>
      </c>
      <c r="C997" s="2" t="str">
        <f>_xlfn.XLOOKUP(A997,'Customer Data'!B997,'Customer Data'!M997)</f>
        <v>Bluetooth Speaker</v>
      </c>
      <c r="D997" s="2" t="s">
        <v>34</v>
      </c>
      <c r="E997" s="2" t="str">
        <f t="shared" si="15"/>
        <v>Mechanical Keyboard - Electronics</v>
      </c>
    </row>
    <row r="998" spans="1:5">
      <c r="A998" s="2">
        <v>101159</v>
      </c>
      <c r="B998" s="2" t="s">
        <v>32</v>
      </c>
      <c r="C998" s="2" t="str">
        <f>_xlfn.XLOOKUP(A998,'Customer Data'!B998,'Customer Data'!M998)</f>
        <v>Fitness Band</v>
      </c>
      <c r="D998" s="2" t="s">
        <v>59</v>
      </c>
      <c r="E998" s="2" t="str">
        <f t="shared" si="15"/>
        <v>Bluetooth Speaker - Electronics</v>
      </c>
    </row>
    <row r="999" spans="1:5">
      <c r="A999" s="2">
        <v>101525</v>
      </c>
      <c r="B999" s="2" t="s">
        <v>45</v>
      </c>
      <c r="C999" s="2" t="str">
        <f>_xlfn.XLOOKUP(A999,'Customer Data'!B999,'Customer Data'!M999)</f>
        <v>Phone Case</v>
      </c>
      <c r="D999" s="2" t="s">
        <v>25</v>
      </c>
      <c r="E999" s="2" t="str">
        <f t="shared" si="15"/>
        <v>Fitness Band - Wearables</v>
      </c>
    </row>
    <row r="1000" spans="1:5">
      <c r="A1000" s="2">
        <v>100651</v>
      </c>
      <c r="B1000" s="2" t="s">
        <v>55</v>
      </c>
      <c r="C1000" s="2" t="str">
        <f>_xlfn.XLOOKUP(A1000,'Customer Data'!B1000,'Customer Data'!M1000)</f>
        <v>Power Bank</v>
      </c>
      <c r="D1000" s="2" t="s">
        <v>34</v>
      </c>
      <c r="E1000" s="2" t="str">
        <f t="shared" si="15"/>
        <v>Phone Case - Accessories</v>
      </c>
    </row>
    <row r="1001" spans="1:5">
      <c r="A1001" s="2">
        <v>102399</v>
      </c>
      <c r="B1001" s="2" t="s">
        <v>28</v>
      </c>
      <c r="C1001" s="2" t="str">
        <f>_xlfn.XLOOKUP(A1001,'Customer Data'!B1001,'Customer Data'!M1001)</f>
        <v>Gaming Controller</v>
      </c>
      <c r="D1001" s="2" t="s">
        <v>63</v>
      </c>
      <c r="E1001" s="2" t="str">
        <f t="shared" si="15"/>
        <v>Power Bank - Electronics</v>
      </c>
    </row>
  </sheetData>
  <conditionalFormatting sqref="A2:A1001">
    <cfRule type="duplicateValues" dxfId="36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Customer Data</vt:lpstr>
      <vt:lpstr>Pivots</vt:lpstr>
      <vt:lpstr>Customer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 Kichu</cp:lastModifiedBy>
  <dcterms:created xsi:type="dcterms:W3CDTF">2026-09-28T11:55:00Z</dcterms:created>
  <dcterms:modified xsi:type="dcterms:W3CDTF">2026-10-06T05:58:11Z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D9ED7BC0391149B28168BCCE927A5FB4_13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